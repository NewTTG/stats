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https://optncl.sharepoint.com/teams/Optim675/Shared Documents/General/Planification Optim/"/>
    </mc:Choice>
  </mc:AlternateContent>
  <xr:revisionPtr revIDLastSave="0" documentId="8_{CD084B25-6E22-42D4-8C38-68CBE9CAEB45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ite_File" sheetId="2" r:id="rId1"/>
    <sheet name="Cell_File" sheetId="3" r:id="rId2"/>
    <sheet name="Cluster" sheetId="4" r:id="rId3"/>
  </sheets>
  <definedNames>
    <definedName name="_xlnm._FilterDatabase" localSheetId="1" hidden="1">Cell_File!$A$1:$Q$1</definedName>
    <definedName name="_xlnm._FilterDatabase" localSheetId="0" hidden="1">Site_File!$A$1:$AB$589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63" i="3" l="1"/>
  <c r="Q1164" i="3"/>
  <c r="Q1162" i="3"/>
  <c r="AB491" i="2"/>
  <c r="P491" i="2"/>
  <c r="U491" i="2" s="1"/>
  <c r="Q1043" i="3"/>
  <c r="Q1110" i="3"/>
  <c r="Q1109" i="3"/>
  <c r="Q1108" i="3"/>
  <c r="AB470" i="2"/>
  <c r="U470" i="2"/>
  <c r="Q530" i="3"/>
  <c r="Q529" i="3"/>
  <c r="Q528" i="3"/>
  <c r="AB228" i="2"/>
  <c r="P228" i="2"/>
  <c r="U228" i="2" s="1"/>
  <c r="Q582" i="3"/>
  <c r="Q581" i="3"/>
  <c r="AB253" i="2"/>
  <c r="U253" i="2"/>
  <c r="Q1262" i="3"/>
  <c r="Q1261" i="3"/>
  <c r="Q1260" i="3"/>
  <c r="AB533" i="2"/>
  <c r="P533" i="2"/>
  <c r="U533" i="2" s="1"/>
  <c r="Q1318" i="3"/>
  <c r="Q1317" i="3"/>
  <c r="Q1316" i="3"/>
  <c r="AB557" i="2"/>
  <c r="U557" i="2"/>
  <c r="Q1370" i="3"/>
  <c r="Q1369" i="3"/>
  <c r="Q1368" i="3"/>
  <c r="AB578" i="2"/>
  <c r="U578" i="2"/>
  <c r="Q657" i="3"/>
  <c r="Q1310" i="3"/>
  <c r="Q1311" i="3"/>
  <c r="Q1309" i="3"/>
  <c r="AB553" i="2"/>
  <c r="U553" i="2"/>
  <c r="Q238" i="3"/>
  <c r="Q811" i="3"/>
  <c r="Q1258" i="3"/>
  <c r="Q1257" i="3"/>
  <c r="Q1256" i="3"/>
  <c r="AB532" i="2"/>
  <c r="U532" i="2"/>
  <c r="Q1211" i="3"/>
  <c r="Q256" i="3"/>
  <c r="Q255" i="3"/>
  <c r="Q254" i="3"/>
  <c r="AB114" i="2"/>
  <c r="U114" i="2"/>
  <c r="Q602" i="3"/>
  <c r="Q601" i="3"/>
  <c r="Q600" i="3"/>
  <c r="AB261" i="2"/>
  <c r="U261" i="2"/>
  <c r="Q1118" i="3"/>
  <c r="Q1117" i="3"/>
  <c r="Q1116" i="3"/>
  <c r="AB473" i="2"/>
  <c r="P473" i="2"/>
  <c r="U473" i="2" s="1"/>
  <c r="Q919" i="3"/>
  <c r="Q918" i="3"/>
  <c r="Q917" i="3"/>
  <c r="AB396" i="2"/>
  <c r="U396" i="2"/>
  <c r="Q627" i="3"/>
  <c r="Q774" i="3"/>
  <c r="AB332" i="2"/>
  <c r="U332" i="2"/>
  <c r="Q579" i="3"/>
  <c r="Q575" i="3"/>
  <c r="Q574" i="3"/>
  <c r="Q573" i="3"/>
  <c r="AB250" i="2"/>
  <c r="U250" i="2"/>
  <c r="Q392" i="3"/>
  <c r="Q393" i="3"/>
  <c r="Q391" i="3"/>
  <c r="AB169" i="2"/>
  <c r="U169" i="2"/>
  <c r="Q1143" i="3"/>
  <c r="Q115" i="3"/>
  <c r="Q114" i="3"/>
  <c r="Q113" i="3"/>
  <c r="AB51" i="2"/>
  <c r="U51" i="2"/>
  <c r="Q308" i="3"/>
  <c r="Q72" i="3"/>
  <c r="U134" i="2"/>
  <c r="U35" i="2"/>
  <c r="Q186" i="3"/>
  <c r="Q1276" i="3"/>
  <c r="Q389" i="3"/>
  <c r="Q198" i="3"/>
  <c r="AB87" i="2"/>
  <c r="P87" i="2"/>
  <c r="U87" i="2" s="1"/>
  <c r="Q937" i="3"/>
  <c r="Q70" i="3"/>
  <c r="Q69" i="3"/>
  <c r="Q248" i="3"/>
  <c r="Q339" i="3"/>
  <c r="Q964" i="3"/>
  <c r="Q965" i="3"/>
  <c r="Q963" i="3"/>
  <c r="Q962" i="3"/>
  <c r="AB414" i="2"/>
  <c r="P414" i="2"/>
  <c r="U414" i="2" s="1"/>
  <c r="Q621" i="3"/>
  <c r="Q283" i="3"/>
  <c r="Q282" i="3"/>
  <c r="Q281" i="3"/>
  <c r="AB124" i="2"/>
  <c r="U124" i="2"/>
  <c r="Q874" i="3"/>
  <c r="Q968" i="3"/>
  <c r="Q967" i="3"/>
  <c r="Q966" i="3"/>
  <c r="AB416" i="2"/>
  <c r="P416" i="2"/>
  <c r="U416" i="2" s="1"/>
  <c r="Q1247" i="3"/>
  <c r="Q1248" i="3"/>
  <c r="Q1246" i="3"/>
  <c r="AB528" i="2"/>
  <c r="U528" i="2"/>
  <c r="Q299" i="3"/>
  <c r="Q619" i="3"/>
  <c r="Q618" i="3"/>
  <c r="Q1190" i="3"/>
  <c r="Q19" i="3"/>
  <c r="AB11" i="2"/>
  <c r="U11" i="2"/>
  <c r="Q54" i="3"/>
  <c r="Q53" i="3"/>
  <c r="Q52" i="3"/>
  <c r="AB25" i="2"/>
  <c r="U25" i="2"/>
  <c r="Q277" i="3"/>
  <c r="AB237" i="2"/>
  <c r="U237" i="2"/>
  <c r="Q801" i="3"/>
  <c r="Q882" i="3"/>
  <c r="Q405" i="3"/>
  <c r="AB175" i="2"/>
  <c r="U175" i="2"/>
  <c r="Q106" i="3"/>
  <c r="Q105" i="3"/>
  <c r="Q104" i="3"/>
  <c r="AB48" i="2"/>
  <c r="P48" i="2"/>
  <c r="U48" i="2" s="1"/>
  <c r="Q1075" i="3"/>
  <c r="Q1074" i="3"/>
  <c r="Q1073" i="3"/>
  <c r="U457" i="2"/>
  <c r="U456" i="2"/>
  <c r="AB456" i="2"/>
  <c r="Q1125" i="3"/>
  <c r="Q1124" i="3"/>
  <c r="Q1123" i="3"/>
  <c r="Q1122" i="3"/>
  <c r="AB474" i="2"/>
  <c r="P474" i="2"/>
  <c r="U474" i="2" s="1"/>
  <c r="Q1238" i="3"/>
  <c r="Q1237" i="3"/>
  <c r="Q1236" i="3"/>
  <c r="AB524" i="2"/>
  <c r="U524" i="2"/>
  <c r="Q1101" i="3"/>
  <c r="Q1100" i="3"/>
  <c r="Q1099" i="3"/>
  <c r="AB467" i="2"/>
  <c r="U467" i="2"/>
  <c r="Q338" i="3"/>
  <c r="Q337" i="3"/>
  <c r="Q336" i="3"/>
  <c r="AB145" i="2"/>
  <c r="U145" i="2"/>
  <c r="Q403" i="3"/>
  <c r="Q404" i="3"/>
  <c r="Q402" i="3"/>
  <c r="Q317" i="3"/>
  <c r="AB174" i="2"/>
  <c r="U174" i="2"/>
  <c r="Q973" i="3"/>
  <c r="Q952" i="3"/>
  <c r="AB411" i="2"/>
  <c r="U411" i="2"/>
  <c r="Q949" i="3"/>
  <c r="Q948" i="3"/>
  <c r="AB409" i="2"/>
  <c r="Q1097" i="3"/>
  <c r="Q269" i="3"/>
  <c r="Q1289" i="3"/>
  <c r="Q1288" i="3"/>
  <c r="Q1287" i="3"/>
  <c r="AB545" i="2"/>
  <c r="U545" i="2"/>
  <c r="Q1345" i="3"/>
  <c r="Q1344" i="3"/>
  <c r="Q1343" i="3"/>
  <c r="AB568" i="2"/>
  <c r="U568" i="2"/>
  <c r="AB566" i="2"/>
  <c r="U566" i="2"/>
  <c r="Q1339" i="3"/>
  <c r="Q1338" i="3"/>
  <c r="Q1337" i="3"/>
  <c r="Q41" i="3"/>
  <c r="Q40" i="3"/>
  <c r="Q39" i="3"/>
  <c r="AB20" i="2"/>
  <c r="U20" i="2"/>
  <c r="Q923" i="3"/>
  <c r="AB398" i="2"/>
  <c r="U398" i="2"/>
  <c r="Q505" i="3"/>
  <c r="Q504" i="3"/>
  <c r="Q503" i="3"/>
  <c r="AB218" i="2"/>
  <c r="Q234" i="3"/>
  <c r="Q233" i="3"/>
  <c r="Q232" i="3"/>
  <c r="AB103" i="2"/>
  <c r="U103" i="2"/>
  <c r="Q872" i="3"/>
  <c r="Q871" i="3"/>
  <c r="Q870" i="3"/>
  <c r="AB376" i="2"/>
  <c r="U376" i="2"/>
  <c r="Q750" i="3"/>
  <c r="Q1295" i="3"/>
  <c r="Q1296" i="3"/>
  <c r="Q1294" i="3"/>
  <c r="AB548" i="2"/>
  <c r="U548" i="2"/>
  <c r="Q266" i="3"/>
  <c r="Q264" i="3"/>
  <c r="Q263" i="3"/>
  <c r="AB117" i="2"/>
  <c r="P117" i="2"/>
  <c r="U117" i="2" s="1"/>
  <c r="Q736" i="3"/>
  <c r="Q735" i="3"/>
  <c r="Q734" i="3"/>
  <c r="AB316" i="2"/>
  <c r="P316" i="2"/>
  <c r="U316" i="2" s="1"/>
  <c r="Q437" i="3"/>
  <c r="Q436" i="3"/>
  <c r="Q435" i="3"/>
  <c r="AB191" i="2"/>
  <c r="U191" i="2"/>
  <c r="Q519" i="3"/>
  <c r="Q518" i="3"/>
  <c r="Q517" i="3"/>
  <c r="AB224" i="2"/>
  <c r="P224" i="2"/>
  <c r="U224" i="2" s="1"/>
  <c r="Q865" i="3"/>
  <c r="Q864" i="3"/>
  <c r="Q863" i="3"/>
  <c r="AB370" i="2"/>
  <c r="P370" i="2"/>
  <c r="U370" i="2" s="1"/>
  <c r="Q439" i="3"/>
  <c r="Q678" i="3"/>
  <c r="Q748" i="3"/>
  <c r="Q369" i="3"/>
  <c r="Q1393" i="3"/>
  <c r="Q1321" i="3"/>
  <c r="Q1270" i="3"/>
  <c r="Q67" i="3"/>
  <c r="Q49" i="3"/>
  <c r="Q259" i="3"/>
  <c r="Q258" i="3"/>
  <c r="Q677" i="3"/>
  <c r="Q676" i="3"/>
  <c r="AB291" i="2"/>
  <c r="U291" i="2"/>
  <c r="Q636" i="3"/>
  <c r="Q637" i="3"/>
  <c r="Q635" i="3"/>
  <c r="AB275" i="2"/>
  <c r="U275" i="2"/>
  <c r="Q552" i="3"/>
  <c r="AB240" i="2"/>
  <c r="U240" i="2"/>
  <c r="Q947" i="3"/>
  <c r="Q946" i="3"/>
  <c r="Q945" i="3"/>
  <c r="AB407" i="2"/>
  <c r="P407" i="2"/>
  <c r="U407" i="2" s="1"/>
  <c r="Q831" i="3"/>
  <c r="Q830" i="3"/>
  <c r="Q829" i="3"/>
  <c r="AB361" i="2"/>
  <c r="U361" i="2"/>
  <c r="Q56" i="3"/>
  <c r="Q1205" i="3"/>
  <c r="Q1204" i="3"/>
  <c r="Q1203" i="3"/>
  <c r="AB506" i="2"/>
  <c r="P506" i="2"/>
  <c r="U506" i="2" s="1"/>
  <c r="Q1030" i="3"/>
  <c r="Q1029" i="3"/>
  <c r="Q1028" i="3"/>
  <c r="AB439" i="2"/>
  <c r="U439" i="2"/>
  <c r="Q134" i="3"/>
  <c r="Q133" i="3"/>
  <c r="Q132" i="3"/>
  <c r="AB60" i="2"/>
  <c r="U60" i="2"/>
  <c r="Q851" i="3"/>
  <c r="Q850" i="3"/>
  <c r="Q849" i="3"/>
  <c r="AB369" i="2"/>
  <c r="U369" i="2"/>
  <c r="Q1104" i="3"/>
  <c r="Q1103" i="3"/>
  <c r="Q1102" i="3"/>
  <c r="AB468" i="2"/>
  <c r="U468" i="2"/>
  <c r="Q869" i="3"/>
  <c r="Q867" i="3"/>
  <c r="Q866" i="3"/>
  <c r="AB375" i="2"/>
  <c r="U375" i="2"/>
  <c r="Q697" i="3"/>
  <c r="Q696" i="3"/>
  <c r="Q695" i="3"/>
  <c r="AB300" i="2"/>
  <c r="P300" i="2"/>
  <c r="U300" i="2" s="1"/>
  <c r="Q454" i="3"/>
  <c r="Q453" i="3"/>
  <c r="AB198" i="2"/>
  <c r="U198" i="2"/>
  <c r="Q1066" i="3"/>
  <c r="Q1176" i="3"/>
  <c r="Q1175" i="3"/>
  <c r="Q1174" i="3"/>
  <c r="U496" i="2"/>
  <c r="AB496" i="2"/>
  <c r="Q571" i="3"/>
  <c r="Q570" i="3"/>
  <c r="Q569" i="3"/>
  <c r="Q568" i="3"/>
  <c r="AB249" i="2"/>
  <c r="U249" i="2"/>
  <c r="AB248" i="2"/>
  <c r="U248" i="2"/>
  <c r="Q226" i="3"/>
  <c r="AB100" i="2"/>
  <c r="U100" i="2"/>
  <c r="Q809" i="3"/>
  <c r="Q808" i="3"/>
  <c r="Q807" i="3"/>
  <c r="AB351" i="2"/>
  <c r="U351" i="2"/>
  <c r="Q596" i="3"/>
  <c r="Q595" i="3"/>
  <c r="Q594" i="3"/>
  <c r="AB260" i="2"/>
  <c r="U260" i="2"/>
  <c r="Q1347" i="3"/>
  <c r="Q1346" i="3"/>
  <c r="AB567" i="2"/>
  <c r="U567" i="2"/>
  <c r="Q789" i="3"/>
  <c r="Q788" i="3"/>
  <c r="AB341" i="2"/>
  <c r="U341" i="2"/>
  <c r="Q419" i="3"/>
  <c r="Q417" i="3"/>
  <c r="Q416" i="3"/>
  <c r="AB182" i="2"/>
  <c r="P182" i="2"/>
  <c r="U182" i="2" s="1"/>
  <c r="Q360" i="3"/>
  <c r="Q359" i="3"/>
  <c r="Q358" i="3"/>
  <c r="AB154" i="2"/>
  <c r="P154" i="2"/>
  <c r="U154" i="2" s="1"/>
  <c r="Q168" i="3"/>
  <c r="Q167" i="3"/>
  <c r="Q166" i="3"/>
  <c r="Q165" i="3"/>
  <c r="AB75" i="2"/>
  <c r="U75" i="2"/>
  <c r="AB74" i="2"/>
  <c r="P74" i="2"/>
  <c r="U74" i="2" s="1"/>
  <c r="AB76" i="2"/>
  <c r="U76" i="2"/>
  <c r="AB310" i="2"/>
  <c r="U310" i="2"/>
  <c r="Q893" i="3"/>
  <c r="Q894" i="3"/>
  <c r="Q892" i="3"/>
  <c r="AB385" i="2" l="1"/>
  <c r="U385" i="2"/>
  <c r="Q231" i="3"/>
  <c r="Q230" i="3"/>
  <c r="Q229" i="3"/>
  <c r="AB101" i="2" l="1"/>
  <c r="U101" i="2"/>
  <c r="Q1107" i="3"/>
  <c r="Q1106" i="3"/>
  <c r="Q1105" i="3"/>
  <c r="AB471" i="2"/>
  <c r="U471" i="2"/>
  <c r="Q545" i="3"/>
  <c r="Q544" i="3"/>
  <c r="AB236" i="2"/>
  <c r="U236" i="2"/>
  <c r="Q246" i="3"/>
  <c r="AB110" i="2"/>
  <c r="U110" i="2"/>
  <c r="Q245" i="3"/>
  <c r="Q244" i="3"/>
  <c r="Q243" i="3"/>
  <c r="AB109" i="2"/>
  <c r="U109" i="2"/>
  <c r="Q1128" i="3"/>
  <c r="Q1127" i="3"/>
  <c r="Q1126" i="3"/>
  <c r="AB476" i="2"/>
  <c r="P476" i="2"/>
  <c r="U476" i="2" s="1"/>
  <c r="Q9" i="3"/>
  <c r="Q8" i="3"/>
  <c r="AB4" i="2"/>
  <c r="U4" i="2"/>
  <c r="Q1392" i="3"/>
  <c r="Q1391" i="3"/>
  <c r="Q1390" i="3"/>
  <c r="Q1389" i="3"/>
  <c r="Q1388" i="3"/>
  <c r="Q1387" i="3"/>
  <c r="Q1386" i="3"/>
  <c r="Q1385" i="3"/>
  <c r="Q1384" i="3"/>
  <c r="Q1383" i="3"/>
  <c r="Q1382" i="3"/>
  <c r="Q1381" i="3"/>
  <c r="Q1380" i="3"/>
  <c r="Q1379" i="3"/>
  <c r="Q1378" i="3"/>
  <c r="Q1377" i="3"/>
  <c r="Q1376" i="3"/>
  <c r="Q1375" i="3"/>
  <c r="Q1374" i="3"/>
  <c r="Q1373" i="3"/>
  <c r="Q1372" i="3"/>
  <c r="Q1371" i="3"/>
  <c r="Q1367" i="3"/>
  <c r="Q1366" i="3"/>
  <c r="Q1365" i="3"/>
  <c r="Q1364" i="3"/>
  <c r="Q1363" i="3"/>
  <c r="Q1362" i="3"/>
  <c r="Q1361" i="3"/>
  <c r="Q1360" i="3"/>
  <c r="Q1359" i="3"/>
  <c r="Q1358" i="3"/>
  <c r="Q1357" i="3"/>
  <c r="Q1356" i="3"/>
  <c r="Q1355" i="3"/>
  <c r="Q1354" i="3"/>
  <c r="Q1353" i="3"/>
  <c r="Q1352" i="3"/>
  <c r="Q1351" i="3"/>
  <c r="Q1350" i="3"/>
  <c r="Q1349" i="3"/>
  <c r="Q1348" i="3"/>
  <c r="Q1342" i="3"/>
  <c r="Q1341" i="3"/>
  <c r="Q1340" i="3"/>
  <c r="Q1336" i="3"/>
  <c r="Q1335" i="3"/>
  <c r="Q1334" i="3"/>
  <c r="Q1333" i="3"/>
  <c r="Q1332" i="3"/>
  <c r="Q1331" i="3"/>
  <c r="Q1330" i="3"/>
  <c r="Q1329" i="3"/>
  <c r="Q1328" i="3"/>
  <c r="Q1327" i="3"/>
  <c r="Q1326" i="3"/>
  <c r="Q1325" i="3"/>
  <c r="Q1324" i="3"/>
  <c r="Q1323" i="3"/>
  <c r="Q1322" i="3"/>
  <c r="Q1320" i="3"/>
  <c r="Q1319" i="3"/>
  <c r="Q1315" i="3"/>
  <c r="Q1314" i="3"/>
  <c r="Q1313" i="3"/>
  <c r="Q1312" i="3"/>
  <c r="Q1308" i="3"/>
  <c r="Q1307" i="3"/>
  <c r="Q1306" i="3"/>
  <c r="Q1305" i="3"/>
  <c r="Q1304" i="3"/>
  <c r="Q1303" i="3"/>
  <c r="Q1302" i="3"/>
  <c r="Q1301" i="3"/>
  <c r="Q1300" i="3"/>
  <c r="Q1299" i="3"/>
  <c r="Q1298" i="3"/>
  <c r="Q1297" i="3"/>
  <c r="Q1293" i="3"/>
  <c r="Q1292" i="3"/>
  <c r="Q1291" i="3"/>
  <c r="Q1290" i="3"/>
  <c r="Q1286" i="3"/>
  <c r="Q1285" i="3"/>
  <c r="Q1284" i="3"/>
  <c r="Q1283" i="3"/>
  <c r="Q1282" i="3"/>
  <c r="Q1281" i="3"/>
  <c r="Q1280" i="3"/>
  <c r="Q1279" i="3"/>
  <c r="Q1278" i="3"/>
  <c r="Q1277" i="3"/>
  <c r="Q1275" i="3"/>
  <c r="Q1274" i="3"/>
  <c r="Q1273" i="3"/>
  <c r="Q1272" i="3"/>
  <c r="Q1271" i="3"/>
  <c r="Q1269" i="3"/>
  <c r="Q1268" i="3"/>
  <c r="Q1267" i="3"/>
  <c r="Q1266" i="3"/>
  <c r="Q1265" i="3"/>
  <c r="Q1264" i="3"/>
  <c r="Q1263" i="3"/>
  <c r="Q1259" i="3"/>
  <c r="Q1255" i="3"/>
  <c r="Q1254" i="3"/>
  <c r="Q1253" i="3"/>
  <c r="Q1252" i="3"/>
  <c r="Q1251" i="3"/>
  <c r="Q1250" i="3"/>
  <c r="Q1249" i="3"/>
  <c r="Q1245" i="3"/>
  <c r="Q1244" i="3"/>
  <c r="Q1243" i="3"/>
  <c r="Q1242" i="3"/>
  <c r="Q1241" i="3"/>
  <c r="Q1240" i="3"/>
  <c r="Q1239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0" i="3"/>
  <c r="Q1209" i="3"/>
  <c r="Q1208" i="3"/>
  <c r="Q1207" i="3"/>
  <c r="Q1206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3" i="3"/>
  <c r="Q1172" i="3"/>
  <c r="Q1171" i="3"/>
  <c r="Q1170" i="3"/>
  <c r="Q1169" i="3"/>
  <c r="Q1168" i="3"/>
  <c r="Q1167" i="3"/>
  <c r="Q1166" i="3"/>
  <c r="Q1165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1" i="3"/>
  <c r="Q1120" i="3"/>
  <c r="Q1119" i="3"/>
  <c r="Q1115" i="3"/>
  <c r="Q1114" i="3"/>
  <c r="Q1113" i="3"/>
  <c r="Q1112" i="3"/>
  <c r="Q1111" i="3"/>
  <c r="Q1098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2" i="3"/>
  <c r="Q1071" i="3"/>
  <c r="Q1070" i="3"/>
  <c r="Q1069" i="3"/>
  <c r="Q1068" i="3"/>
  <c r="Q1067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2" i="3"/>
  <c r="Q1041" i="3"/>
  <c r="Q1040" i="3"/>
  <c r="Q1039" i="3"/>
  <c r="Q1036" i="3"/>
  <c r="Q1038" i="3"/>
  <c r="Q1035" i="3"/>
  <c r="Q1037" i="3"/>
  <c r="Q1034" i="3"/>
  <c r="Q1033" i="3"/>
  <c r="Q1032" i="3"/>
  <c r="Q1031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291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2" i="3"/>
  <c r="Q971" i="3"/>
  <c r="Q970" i="3"/>
  <c r="Q969" i="3"/>
  <c r="Q961" i="3"/>
  <c r="Q960" i="3"/>
  <c r="Q959" i="3"/>
  <c r="Q958" i="3"/>
  <c r="Q957" i="3"/>
  <c r="Q956" i="3"/>
  <c r="Q955" i="3"/>
  <c r="Q954" i="3"/>
  <c r="Q953" i="3"/>
  <c r="Q951" i="3"/>
  <c r="Q950" i="3"/>
  <c r="Q944" i="3"/>
  <c r="Q943" i="3"/>
  <c r="Q942" i="3"/>
  <c r="Q941" i="3"/>
  <c r="Q940" i="3"/>
  <c r="Q939" i="3"/>
  <c r="Q938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2" i="3"/>
  <c r="Q921" i="3"/>
  <c r="Q920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1" i="3"/>
  <c r="Q890" i="3"/>
  <c r="Q889" i="3"/>
  <c r="Q888" i="3"/>
  <c r="Q887" i="3"/>
  <c r="Q886" i="3"/>
  <c r="Q885" i="3"/>
  <c r="Q884" i="3"/>
  <c r="Q883" i="3"/>
  <c r="Q881" i="3"/>
  <c r="Q880" i="3"/>
  <c r="Q879" i="3"/>
  <c r="Q878" i="3"/>
  <c r="Q877" i="3"/>
  <c r="Q876" i="3"/>
  <c r="Q875" i="3"/>
  <c r="Q873" i="3"/>
  <c r="Q868" i="3"/>
  <c r="Q862" i="3"/>
  <c r="Q861" i="3"/>
  <c r="Q860" i="3"/>
  <c r="Q859" i="3"/>
  <c r="Q858" i="3"/>
  <c r="Q857" i="3"/>
  <c r="Q856" i="3"/>
  <c r="Q855" i="3"/>
  <c r="Q854" i="3"/>
  <c r="Q853" i="3"/>
  <c r="Q852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0" i="3"/>
  <c r="Q806" i="3"/>
  <c r="Q805" i="3"/>
  <c r="Q804" i="3"/>
  <c r="Q803" i="3"/>
  <c r="Q802" i="3"/>
  <c r="Q800" i="3"/>
  <c r="Q799" i="3"/>
  <c r="Q798" i="3"/>
  <c r="Q797" i="3"/>
  <c r="Q796" i="3"/>
  <c r="Q795" i="3"/>
  <c r="Q794" i="3"/>
  <c r="Q793" i="3"/>
  <c r="Q792" i="3"/>
  <c r="Q791" i="3"/>
  <c r="Q790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49" i="3"/>
  <c r="Q747" i="3"/>
  <c r="Q746" i="3"/>
  <c r="Q745" i="3"/>
  <c r="Q744" i="3"/>
  <c r="Q743" i="3"/>
  <c r="Q742" i="3"/>
  <c r="Q741" i="3"/>
  <c r="Q740" i="3"/>
  <c r="Q739" i="3"/>
  <c r="Q738" i="3"/>
  <c r="Q737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4" i="3"/>
  <c r="Q633" i="3"/>
  <c r="Q632" i="3"/>
  <c r="Q631" i="3"/>
  <c r="Q630" i="3"/>
  <c r="Q629" i="3"/>
  <c r="Q628" i="3"/>
  <c r="Q626" i="3"/>
  <c r="Q625" i="3"/>
  <c r="Q624" i="3"/>
  <c r="Q623" i="3"/>
  <c r="Q622" i="3"/>
  <c r="Q620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599" i="3"/>
  <c r="Q598" i="3"/>
  <c r="Q597" i="3"/>
  <c r="Q593" i="3"/>
  <c r="Q592" i="3"/>
  <c r="Q591" i="3"/>
  <c r="Q590" i="3"/>
  <c r="Q589" i="3"/>
  <c r="Q588" i="3"/>
  <c r="Q587" i="3"/>
  <c r="Q586" i="3"/>
  <c r="Q585" i="3"/>
  <c r="Q584" i="3"/>
  <c r="Q583" i="3"/>
  <c r="Q580" i="3"/>
  <c r="Q578" i="3"/>
  <c r="Q577" i="3"/>
  <c r="Q576" i="3"/>
  <c r="Q572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1" i="3"/>
  <c r="Q550" i="3"/>
  <c r="Q549" i="3"/>
  <c r="Q547" i="3"/>
  <c r="Q546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27" i="3"/>
  <c r="Q526" i="3"/>
  <c r="Q525" i="3"/>
  <c r="Q524" i="3"/>
  <c r="Q523" i="3"/>
  <c r="Q522" i="3"/>
  <c r="Q521" i="3"/>
  <c r="Q520" i="3"/>
  <c r="Q516" i="3"/>
  <c r="Q515" i="3"/>
  <c r="Q514" i="3"/>
  <c r="Q513" i="3"/>
  <c r="Q512" i="3"/>
  <c r="Q511" i="3"/>
  <c r="Q510" i="3"/>
  <c r="Q509" i="3"/>
  <c r="Q508" i="3"/>
  <c r="Q507" i="3"/>
  <c r="Q506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8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8" i="3"/>
  <c r="Q415" i="3"/>
  <c r="Q414" i="3"/>
  <c r="Q413" i="3"/>
  <c r="Q412" i="3"/>
  <c r="Q411" i="3"/>
  <c r="Q410" i="3"/>
  <c r="Q409" i="3"/>
  <c r="Q408" i="3"/>
  <c r="Q407" i="3"/>
  <c r="Q406" i="3"/>
  <c r="Q401" i="3"/>
  <c r="Q400" i="3"/>
  <c r="Q399" i="3"/>
  <c r="Q398" i="3"/>
  <c r="Q397" i="3"/>
  <c r="Q396" i="3"/>
  <c r="Q395" i="3"/>
  <c r="Q394" i="3"/>
  <c r="Q390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8" i="3"/>
  <c r="Q367" i="3"/>
  <c r="Q366" i="3"/>
  <c r="Q365" i="3"/>
  <c r="Q364" i="3"/>
  <c r="Q363" i="3"/>
  <c r="Q362" i="3"/>
  <c r="Q361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6" i="3"/>
  <c r="Q315" i="3"/>
  <c r="Q314" i="3"/>
  <c r="Q313" i="3"/>
  <c r="Q312" i="3"/>
  <c r="Q311" i="3"/>
  <c r="Q310" i="3"/>
  <c r="Q309" i="3"/>
  <c r="Q307" i="3"/>
  <c r="Q306" i="3"/>
  <c r="Q305" i="3"/>
  <c r="Q304" i="3"/>
  <c r="Q303" i="3"/>
  <c r="Q302" i="3"/>
  <c r="Q301" i="3"/>
  <c r="Q300" i="3"/>
  <c r="Q298" i="3"/>
  <c r="Q297" i="3"/>
  <c r="Q296" i="3"/>
  <c r="Q295" i="3"/>
  <c r="Q294" i="3"/>
  <c r="Q293" i="3"/>
  <c r="Q292" i="3"/>
  <c r="Q290" i="3"/>
  <c r="Q289" i="3"/>
  <c r="Q288" i="3"/>
  <c r="Q287" i="3"/>
  <c r="Q286" i="3"/>
  <c r="Q285" i="3"/>
  <c r="Q284" i="3"/>
  <c r="Q280" i="3"/>
  <c r="Q279" i="3"/>
  <c r="Q278" i="3"/>
  <c r="Q276" i="3"/>
  <c r="Q275" i="3"/>
  <c r="Q274" i="3"/>
  <c r="Q273" i="3"/>
  <c r="Q272" i="3"/>
  <c r="Q271" i="3"/>
  <c r="Q270" i="3"/>
  <c r="Q268" i="3"/>
  <c r="Q267" i="3"/>
  <c r="Q265" i="3"/>
  <c r="Q262" i="3"/>
  <c r="Q261" i="3"/>
  <c r="Q260" i="3"/>
  <c r="Q257" i="3"/>
  <c r="Q253" i="3"/>
  <c r="Q252" i="3"/>
  <c r="Q251" i="3"/>
  <c r="Q250" i="3"/>
  <c r="Q249" i="3"/>
  <c r="Q247" i="3"/>
  <c r="Q242" i="3"/>
  <c r="Q241" i="3"/>
  <c r="Q240" i="3"/>
  <c r="Q239" i="3"/>
  <c r="Q237" i="3"/>
  <c r="Q236" i="3"/>
  <c r="Q235" i="3"/>
  <c r="Q228" i="3"/>
  <c r="Q227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7" i="3"/>
  <c r="Q196" i="3"/>
  <c r="Q195" i="3"/>
  <c r="Q194" i="3"/>
  <c r="Q193" i="3"/>
  <c r="Q192" i="3"/>
  <c r="Q191" i="3"/>
  <c r="Q190" i="3"/>
  <c r="Q189" i="3"/>
  <c r="Q188" i="3"/>
  <c r="Q187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2" i="3"/>
  <c r="Q111" i="3"/>
  <c r="Q110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1" i="3"/>
  <c r="Q68" i="3"/>
  <c r="Q66" i="3"/>
  <c r="Q65" i="3"/>
  <c r="Q64" i="3"/>
  <c r="Q63" i="3"/>
  <c r="Q62" i="3"/>
  <c r="Q61" i="3"/>
  <c r="Q60" i="3"/>
  <c r="Q59" i="3"/>
  <c r="Q58" i="3"/>
  <c r="Q57" i="3"/>
  <c r="Q55" i="3"/>
  <c r="Q51" i="3"/>
  <c r="Q50" i="3"/>
  <c r="Q48" i="3"/>
  <c r="Q47" i="3"/>
  <c r="Q46" i="3"/>
  <c r="Q45" i="3"/>
  <c r="Q44" i="3"/>
  <c r="Q43" i="3"/>
  <c r="Q42" i="3"/>
  <c r="Q38" i="3"/>
  <c r="Q37" i="3"/>
  <c r="Q36" i="3"/>
  <c r="Q35" i="3"/>
  <c r="Q34" i="3"/>
  <c r="K34" i="3"/>
  <c r="Q33" i="3"/>
  <c r="K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8" i="3"/>
  <c r="Q17" i="3"/>
  <c r="Q16" i="3"/>
  <c r="Q15" i="3"/>
  <c r="Q14" i="3"/>
  <c r="Q13" i="3"/>
  <c r="Q12" i="3"/>
  <c r="Q11" i="3"/>
  <c r="Q10" i="3"/>
  <c r="Q7" i="3"/>
  <c r="Q6" i="3"/>
  <c r="Q5" i="3"/>
  <c r="Q4" i="3"/>
  <c r="Q3" i="3"/>
  <c r="Q2" i="3"/>
  <c r="AB589" i="2"/>
  <c r="AB588" i="2"/>
  <c r="U588" i="2"/>
  <c r="AB587" i="2"/>
  <c r="P587" i="2"/>
  <c r="U587" i="2" s="1"/>
  <c r="AB586" i="2"/>
  <c r="P586" i="2"/>
  <c r="U586" i="2" s="1"/>
  <c r="AB585" i="2"/>
  <c r="P585" i="2"/>
  <c r="U585" i="2" s="1"/>
  <c r="AB584" i="2"/>
  <c r="P584" i="2"/>
  <c r="U584" i="2" s="1"/>
  <c r="AB583" i="2"/>
  <c r="P583" i="2"/>
  <c r="U583" i="2" s="1"/>
  <c r="AB582" i="2"/>
  <c r="U582" i="2"/>
  <c r="AB581" i="2"/>
  <c r="U581" i="2"/>
  <c r="AB580" i="2"/>
  <c r="P580" i="2"/>
  <c r="U580" i="2" s="1"/>
  <c r="AB579" i="2"/>
  <c r="U579" i="2"/>
  <c r="AB577" i="2"/>
  <c r="P577" i="2"/>
  <c r="U577" i="2" s="1"/>
  <c r="AB576" i="2"/>
  <c r="P576" i="2"/>
  <c r="U576" i="2" s="1"/>
  <c r="AB575" i="2"/>
  <c r="U575" i="2"/>
  <c r="AB574" i="2"/>
  <c r="U574" i="2"/>
  <c r="AB573" i="2"/>
  <c r="AB572" i="2"/>
  <c r="U572" i="2"/>
  <c r="AB571" i="2"/>
  <c r="U571" i="2"/>
  <c r="AB570" i="2"/>
  <c r="P570" i="2"/>
  <c r="U570" i="2" s="1"/>
  <c r="AB569" i="2"/>
  <c r="U569" i="2"/>
  <c r="AB565" i="2"/>
  <c r="U565" i="2"/>
  <c r="AB564" i="2"/>
  <c r="U564" i="2"/>
  <c r="AB563" i="2"/>
  <c r="P563" i="2"/>
  <c r="U563" i="2" s="1"/>
  <c r="AB562" i="2"/>
  <c r="P562" i="2"/>
  <c r="U562" i="2" s="1"/>
  <c r="AB561" i="2"/>
  <c r="P561" i="2"/>
  <c r="U561" i="2" s="1"/>
  <c r="AB560" i="2"/>
  <c r="P560" i="2"/>
  <c r="U560" i="2" s="1"/>
  <c r="AB559" i="2"/>
  <c r="P559" i="2"/>
  <c r="U559" i="2" s="1"/>
  <c r="AB558" i="2"/>
  <c r="P558" i="2"/>
  <c r="U558" i="2" s="1"/>
  <c r="AB556" i="2"/>
  <c r="P556" i="2"/>
  <c r="U556" i="2" s="1"/>
  <c r="AB555" i="2"/>
  <c r="U555" i="2"/>
  <c r="AB554" i="2"/>
  <c r="U554" i="2"/>
  <c r="AB552" i="2"/>
  <c r="U552" i="2"/>
  <c r="AB551" i="2"/>
  <c r="U551" i="2"/>
  <c r="AB550" i="2"/>
  <c r="U550" i="2"/>
  <c r="AB549" i="2"/>
  <c r="U549" i="2"/>
  <c r="AB547" i="2"/>
  <c r="U547" i="2"/>
  <c r="AB546" i="2"/>
  <c r="U546" i="2"/>
  <c r="AB544" i="2"/>
  <c r="U544" i="2"/>
  <c r="AB543" i="2"/>
  <c r="U543" i="2"/>
  <c r="AB542" i="2"/>
  <c r="P542" i="2"/>
  <c r="U542" i="2" s="1"/>
  <c r="AB541" i="2"/>
  <c r="U541" i="2"/>
  <c r="AB540" i="2"/>
  <c r="U540" i="2"/>
  <c r="AB539" i="2"/>
  <c r="U539" i="2"/>
  <c r="AB538" i="2"/>
  <c r="U538" i="2"/>
  <c r="AB537" i="2"/>
  <c r="P537" i="2"/>
  <c r="U537" i="2" s="1"/>
  <c r="AB536" i="2"/>
  <c r="U536" i="2"/>
  <c r="AB535" i="2"/>
  <c r="U535" i="2"/>
  <c r="AB534" i="2"/>
  <c r="P534" i="2"/>
  <c r="U534" i="2" s="1"/>
  <c r="AB531" i="2"/>
  <c r="U531" i="2"/>
  <c r="AB530" i="2"/>
  <c r="U530" i="2"/>
  <c r="AB529" i="2"/>
  <c r="P529" i="2"/>
  <c r="U529" i="2" s="1"/>
  <c r="AB527" i="2"/>
  <c r="U527" i="2"/>
  <c r="AB526" i="2"/>
  <c r="U526" i="2"/>
  <c r="AB525" i="2"/>
  <c r="U525" i="2"/>
  <c r="AB523" i="2"/>
  <c r="U523" i="2"/>
  <c r="AB522" i="2"/>
  <c r="U522" i="2"/>
  <c r="AB521" i="2"/>
  <c r="U521" i="2"/>
  <c r="AB520" i="2"/>
  <c r="P520" i="2"/>
  <c r="U520" i="2" s="1"/>
  <c r="AB519" i="2"/>
  <c r="U519" i="2"/>
  <c r="AB518" i="2"/>
  <c r="P518" i="2"/>
  <c r="U518" i="2" s="1"/>
  <c r="AB517" i="2"/>
  <c r="U517" i="2"/>
  <c r="AB516" i="2"/>
  <c r="U516" i="2"/>
  <c r="AB515" i="2"/>
  <c r="P515" i="2"/>
  <c r="U515" i="2" s="1"/>
  <c r="AB514" i="2"/>
  <c r="U514" i="2"/>
  <c r="AB513" i="2"/>
  <c r="P513" i="2"/>
  <c r="U513" i="2" s="1"/>
  <c r="AB512" i="2"/>
  <c r="U512" i="2"/>
  <c r="AB511" i="2"/>
  <c r="P511" i="2"/>
  <c r="U511" i="2" s="1"/>
  <c r="AB510" i="2"/>
  <c r="P510" i="2"/>
  <c r="U510" i="2" s="1"/>
  <c r="AB509" i="2"/>
  <c r="P509" i="2"/>
  <c r="U509" i="2" s="1"/>
  <c r="AB507" i="2"/>
  <c r="P507" i="2"/>
  <c r="U507" i="2" s="1"/>
  <c r="AB508" i="2"/>
  <c r="P508" i="2"/>
  <c r="U508" i="2" s="1"/>
  <c r="AB505" i="2"/>
  <c r="U505" i="2"/>
  <c r="AB504" i="2"/>
  <c r="U504" i="2"/>
  <c r="AB503" i="2"/>
  <c r="U503" i="2"/>
  <c r="AB502" i="2"/>
  <c r="U502" i="2"/>
  <c r="AB501" i="2"/>
  <c r="U501" i="2"/>
  <c r="AB500" i="2"/>
  <c r="U500" i="2"/>
  <c r="AB499" i="2"/>
  <c r="U499" i="2"/>
  <c r="AB498" i="2"/>
  <c r="U498" i="2"/>
  <c r="AB497" i="2"/>
  <c r="U497" i="2"/>
  <c r="AB495" i="2"/>
  <c r="U495" i="2"/>
  <c r="AB494" i="2"/>
  <c r="U494" i="2"/>
  <c r="AB493" i="2"/>
  <c r="P493" i="2"/>
  <c r="U493" i="2" s="1"/>
  <c r="AB492" i="2"/>
  <c r="P492" i="2"/>
  <c r="U492" i="2" s="1"/>
  <c r="AB490" i="2"/>
  <c r="AB489" i="2"/>
  <c r="P489" i="2"/>
  <c r="U489" i="2" s="1"/>
  <c r="AB488" i="2"/>
  <c r="U488" i="2"/>
  <c r="AB487" i="2"/>
  <c r="U487" i="2"/>
  <c r="AB486" i="2"/>
  <c r="P486" i="2"/>
  <c r="U486" i="2" s="1"/>
  <c r="AB485" i="2"/>
  <c r="U485" i="2"/>
  <c r="AB484" i="2"/>
  <c r="P484" i="2"/>
  <c r="U484" i="2" s="1"/>
  <c r="AB483" i="2"/>
  <c r="P483" i="2"/>
  <c r="U483" i="2" s="1"/>
  <c r="AB482" i="2"/>
  <c r="U482" i="2"/>
  <c r="AB481" i="2"/>
  <c r="U481" i="2"/>
  <c r="AB480" i="2"/>
  <c r="U480" i="2"/>
  <c r="AB479" i="2"/>
  <c r="U479" i="2"/>
  <c r="AB478" i="2"/>
  <c r="U478" i="2"/>
  <c r="AB477" i="2"/>
  <c r="P477" i="2"/>
  <c r="U477" i="2" s="1"/>
  <c r="AB475" i="2"/>
  <c r="P475" i="2"/>
  <c r="U475" i="2" s="1"/>
  <c r="AB472" i="2"/>
  <c r="P472" i="2"/>
  <c r="U472" i="2" s="1"/>
  <c r="AB469" i="2"/>
  <c r="U469" i="2"/>
  <c r="AB466" i="2"/>
  <c r="U466" i="2"/>
  <c r="AB465" i="2"/>
  <c r="P465" i="2"/>
  <c r="U465" i="2" s="1"/>
  <c r="AB464" i="2"/>
  <c r="U464" i="2"/>
  <c r="AB463" i="2"/>
  <c r="P463" i="2"/>
  <c r="U463" i="2" s="1"/>
  <c r="AB462" i="2"/>
  <c r="U462" i="2"/>
  <c r="AB461" i="2"/>
  <c r="U461" i="2"/>
  <c r="AB460" i="2"/>
  <c r="U460" i="2"/>
  <c r="AB459" i="2"/>
  <c r="U459" i="2"/>
  <c r="AB458" i="2"/>
  <c r="U458" i="2"/>
  <c r="AB457" i="2"/>
  <c r="AB455" i="2"/>
  <c r="U455" i="2"/>
  <c r="AB454" i="2"/>
  <c r="U454" i="2"/>
  <c r="AB453" i="2"/>
  <c r="P453" i="2"/>
  <c r="U453" i="2" s="1"/>
  <c r="AB452" i="2"/>
  <c r="U452" i="2"/>
  <c r="AB451" i="2"/>
  <c r="U451" i="2"/>
  <c r="AB450" i="2"/>
  <c r="U450" i="2"/>
  <c r="AB449" i="2"/>
  <c r="AB448" i="2"/>
  <c r="U448" i="2"/>
  <c r="AB447" i="2"/>
  <c r="U447" i="2"/>
  <c r="AB446" i="2"/>
  <c r="U446" i="2"/>
  <c r="AB445" i="2"/>
  <c r="U445" i="2"/>
  <c r="AB444" i="2"/>
  <c r="U444" i="2"/>
  <c r="AB443" i="2"/>
  <c r="U443" i="2"/>
  <c r="AB442" i="2"/>
  <c r="U442" i="2"/>
  <c r="AB441" i="2"/>
  <c r="U441" i="2"/>
  <c r="AB440" i="2"/>
  <c r="U440" i="2"/>
  <c r="AB438" i="2"/>
  <c r="U438" i="2"/>
  <c r="AB437" i="2"/>
  <c r="U437" i="2"/>
  <c r="AB436" i="2"/>
  <c r="U436" i="2"/>
  <c r="AB435" i="2"/>
  <c r="U435" i="2"/>
  <c r="AB434" i="2"/>
  <c r="U434" i="2"/>
  <c r="AB433" i="2"/>
  <c r="U433" i="2"/>
  <c r="AB432" i="2"/>
  <c r="U432" i="2"/>
  <c r="AB431" i="2"/>
  <c r="P431" i="2"/>
  <c r="U431" i="2" s="1"/>
  <c r="AB430" i="2"/>
  <c r="P430" i="2"/>
  <c r="U430" i="2" s="1"/>
  <c r="AB429" i="2"/>
  <c r="U429" i="2"/>
  <c r="AB428" i="2"/>
  <c r="U428" i="2"/>
  <c r="AB427" i="2"/>
  <c r="U427" i="2"/>
  <c r="AB426" i="2"/>
  <c r="U426" i="2"/>
  <c r="AB425" i="2"/>
  <c r="P425" i="2"/>
  <c r="U425" i="2" s="1"/>
  <c r="AB424" i="2"/>
  <c r="U424" i="2"/>
  <c r="AB423" i="2"/>
  <c r="P423" i="2"/>
  <c r="U423" i="2" s="1"/>
  <c r="AB422" i="2"/>
  <c r="U422" i="2"/>
  <c r="AB421" i="2"/>
  <c r="P421" i="2"/>
  <c r="U421" i="2" s="1"/>
  <c r="AB420" i="2"/>
  <c r="P420" i="2"/>
  <c r="U420" i="2" s="1"/>
  <c r="AB419" i="2"/>
  <c r="U419" i="2"/>
  <c r="AB418" i="2"/>
  <c r="U418" i="2"/>
  <c r="AB417" i="2"/>
  <c r="P417" i="2"/>
  <c r="U417" i="2" s="1"/>
  <c r="AB415" i="2"/>
  <c r="P415" i="2"/>
  <c r="U415" i="2" s="1"/>
  <c r="AB413" i="2"/>
  <c r="P413" i="2"/>
  <c r="U413" i="2" s="1"/>
  <c r="AB412" i="2"/>
  <c r="AB410" i="2"/>
  <c r="AB408" i="2"/>
  <c r="P408" i="2"/>
  <c r="U408" i="2" s="1"/>
  <c r="AB406" i="2"/>
  <c r="U406" i="2"/>
  <c r="AB405" i="2"/>
  <c r="U405" i="2"/>
  <c r="AB404" i="2"/>
  <c r="U404" i="2"/>
  <c r="AB403" i="2"/>
  <c r="AB402" i="2"/>
  <c r="AB401" i="2"/>
  <c r="U401" i="2"/>
  <c r="AB400" i="2"/>
  <c r="P400" i="2"/>
  <c r="U400" i="2" s="1"/>
  <c r="AB399" i="2"/>
  <c r="U399" i="2"/>
  <c r="AB397" i="2"/>
  <c r="U397" i="2"/>
  <c r="AB395" i="2"/>
  <c r="U395" i="2"/>
  <c r="AB394" i="2"/>
  <c r="P394" i="2"/>
  <c r="U394" i="2" s="1"/>
  <c r="AB393" i="2"/>
  <c r="U393" i="2"/>
  <c r="AB392" i="2"/>
  <c r="U392" i="2"/>
  <c r="AB391" i="2"/>
  <c r="P391" i="2"/>
  <c r="U391" i="2" s="1"/>
  <c r="AB390" i="2"/>
  <c r="P390" i="2"/>
  <c r="U390" i="2" s="1"/>
  <c r="AB389" i="2"/>
  <c r="U389" i="2"/>
  <c r="AB388" i="2"/>
  <c r="P388" i="2"/>
  <c r="U388" i="2" s="1"/>
  <c r="AB387" i="2"/>
  <c r="U387" i="2"/>
  <c r="AB386" i="2"/>
  <c r="U386" i="2"/>
  <c r="AB384" i="2"/>
  <c r="U384" i="2"/>
  <c r="AB383" i="2"/>
  <c r="U383" i="2"/>
  <c r="AB382" i="2"/>
  <c r="AB381" i="2"/>
  <c r="U381" i="2"/>
  <c r="AB380" i="2"/>
  <c r="U380" i="2"/>
  <c r="AB379" i="2"/>
  <c r="U379" i="2"/>
  <c r="AB378" i="2"/>
  <c r="U378" i="2"/>
  <c r="AB377" i="2"/>
  <c r="U377" i="2"/>
  <c r="AB373" i="2"/>
  <c r="P373" i="2"/>
  <c r="U373" i="2" s="1"/>
  <c r="AB372" i="2"/>
  <c r="U372" i="2"/>
  <c r="AB371" i="2"/>
  <c r="P371" i="2"/>
  <c r="U371" i="2" s="1"/>
  <c r="AB374" i="2"/>
  <c r="U374" i="2"/>
  <c r="AB368" i="2"/>
  <c r="P368" i="2"/>
  <c r="U368" i="2" s="1"/>
  <c r="AB367" i="2"/>
  <c r="U367" i="2"/>
  <c r="AB366" i="2"/>
  <c r="U366" i="2"/>
  <c r="AB365" i="2"/>
  <c r="U365" i="2"/>
  <c r="AB364" i="2"/>
  <c r="U364" i="2"/>
  <c r="AB363" i="2"/>
  <c r="U363" i="2"/>
  <c r="AB362" i="2"/>
  <c r="U362" i="2"/>
  <c r="AB360" i="2"/>
  <c r="U360" i="2"/>
  <c r="AB359" i="2"/>
  <c r="U359" i="2"/>
  <c r="AB358" i="2"/>
  <c r="U358" i="2"/>
  <c r="AB357" i="2"/>
  <c r="U357" i="2"/>
  <c r="AB356" i="2"/>
  <c r="P356" i="2"/>
  <c r="U356" i="2" s="1"/>
  <c r="AB355" i="2"/>
  <c r="U355" i="2"/>
  <c r="AB354" i="2"/>
  <c r="U354" i="2"/>
  <c r="AB353" i="2"/>
  <c r="P353" i="2"/>
  <c r="U353" i="2" s="1"/>
  <c r="AB352" i="2"/>
  <c r="U352" i="2"/>
  <c r="AB350" i="2"/>
  <c r="U350" i="2"/>
  <c r="AB349" i="2"/>
  <c r="P349" i="2"/>
  <c r="U349" i="2" s="1"/>
  <c r="AB348" i="2"/>
  <c r="U348" i="2"/>
  <c r="AB347" i="2"/>
  <c r="U347" i="2"/>
  <c r="AB346" i="2"/>
  <c r="U346" i="2"/>
  <c r="AB345" i="2"/>
  <c r="U345" i="2"/>
  <c r="AB344" i="2"/>
  <c r="U344" i="2"/>
  <c r="AB343" i="2"/>
  <c r="U343" i="2"/>
  <c r="AB342" i="2"/>
  <c r="U342" i="2"/>
  <c r="AB340" i="2"/>
  <c r="U340" i="2"/>
  <c r="AB339" i="2"/>
  <c r="U339" i="2"/>
  <c r="AB338" i="2"/>
  <c r="U338" i="2"/>
  <c r="AB337" i="2"/>
  <c r="P337" i="2"/>
  <c r="U337" i="2" s="1"/>
  <c r="AB336" i="2"/>
  <c r="U336" i="2"/>
  <c r="AB335" i="2"/>
  <c r="U335" i="2"/>
  <c r="AB334" i="2"/>
  <c r="U334" i="2"/>
  <c r="AB333" i="2"/>
  <c r="U333" i="2"/>
  <c r="AB331" i="2"/>
  <c r="U331" i="2"/>
  <c r="AB330" i="2"/>
  <c r="U330" i="2"/>
  <c r="AB329" i="2"/>
  <c r="U329" i="2"/>
  <c r="AB328" i="2"/>
  <c r="P328" i="2"/>
  <c r="U328" i="2" s="1"/>
  <c r="AB327" i="2"/>
  <c r="P327" i="2"/>
  <c r="U327" i="2" s="1"/>
  <c r="AB326" i="2"/>
  <c r="P326" i="2"/>
  <c r="U326" i="2" s="1"/>
  <c r="AB325" i="2"/>
  <c r="P325" i="2"/>
  <c r="U325" i="2" s="1"/>
  <c r="AB324" i="2"/>
  <c r="P324" i="2"/>
  <c r="U324" i="2" s="1"/>
  <c r="AB323" i="2"/>
  <c r="U323" i="2"/>
  <c r="AB322" i="2"/>
  <c r="P322" i="2"/>
  <c r="U322" i="2" s="1"/>
  <c r="AB321" i="2"/>
  <c r="P321" i="2"/>
  <c r="U321" i="2" s="1"/>
  <c r="AB320" i="2"/>
  <c r="U320" i="2"/>
  <c r="AB319" i="2"/>
  <c r="AB318" i="2"/>
  <c r="AB317" i="2"/>
  <c r="P317" i="2"/>
  <c r="U317" i="2" s="1"/>
  <c r="AB315" i="2"/>
  <c r="P315" i="2"/>
  <c r="U315" i="2" s="1"/>
  <c r="AB314" i="2"/>
  <c r="AB313" i="2"/>
  <c r="AB312" i="2"/>
  <c r="AB311" i="2"/>
  <c r="U311" i="2"/>
  <c r="AB309" i="2"/>
  <c r="P309" i="2"/>
  <c r="U309" i="2" s="1"/>
  <c r="AB308" i="2"/>
  <c r="P308" i="2"/>
  <c r="U308" i="2" s="1"/>
  <c r="AB307" i="2"/>
  <c r="U307" i="2"/>
  <c r="AB306" i="2"/>
  <c r="U306" i="2"/>
  <c r="AB305" i="2"/>
  <c r="U305" i="2"/>
  <c r="AB304" i="2"/>
  <c r="P304" i="2"/>
  <c r="U304" i="2" s="1"/>
  <c r="AB303" i="2"/>
  <c r="P303" i="2"/>
  <c r="U303" i="2" s="1"/>
  <c r="AB302" i="2"/>
  <c r="U302" i="2"/>
  <c r="AB301" i="2"/>
  <c r="P301" i="2"/>
  <c r="U301" i="2" s="1"/>
  <c r="AB299" i="2"/>
  <c r="U299" i="2"/>
  <c r="AB298" i="2"/>
  <c r="P298" i="2"/>
  <c r="U298" i="2" s="1"/>
  <c r="AB297" i="2"/>
  <c r="U297" i="2"/>
  <c r="AB296" i="2"/>
  <c r="U296" i="2"/>
  <c r="AB295" i="2"/>
  <c r="U295" i="2"/>
  <c r="AB294" i="2"/>
  <c r="P294" i="2"/>
  <c r="U294" i="2" s="1"/>
  <c r="AB293" i="2"/>
  <c r="U293" i="2"/>
  <c r="AB292" i="2"/>
  <c r="U292" i="2"/>
  <c r="AB290" i="2"/>
  <c r="U290" i="2"/>
  <c r="AB289" i="2"/>
  <c r="U289" i="2"/>
  <c r="AB288" i="2"/>
  <c r="U288" i="2"/>
  <c r="AB287" i="2"/>
  <c r="U287" i="2"/>
  <c r="AB286" i="2"/>
  <c r="U286" i="2"/>
  <c r="AB285" i="2"/>
  <c r="U285" i="2"/>
  <c r="AB284" i="2"/>
  <c r="U284" i="2"/>
  <c r="AB283" i="2"/>
  <c r="U283" i="2"/>
  <c r="AB282" i="2"/>
  <c r="U282" i="2"/>
  <c r="AB281" i="2"/>
  <c r="U281" i="2"/>
  <c r="AB280" i="2"/>
  <c r="U280" i="2"/>
  <c r="AB279" i="2"/>
  <c r="U279" i="2"/>
  <c r="AB278" i="2"/>
  <c r="U278" i="2"/>
  <c r="AB277" i="2"/>
  <c r="P277" i="2"/>
  <c r="U277" i="2" s="1"/>
  <c r="AB276" i="2"/>
  <c r="U276" i="2"/>
  <c r="AB274" i="2"/>
  <c r="U274" i="2"/>
  <c r="AB273" i="2"/>
  <c r="U273" i="2"/>
  <c r="AB272" i="2"/>
  <c r="U272" i="2"/>
  <c r="AB271" i="2"/>
  <c r="P271" i="2"/>
  <c r="AB270" i="2"/>
  <c r="U270" i="2"/>
  <c r="AB269" i="2"/>
  <c r="U269" i="2"/>
  <c r="AB268" i="2"/>
  <c r="P268" i="2"/>
  <c r="U268" i="2" s="1"/>
  <c r="AB267" i="2"/>
  <c r="P267" i="2"/>
  <c r="U267" i="2" s="1"/>
  <c r="AB266" i="2"/>
  <c r="U266" i="2"/>
  <c r="AB265" i="2"/>
  <c r="U265" i="2"/>
  <c r="AB264" i="2"/>
  <c r="P264" i="2"/>
  <c r="U264" i="2" s="1"/>
  <c r="AB263" i="2"/>
  <c r="P263" i="2"/>
  <c r="U263" i="2" s="1"/>
  <c r="AB262" i="2"/>
  <c r="U262" i="2"/>
  <c r="AB259" i="2"/>
  <c r="U259" i="2"/>
  <c r="AB258" i="2"/>
  <c r="U258" i="2"/>
  <c r="AB257" i="2"/>
  <c r="P257" i="2"/>
  <c r="U257" i="2" s="1"/>
  <c r="AB256" i="2"/>
  <c r="U256" i="2"/>
  <c r="AB255" i="2"/>
  <c r="P255" i="2"/>
  <c r="U255" i="2" s="1"/>
  <c r="AB254" i="2"/>
  <c r="U254" i="2"/>
  <c r="AB252" i="2"/>
  <c r="P252" i="2"/>
  <c r="U252" i="2" s="1"/>
  <c r="AB251" i="2"/>
  <c r="U251" i="2"/>
  <c r="AB247" i="2"/>
  <c r="U247" i="2"/>
  <c r="AB246" i="2"/>
  <c r="P246" i="2"/>
  <c r="U246" i="2" s="1"/>
  <c r="AB245" i="2"/>
  <c r="P245" i="2"/>
  <c r="U245" i="2" s="1"/>
  <c r="AB244" i="2"/>
  <c r="U244" i="2"/>
  <c r="AB243" i="2"/>
  <c r="U243" i="2"/>
  <c r="AB242" i="2"/>
  <c r="P242" i="2"/>
  <c r="U242" i="2" s="1"/>
  <c r="AB241" i="2"/>
  <c r="U241" i="2"/>
  <c r="AB239" i="2"/>
  <c r="U239" i="2"/>
  <c r="AB238" i="2"/>
  <c r="U238" i="2"/>
  <c r="AB235" i="2"/>
  <c r="U235" i="2"/>
  <c r="AB234" i="2"/>
  <c r="P234" i="2"/>
  <c r="U234" i="2" s="1"/>
  <c r="AB233" i="2"/>
  <c r="U233" i="2"/>
  <c r="AB232" i="2"/>
  <c r="AB231" i="2"/>
  <c r="P231" i="2"/>
  <c r="U231" i="2" s="1"/>
  <c r="AB230" i="2"/>
  <c r="U230" i="2"/>
  <c r="AB229" i="2"/>
  <c r="P229" i="2"/>
  <c r="U229" i="2" s="1"/>
  <c r="AB227" i="2"/>
  <c r="U227" i="2"/>
  <c r="AB226" i="2"/>
  <c r="U226" i="2"/>
  <c r="AB225" i="2"/>
  <c r="P225" i="2"/>
  <c r="U225" i="2" s="1"/>
  <c r="AB223" i="2"/>
  <c r="P223" i="2"/>
  <c r="U223" i="2" s="1"/>
  <c r="AB222" i="2"/>
  <c r="U222" i="2"/>
  <c r="AB221" i="2"/>
  <c r="U221" i="2"/>
  <c r="AB220" i="2"/>
  <c r="AB219" i="2"/>
  <c r="AB217" i="2"/>
  <c r="P217" i="2"/>
  <c r="U217" i="2" s="1"/>
  <c r="AB216" i="2"/>
  <c r="P216" i="2"/>
  <c r="U216" i="2" s="1"/>
  <c r="AB215" i="2"/>
  <c r="P215" i="2"/>
  <c r="U215" i="2" s="1"/>
  <c r="AB214" i="2"/>
  <c r="P214" i="2"/>
  <c r="U214" i="2" s="1"/>
  <c r="AB213" i="2"/>
  <c r="AB212" i="2"/>
  <c r="U212" i="2"/>
  <c r="AB211" i="2"/>
  <c r="U211" i="2"/>
  <c r="AB210" i="2"/>
  <c r="U210" i="2"/>
  <c r="AB209" i="2"/>
  <c r="U209" i="2"/>
  <c r="AB208" i="2"/>
  <c r="U208" i="2"/>
  <c r="AB207" i="2"/>
  <c r="P207" i="2"/>
  <c r="U207" i="2" s="1"/>
  <c r="AB206" i="2"/>
  <c r="U206" i="2"/>
  <c r="AB205" i="2"/>
  <c r="U205" i="2"/>
  <c r="AB204" i="2"/>
  <c r="P204" i="2"/>
  <c r="U204" i="2" s="1"/>
  <c r="AB203" i="2"/>
  <c r="P203" i="2"/>
  <c r="U203" i="2" s="1"/>
  <c r="AB202" i="2"/>
  <c r="U202" i="2"/>
  <c r="AB201" i="2"/>
  <c r="U201" i="2"/>
  <c r="AB200" i="2"/>
  <c r="U200" i="2"/>
  <c r="AB199" i="2"/>
  <c r="U199" i="2"/>
  <c r="AB197" i="2"/>
  <c r="U197" i="2"/>
  <c r="AB196" i="2"/>
  <c r="U196" i="2"/>
  <c r="AB195" i="2"/>
  <c r="P195" i="2"/>
  <c r="U195" i="2" s="1"/>
  <c r="AB194" i="2"/>
  <c r="P194" i="2"/>
  <c r="U194" i="2" s="1"/>
  <c r="AB193" i="2"/>
  <c r="P193" i="2"/>
  <c r="U193" i="2" s="1"/>
  <c r="AB192" i="2"/>
  <c r="U192" i="2"/>
  <c r="AB190" i="2"/>
  <c r="P190" i="2"/>
  <c r="U190" i="2" s="1"/>
  <c r="AB189" i="2"/>
  <c r="U189" i="2"/>
  <c r="AB188" i="2"/>
  <c r="U188" i="2"/>
  <c r="AB187" i="2"/>
  <c r="AB186" i="2"/>
  <c r="P186" i="2"/>
  <c r="U186" i="2" s="1"/>
  <c r="AB185" i="2"/>
  <c r="U185" i="2"/>
  <c r="AB184" i="2"/>
  <c r="U184" i="2"/>
  <c r="AB183" i="2"/>
  <c r="P183" i="2"/>
  <c r="U183" i="2" s="1"/>
  <c r="AB181" i="2"/>
  <c r="U181" i="2"/>
  <c r="AB180" i="2"/>
  <c r="U180" i="2"/>
  <c r="AB179" i="2"/>
  <c r="U179" i="2"/>
  <c r="AB178" i="2"/>
  <c r="P178" i="2"/>
  <c r="U178" i="2" s="1"/>
  <c r="AB177" i="2"/>
  <c r="P177" i="2"/>
  <c r="U177" i="2" s="1"/>
  <c r="AB176" i="2"/>
  <c r="P176" i="2"/>
  <c r="U176" i="2" s="1"/>
  <c r="AB173" i="2"/>
  <c r="U173" i="2"/>
  <c r="AB172" i="2"/>
  <c r="P172" i="2"/>
  <c r="U172" i="2" s="1"/>
  <c r="AB171" i="2"/>
  <c r="U171" i="2"/>
  <c r="AB170" i="2"/>
  <c r="U170" i="2"/>
  <c r="AB168" i="2"/>
  <c r="U168" i="2"/>
  <c r="AB167" i="2"/>
  <c r="U167" i="2"/>
  <c r="AB166" i="2"/>
  <c r="P166" i="2"/>
  <c r="U166" i="2" s="1"/>
  <c r="AB165" i="2"/>
  <c r="P165" i="2"/>
  <c r="U165" i="2" s="1"/>
  <c r="AB164" i="2"/>
  <c r="P164" i="2"/>
  <c r="U164" i="2" s="1"/>
  <c r="AB163" i="2"/>
  <c r="U163" i="2"/>
  <c r="AB162" i="2"/>
  <c r="P162" i="2"/>
  <c r="U162" i="2" s="1"/>
  <c r="AB161" i="2"/>
  <c r="P161" i="2"/>
  <c r="U161" i="2" s="1"/>
  <c r="AB160" i="2"/>
  <c r="U160" i="2"/>
  <c r="AB159" i="2"/>
  <c r="U159" i="2"/>
  <c r="AB158" i="2"/>
  <c r="U158" i="2"/>
  <c r="AB157" i="2"/>
  <c r="U157" i="2"/>
  <c r="AB156" i="2"/>
  <c r="U156" i="2"/>
  <c r="AB155" i="2"/>
  <c r="P155" i="2"/>
  <c r="U155" i="2" s="1"/>
  <c r="AB153" i="2"/>
  <c r="P153" i="2"/>
  <c r="U153" i="2" s="1"/>
  <c r="AB152" i="2"/>
  <c r="U152" i="2"/>
  <c r="AB151" i="2"/>
  <c r="P151" i="2"/>
  <c r="U151" i="2" s="1"/>
  <c r="AB150" i="2"/>
  <c r="P150" i="2"/>
  <c r="U150" i="2" s="1"/>
  <c r="AB149" i="2"/>
  <c r="U149" i="2"/>
  <c r="AB148" i="2"/>
  <c r="U148" i="2"/>
  <c r="AB147" i="2"/>
  <c r="U147" i="2"/>
  <c r="AB146" i="2"/>
  <c r="U146" i="2"/>
  <c r="AB144" i="2"/>
  <c r="U144" i="2"/>
  <c r="AB143" i="2"/>
  <c r="U143" i="2"/>
  <c r="AB142" i="2"/>
  <c r="P142" i="2"/>
  <c r="U142" i="2" s="1"/>
  <c r="AB141" i="2"/>
  <c r="U141" i="2"/>
  <c r="AB140" i="2"/>
  <c r="U140" i="2"/>
  <c r="AB139" i="2"/>
  <c r="U139" i="2"/>
  <c r="AB138" i="2"/>
  <c r="P138" i="2"/>
  <c r="U138" i="2" s="1"/>
  <c r="AB137" i="2"/>
  <c r="U137" i="2"/>
  <c r="AB136" i="2"/>
  <c r="U136" i="2"/>
  <c r="AB135" i="2"/>
  <c r="P135" i="2"/>
  <c r="U135" i="2" s="1"/>
  <c r="AB134" i="2"/>
  <c r="AB133" i="2"/>
  <c r="P133" i="2"/>
  <c r="U133" i="2" s="1"/>
  <c r="AB132" i="2"/>
  <c r="P132" i="2"/>
  <c r="U132" i="2" s="1"/>
  <c r="AB131" i="2"/>
  <c r="U131" i="2"/>
  <c r="AB130" i="2"/>
  <c r="U130" i="2"/>
  <c r="AB129" i="2"/>
  <c r="P129" i="2"/>
  <c r="U129" i="2" s="1"/>
  <c r="AB128" i="2"/>
  <c r="P128" i="2"/>
  <c r="U128" i="2" s="1"/>
  <c r="AB127" i="2"/>
  <c r="U127" i="2"/>
  <c r="AB126" i="2"/>
  <c r="U126" i="2"/>
  <c r="AB125" i="2"/>
  <c r="P125" i="2"/>
  <c r="U125" i="2" s="1"/>
  <c r="AB123" i="2"/>
  <c r="U123" i="2"/>
  <c r="AB122" i="2"/>
  <c r="U122" i="2"/>
  <c r="AB121" i="2"/>
  <c r="U121" i="2"/>
  <c r="AB120" i="2"/>
  <c r="U120" i="2"/>
  <c r="AB119" i="2"/>
  <c r="U119" i="2"/>
  <c r="AB118" i="2"/>
  <c r="U118" i="2"/>
  <c r="AB116" i="2"/>
  <c r="U116" i="2"/>
  <c r="AB115" i="2"/>
  <c r="U115" i="2"/>
  <c r="AB113" i="2"/>
  <c r="U113" i="2"/>
  <c r="AB112" i="2"/>
  <c r="U112" i="2"/>
  <c r="AB111" i="2"/>
  <c r="U111" i="2"/>
  <c r="AB108" i="2"/>
  <c r="U108" i="2"/>
  <c r="AB107" i="2"/>
  <c r="U107" i="2"/>
  <c r="AB106" i="2"/>
  <c r="U106" i="2"/>
  <c r="AB105" i="2"/>
  <c r="U105" i="2"/>
  <c r="AB104" i="2"/>
  <c r="U104" i="2"/>
  <c r="AB102" i="2"/>
  <c r="U102" i="2"/>
  <c r="AB99" i="2"/>
  <c r="P99" i="2"/>
  <c r="U99" i="2" s="1"/>
  <c r="AB98" i="2"/>
  <c r="U98" i="2"/>
  <c r="AB97" i="2"/>
  <c r="U97" i="2"/>
  <c r="AB96" i="2"/>
  <c r="P96" i="2"/>
  <c r="U96" i="2" s="1"/>
  <c r="AB95" i="2"/>
  <c r="U95" i="2"/>
  <c r="AB94" i="2"/>
  <c r="U94" i="2"/>
  <c r="AB93" i="2"/>
  <c r="P93" i="2"/>
  <c r="U93" i="2" s="1"/>
  <c r="AB92" i="2"/>
  <c r="U92" i="2"/>
  <c r="AB91" i="2"/>
  <c r="P91" i="2"/>
  <c r="U91" i="2" s="1"/>
  <c r="AB90" i="2"/>
  <c r="U90" i="2"/>
  <c r="AB89" i="2"/>
  <c r="U89" i="2"/>
  <c r="AB88" i="2"/>
  <c r="U88" i="2"/>
  <c r="AB86" i="2"/>
  <c r="U86" i="2"/>
  <c r="AB85" i="2"/>
  <c r="U85" i="2"/>
  <c r="AB84" i="2"/>
  <c r="P84" i="2"/>
  <c r="U84" i="2" s="1"/>
  <c r="AB83" i="2"/>
  <c r="P83" i="2"/>
  <c r="U83" i="2" s="1"/>
  <c r="AB82" i="2"/>
  <c r="U82" i="2"/>
  <c r="AB81" i="2"/>
  <c r="U81" i="2"/>
  <c r="AB80" i="2"/>
  <c r="U80" i="2"/>
  <c r="AB79" i="2"/>
  <c r="U79" i="2"/>
  <c r="AB78" i="2"/>
  <c r="P78" i="2"/>
  <c r="U78" i="2" s="1"/>
  <c r="AB77" i="2"/>
  <c r="U77" i="2"/>
  <c r="AB73" i="2"/>
  <c r="P73" i="2"/>
  <c r="U73" i="2" s="1"/>
  <c r="AB72" i="2"/>
  <c r="P72" i="2"/>
  <c r="U72" i="2" s="1"/>
  <c r="AB71" i="2"/>
  <c r="U71" i="2"/>
  <c r="AB70" i="2"/>
  <c r="P70" i="2"/>
  <c r="U70" i="2" s="1"/>
  <c r="AB69" i="2"/>
  <c r="U69" i="2"/>
  <c r="AB68" i="2"/>
  <c r="U68" i="2"/>
  <c r="AB67" i="2"/>
  <c r="P67" i="2"/>
  <c r="U67" i="2" s="1"/>
  <c r="AB66" i="2"/>
  <c r="U66" i="2"/>
  <c r="AB65" i="2"/>
  <c r="P65" i="2"/>
  <c r="U65" i="2" s="1"/>
  <c r="AB64" i="2"/>
  <c r="U64" i="2"/>
  <c r="AB63" i="2"/>
  <c r="U63" i="2"/>
  <c r="AB62" i="2"/>
  <c r="U62" i="2"/>
  <c r="AB61" i="2"/>
  <c r="U61" i="2"/>
  <c r="AB59" i="2"/>
  <c r="P59" i="2"/>
  <c r="U59" i="2" s="1"/>
  <c r="AB58" i="2"/>
  <c r="P58" i="2"/>
  <c r="U58" i="2" s="1"/>
  <c r="AB57" i="2"/>
  <c r="P57" i="2"/>
  <c r="U57" i="2" s="1"/>
  <c r="AB56" i="2"/>
  <c r="U56" i="2"/>
  <c r="AB55" i="2"/>
  <c r="U55" i="2"/>
  <c r="AB54" i="2"/>
  <c r="AB53" i="2"/>
  <c r="U53" i="2"/>
  <c r="AB52" i="2"/>
  <c r="U52" i="2"/>
  <c r="AB50" i="2"/>
  <c r="P50" i="2"/>
  <c r="U50" i="2" s="1"/>
  <c r="AB47" i="2"/>
  <c r="U47" i="2"/>
  <c r="AB46" i="2"/>
  <c r="U46" i="2"/>
  <c r="AB45" i="2"/>
  <c r="U45" i="2"/>
  <c r="AB44" i="2"/>
  <c r="P44" i="2"/>
  <c r="U44" i="2" s="1"/>
  <c r="AB43" i="2"/>
  <c r="U43" i="2"/>
  <c r="AB42" i="2"/>
  <c r="U42" i="2"/>
  <c r="AB41" i="2"/>
  <c r="U41" i="2"/>
  <c r="AB40" i="2"/>
  <c r="U40" i="2"/>
  <c r="AB39" i="2"/>
  <c r="P39" i="2"/>
  <c r="U39" i="2" s="1"/>
  <c r="AB38" i="2"/>
  <c r="P38" i="2"/>
  <c r="U38" i="2" s="1"/>
  <c r="AB37" i="2"/>
  <c r="U37" i="2"/>
  <c r="AB36" i="2"/>
  <c r="P36" i="2"/>
  <c r="U36" i="2" s="1"/>
  <c r="AB35" i="2"/>
  <c r="AB34" i="2"/>
  <c r="P34" i="2"/>
  <c r="U34" i="2" s="1"/>
  <c r="AB33" i="2"/>
  <c r="P33" i="2"/>
  <c r="U33" i="2" s="1"/>
  <c r="AB32" i="2"/>
  <c r="U32" i="2"/>
  <c r="AB31" i="2"/>
  <c r="U31" i="2"/>
  <c r="AB30" i="2"/>
  <c r="U30" i="2"/>
  <c r="AB29" i="2"/>
  <c r="U29" i="2"/>
  <c r="AB28" i="2"/>
  <c r="U28" i="2"/>
  <c r="AB27" i="2"/>
  <c r="U27" i="2"/>
  <c r="AB26" i="2"/>
  <c r="U26" i="2"/>
  <c r="AB24" i="2"/>
  <c r="U24" i="2"/>
  <c r="AB23" i="2"/>
  <c r="U23" i="2"/>
  <c r="AB22" i="2"/>
  <c r="U22" i="2"/>
  <c r="AB21" i="2"/>
  <c r="AB19" i="2"/>
  <c r="U19" i="2"/>
  <c r="AB18" i="2"/>
  <c r="P18" i="2"/>
  <c r="U18" i="2" s="1"/>
  <c r="AB17" i="2"/>
  <c r="U17" i="2"/>
  <c r="M17" i="2"/>
  <c r="AB16" i="2"/>
  <c r="P16" i="2"/>
  <c r="U16" i="2" s="1"/>
  <c r="AB15" i="2"/>
  <c r="U15" i="2"/>
  <c r="AB14" i="2"/>
  <c r="P14" i="2"/>
  <c r="U14" i="2" s="1"/>
  <c r="AB13" i="2"/>
  <c r="U13" i="2"/>
  <c r="AB12" i="2"/>
  <c r="U12" i="2"/>
  <c r="AB10" i="2"/>
  <c r="U10" i="2"/>
  <c r="AB9" i="2"/>
  <c r="P9" i="2"/>
  <c r="U9" i="2" s="1"/>
  <c r="AB8" i="2"/>
  <c r="U8" i="2"/>
  <c r="AB7" i="2"/>
  <c r="U7" i="2"/>
  <c r="AB6" i="2"/>
  <c r="U6" i="2"/>
  <c r="AB5" i="2"/>
  <c r="U5" i="2"/>
  <c r="AB3" i="2"/>
  <c r="P3" i="2"/>
  <c r="U3" i="2" s="1"/>
  <c r="AB2" i="2"/>
  <c r="U2" i="2"/>
</calcChain>
</file>

<file path=xl/sharedStrings.xml><?xml version="1.0" encoding="utf-8"?>
<sst xmlns="http://schemas.openxmlformats.org/spreadsheetml/2006/main" count="22931" uniqueCount="4289">
  <si>
    <t>codeSite</t>
  </si>
  <si>
    <t>commune</t>
  </si>
  <si>
    <t>region</t>
  </si>
  <si>
    <t>siteName</t>
  </si>
  <si>
    <t>siteNameGsm</t>
  </si>
  <si>
    <t>siteNameWcdma</t>
  </si>
  <si>
    <t>siteNameLte</t>
  </si>
  <si>
    <t>siu</t>
  </si>
  <si>
    <t>siuType</t>
  </si>
  <si>
    <t>xRgnc</t>
  </si>
  <si>
    <t>yRgnc</t>
  </si>
  <si>
    <t>lonWgs84</t>
  </si>
  <si>
    <t>latWgs84</t>
  </si>
  <si>
    <t>nbSect</t>
  </si>
  <si>
    <t>nbCellsWcdma</t>
  </si>
  <si>
    <t>nbCellsLte</t>
  </si>
  <si>
    <t>nrjSept19</t>
  </si>
  <si>
    <t>trig</t>
  </si>
  <si>
    <t>bandType</t>
  </si>
  <si>
    <t>IOT</t>
  </si>
  <si>
    <t>4G+</t>
  </si>
  <si>
    <t>pointStratégique</t>
  </si>
  <si>
    <t>Site_Name_2G</t>
  </si>
  <si>
    <t>BSC</t>
  </si>
  <si>
    <t>RBS_Name_3G</t>
  </si>
  <si>
    <t>RNC</t>
  </si>
  <si>
    <t>ERBS</t>
  </si>
  <si>
    <t>Trigramme</t>
  </si>
  <si>
    <t>116028</t>
  </si>
  <si>
    <t>NOUMEA</t>
  </si>
  <si>
    <t>NEA</t>
  </si>
  <si>
    <t>POINT_116</t>
  </si>
  <si>
    <t>POINT_116bb</t>
  </si>
  <si>
    <t>POINT116</t>
  </si>
  <si>
    <t>SIU</t>
  </si>
  <si>
    <t>Concessionnaire</t>
  </si>
  <si>
    <t>116</t>
  </si>
  <si>
    <t>Urbain</t>
  </si>
  <si>
    <t>aggloGrdNea</t>
  </si>
  <si>
    <t>BSC09</t>
  </si>
  <si>
    <t>RNCPK5</t>
  </si>
  <si>
    <t>145363</t>
  </si>
  <si>
    <t>SARRAMEA</t>
  </si>
  <si>
    <t>SUD</t>
  </si>
  <si>
    <t>PIC_145</t>
  </si>
  <si>
    <t>PIC_145bb</t>
  </si>
  <si>
    <t>145</t>
  </si>
  <si>
    <t>Rural</t>
  </si>
  <si>
    <t>1RM128</t>
  </si>
  <si>
    <t>DUMBEA</t>
  </si>
  <si>
    <t>GRD NEA 1</t>
  </si>
  <si>
    <t>REMORQUE_1bb</t>
  </si>
  <si>
    <t>N/A</t>
  </si>
  <si>
    <t>BASEBAND</t>
  </si>
  <si>
    <t>1RM</t>
  </si>
  <si>
    <t>3VL146</t>
  </si>
  <si>
    <t>PAITA</t>
  </si>
  <si>
    <t>LES_3_VALLEES</t>
  </si>
  <si>
    <t>3_VALLEES</t>
  </si>
  <si>
    <t>3_VALLEESbb</t>
  </si>
  <si>
    <t>3VL</t>
  </si>
  <si>
    <t>3VL146s</t>
  </si>
  <si>
    <t>RES_3_VALLEES</t>
  </si>
  <si>
    <t>3_VALLEESs</t>
  </si>
  <si>
    <t>3_VALLEESbbs</t>
  </si>
  <si>
    <t>3VLs</t>
  </si>
  <si>
    <t>ACR584</t>
  </si>
  <si>
    <t>KONE</t>
  </si>
  <si>
    <t>NORD</t>
  </si>
  <si>
    <t>GREEN_ACRE_BT</t>
  </si>
  <si>
    <t>POUEMBOUTbb</t>
  </si>
  <si>
    <t>ACR</t>
  </si>
  <si>
    <t>POUEMBOUTbb (GREEN_ACRE_BT)</t>
  </si>
  <si>
    <t>RNCKONE</t>
  </si>
  <si>
    <t>ADS140</t>
  </si>
  <si>
    <t>ARENE_DU_SUD</t>
  </si>
  <si>
    <t>ARENE_SUD</t>
  </si>
  <si>
    <t>ADS</t>
  </si>
  <si>
    <t>AGE401</t>
  </si>
  <si>
    <t>PONERIHOUEN</t>
  </si>
  <si>
    <t>PONERIHOUENbb</t>
  </si>
  <si>
    <t>AGE</t>
  </si>
  <si>
    <t>BSC10</t>
  </si>
  <si>
    <t>AGL150</t>
  </si>
  <si>
    <t>AGRICAL</t>
  </si>
  <si>
    <t>AGRICALbb</t>
  </si>
  <si>
    <t>Prive</t>
  </si>
  <si>
    <t>AGL</t>
  </si>
  <si>
    <t>AGT089</t>
  </si>
  <si>
    <t>AGENCE_TELECOM</t>
  </si>
  <si>
    <t>AGENCE_TELECOMbb</t>
  </si>
  <si>
    <t>AGT</t>
  </si>
  <si>
    <t>AIG101</t>
  </si>
  <si>
    <t>MONT DORE</t>
  </si>
  <si>
    <t>AIGUADE</t>
  </si>
  <si>
    <t>AIGUADEbb</t>
  </si>
  <si>
    <t>AIG</t>
  </si>
  <si>
    <t>AIU315</t>
  </si>
  <si>
    <t>CANALA</t>
  </si>
  <si>
    <t>ME_AIU</t>
  </si>
  <si>
    <t>ME_AIUbb</t>
  </si>
  <si>
    <t>AIU</t>
  </si>
  <si>
    <t>Swap DUW</t>
  </si>
  <si>
    <t>AMO501</t>
  </si>
  <si>
    <t>POINDIMIE</t>
  </si>
  <si>
    <t>AMOA</t>
  </si>
  <si>
    <t>AMOAbb</t>
  </si>
  <si>
    <t>POPOMEOU</t>
  </si>
  <si>
    <t>AMO</t>
  </si>
  <si>
    <t>AOL301</t>
  </si>
  <si>
    <t>AOULIbb</t>
  </si>
  <si>
    <t>AOULI</t>
  </si>
  <si>
    <t>PROKOMEOU</t>
  </si>
  <si>
    <t>AOL</t>
  </si>
  <si>
    <t>AOU402</t>
  </si>
  <si>
    <t>AOUPINIE</t>
  </si>
  <si>
    <t>AOUPINIEe</t>
  </si>
  <si>
    <t>AOU</t>
  </si>
  <si>
    <t>APO171</t>
  </si>
  <si>
    <t>APOGOTI</t>
  </si>
  <si>
    <t>APOGOTIbb</t>
  </si>
  <si>
    <t>APO</t>
  </si>
  <si>
    <t>ARA601</t>
  </si>
  <si>
    <t>POUM</t>
  </si>
  <si>
    <t>ARAMA</t>
  </si>
  <si>
    <t>ARAMAbb</t>
  </si>
  <si>
    <t>ARA</t>
  </si>
  <si>
    <t>ATE766</t>
  </si>
  <si>
    <t>OUVEA</t>
  </si>
  <si>
    <t>ILES</t>
  </si>
  <si>
    <t>ATELIERS</t>
  </si>
  <si>
    <t>ATELIERSbb</t>
  </si>
  <si>
    <t>ATE</t>
  </si>
  <si>
    <t>AZU088</t>
  </si>
  <si>
    <t>AZUR_PISCINES</t>
  </si>
  <si>
    <t>AZUR_PISCINESbb</t>
  </si>
  <si>
    <t>AZU</t>
  </si>
  <si>
    <t>BAN139</t>
  </si>
  <si>
    <t>BANGOU</t>
  </si>
  <si>
    <t>BANGOUbb</t>
  </si>
  <si>
    <t>BAN</t>
  </si>
  <si>
    <t>BAR217</t>
  </si>
  <si>
    <t>YATE</t>
  </si>
  <si>
    <t>BARRAGE_ENERCAL</t>
  </si>
  <si>
    <t>BARRAGE_ENERCALbb</t>
  </si>
  <si>
    <t>TCU</t>
  </si>
  <si>
    <t>BAR</t>
  </si>
  <si>
    <t>BAU472</t>
  </si>
  <si>
    <t>POYA</t>
  </si>
  <si>
    <t>BEAUPREbb</t>
  </si>
  <si>
    <t>BEAUPRE</t>
  </si>
  <si>
    <t>Solaire-GE</t>
  </si>
  <si>
    <t>BAU</t>
  </si>
  <si>
    <t>BAY579</t>
  </si>
  <si>
    <t>BAYES</t>
  </si>
  <si>
    <t>BAYESbb</t>
  </si>
  <si>
    <t>BAY</t>
  </si>
  <si>
    <t>BCB597</t>
  </si>
  <si>
    <t>BACO_BT</t>
  </si>
  <si>
    <t>BACO_BTbb</t>
  </si>
  <si>
    <t>BCB</t>
  </si>
  <si>
    <t>BCR550</t>
  </si>
  <si>
    <t>BACO_RPN2</t>
  </si>
  <si>
    <t>BACO_RPN2bb</t>
  </si>
  <si>
    <t>BCR</t>
  </si>
  <si>
    <t>BDC076</t>
  </si>
  <si>
    <t>BDC</t>
  </si>
  <si>
    <t>BDCbb</t>
  </si>
  <si>
    <t>BEA172</t>
  </si>
  <si>
    <t>BEAUVALLON</t>
  </si>
  <si>
    <t>BEAUVALLONbb</t>
  </si>
  <si>
    <t>BEA</t>
  </si>
  <si>
    <t>BEL616</t>
  </si>
  <si>
    <t>BELEP</t>
  </si>
  <si>
    <t>WALAbb</t>
  </si>
  <si>
    <t>WALA</t>
  </si>
  <si>
    <t>BEL</t>
  </si>
  <si>
    <t>BER451</t>
  </si>
  <si>
    <t>POUEMBOUT</t>
  </si>
  <si>
    <t>BERNHEIMbb</t>
  </si>
  <si>
    <t>BERNHEIM</t>
  </si>
  <si>
    <t>BERNHEIM_SLNbb</t>
  </si>
  <si>
    <t>NEPOUI</t>
  </si>
  <si>
    <t>BER</t>
  </si>
  <si>
    <t>BGE046</t>
  </si>
  <si>
    <t>IMM_BOGEY</t>
  </si>
  <si>
    <t>IMMEUBLE_BOGEY</t>
  </si>
  <si>
    <t>IMMEUBLE_BOGEYe</t>
  </si>
  <si>
    <t>VAL_DES_COLONS</t>
  </si>
  <si>
    <t>BGE</t>
  </si>
  <si>
    <t>BGR450</t>
  </si>
  <si>
    <t>BOURAIL</t>
  </si>
  <si>
    <t>BANIAN_GRIS</t>
  </si>
  <si>
    <t>BANIAN_GRISBB</t>
  </si>
  <si>
    <t>BANIAN_GRISbb</t>
  </si>
  <si>
    <t>Solaire</t>
  </si>
  <si>
    <t>BGR</t>
  </si>
  <si>
    <t>Swap RBS</t>
  </si>
  <si>
    <t>BGV002</t>
  </si>
  <si>
    <t>BOUGAINVILLEbb</t>
  </si>
  <si>
    <t>BOUGAINVILLE</t>
  </si>
  <si>
    <t>BGV</t>
  </si>
  <si>
    <t>BHP001</t>
  </si>
  <si>
    <t>BHP</t>
  </si>
  <si>
    <t>BHPbb</t>
  </si>
  <si>
    <t>LoRa</t>
  </si>
  <si>
    <t>BLP381</t>
  </si>
  <si>
    <t>BOULOUPARIS</t>
  </si>
  <si>
    <t>BOULOUPARISe</t>
  </si>
  <si>
    <t>BLP</t>
  </si>
  <si>
    <t>BLR103</t>
  </si>
  <si>
    <t>BOULARI</t>
  </si>
  <si>
    <t>BOULARIe</t>
  </si>
  <si>
    <t>ROBINSON</t>
  </si>
  <si>
    <t>BLR</t>
  </si>
  <si>
    <t>BMN448</t>
  </si>
  <si>
    <t>BOUEMIEN</t>
  </si>
  <si>
    <t>BOUEMIENbb</t>
  </si>
  <si>
    <t>BMN</t>
  </si>
  <si>
    <t>BOE131</t>
  </si>
  <si>
    <t>BOEWA</t>
  </si>
  <si>
    <t>BOEWAe</t>
  </si>
  <si>
    <t>BOE</t>
  </si>
  <si>
    <t>BON611</t>
  </si>
  <si>
    <t>OUEGOA</t>
  </si>
  <si>
    <t>RES_BONDE</t>
  </si>
  <si>
    <t>RVR_BONDE</t>
  </si>
  <si>
    <t>RVR_BONDEbb</t>
  </si>
  <si>
    <t>MANDJELIA</t>
  </si>
  <si>
    <t>BON</t>
  </si>
  <si>
    <t>BOP502</t>
  </si>
  <si>
    <t>BOPOPE</t>
  </si>
  <si>
    <t>BOPOPEbb</t>
  </si>
  <si>
    <t>BOP</t>
  </si>
  <si>
    <t>BOR452</t>
  </si>
  <si>
    <t>BOREGAHO</t>
  </si>
  <si>
    <t>BOREGAHOe</t>
  </si>
  <si>
    <t>BOR</t>
  </si>
  <si>
    <t>BOREGAHObb</t>
  </si>
  <si>
    <t>BOT047</t>
  </si>
  <si>
    <t>BOTANY_P</t>
  </si>
  <si>
    <t>BOTANY_PARK</t>
  </si>
  <si>
    <t>BOTANY_PARKbb</t>
  </si>
  <si>
    <t>BOT</t>
  </si>
  <si>
    <t>BOU169</t>
  </si>
  <si>
    <t>BOULARI_BT</t>
  </si>
  <si>
    <t>BOULARI_BTbb</t>
  </si>
  <si>
    <t>BOU</t>
  </si>
  <si>
    <t>BOY650</t>
  </si>
  <si>
    <t>VOH</t>
  </si>
  <si>
    <t>BOYEN</t>
  </si>
  <si>
    <t>BOYENe</t>
  </si>
  <si>
    <t>BOY</t>
  </si>
  <si>
    <t>BPA674</t>
  </si>
  <si>
    <t>BWE_PAIbb</t>
  </si>
  <si>
    <t>BWE_PAI</t>
  </si>
  <si>
    <t>TIEBAGHI_OPT</t>
  </si>
  <si>
    <t>BPA</t>
  </si>
  <si>
    <t>BWE_PAIBB</t>
  </si>
  <si>
    <t>BPH383</t>
  </si>
  <si>
    <t>BOULOUPARIS_HIPPODROME</t>
  </si>
  <si>
    <t>OUITCHAMBObb</t>
  </si>
  <si>
    <t>BPH</t>
  </si>
  <si>
    <t>OUITCHAMBObb (BOULOUPARIS_HIPPODROME)</t>
  </si>
  <si>
    <t>BRA049</t>
  </si>
  <si>
    <t>IMM_BERARD</t>
  </si>
  <si>
    <t>IMMEUBLE_BERARD</t>
  </si>
  <si>
    <t>IMMEUBLE_BERARDe</t>
  </si>
  <si>
    <t>BRA</t>
  </si>
  <si>
    <t>BRB681</t>
  </si>
  <si>
    <t>BARABATCH</t>
  </si>
  <si>
    <t>BARABATCHbb</t>
  </si>
  <si>
    <t>BRB</t>
  </si>
  <si>
    <t>BRK388</t>
  </si>
  <si>
    <t>BOURAKE_BT</t>
  </si>
  <si>
    <t>BOURAKE_BTbb</t>
  </si>
  <si>
    <t>BRK</t>
  </si>
  <si>
    <t>BRL453</t>
  </si>
  <si>
    <t>BOURAILe</t>
  </si>
  <si>
    <t>BRL</t>
  </si>
  <si>
    <t>BTD442</t>
  </si>
  <si>
    <t>BOE_TANDE</t>
  </si>
  <si>
    <t>BOE_TANDEbb</t>
  </si>
  <si>
    <t>BTD</t>
  </si>
  <si>
    <t>BTK487</t>
  </si>
  <si>
    <t>BETIKURE</t>
  </si>
  <si>
    <t>BETIKUREbb</t>
  </si>
  <si>
    <t>BTK</t>
  </si>
  <si>
    <t>BUT174</t>
  </si>
  <si>
    <t>BUTTE_KOUTIO</t>
  </si>
  <si>
    <t>BUTTE_KOUTIObb</t>
  </si>
  <si>
    <t>BUT</t>
  </si>
  <si>
    <t>BVI208</t>
  </si>
  <si>
    <t>INCO_BASE_VIE</t>
  </si>
  <si>
    <t>INCO_BASE_VIEbb</t>
  </si>
  <si>
    <t>BVI</t>
  </si>
  <si>
    <t>BWA602</t>
  </si>
  <si>
    <t>POUEBO</t>
  </si>
  <si>
    <t>BWATE</t>
  </si>
  <si>
    <t>BWATEbb</t>
  </si>
  <si>
    <t>BWA</t>
  </si>
  <si>
    <t>BWATEBB</t>
  </si>
  <si>
    <t>BWP603</t>
  </si>
  <si>
    <t>BWE_PAYUC</t>
  </si>
  <si>
    <t>BWE_PAYUCbb</t>
  </si>
  <si>
    <t>BWP</t>
  </si>
  <si>
    <t>BWE_PAYUCBB</t>
  </si>
  <si>
    <t>C48105</t>
  </si>
  <si>
    <t>COL_48</t>
  </si>
  <si>
    <t>COL48</t>
  </si>
  <si>
    <t>COL48bb</t>
  </si>
  <si>
    <t>C48</t>
  </si>
  <si>
    <t>CAN303</t>
  </si>
  <si>
    <t>CANALAe</t>
  </si>
  <si>
    <t>CAN</t>
  </si>
  <si>
    <t>CAP449</t>
  </si>
  <si>
    <t>LE_CAP_BTbb</t>
  </si>
  <si>
    <t>CAP</t>
  </si>
  <si>
    <t>CAS589</t>
  </si>
  <si>
    <t>CASSISbb</t>
  </si>
  <si>
    <t>CAS</t>
  </si>
  <si>
    <t>CAT004</t>
  </si>
  <si>
    <t>CATA</t>
  </si>
  <si>
    <t>CATAe</t>
  </si>
  <si>
    <t>CAT</t>
  </si>
  <si>
    <t>CBD116</t>
  </si>
  <si>
    <t>CHABAUD</t>
  </si>
  <si>
    <t>MONT_MOUbb</t>
  </si>
  <si>
    <t>CBD</t>
  </si>
  <si>
    <t>MONT_MOUbb (CHABAUD)</t>
  </si>
  <si>
    <t>CBE260</t>
  </si>
  <si>
    <t>ILE DES PINS</t>
  </si>
  <si>
    <t>CORBEILLE</t>
  </si>
  <si>
    <t>CORBEILLEbb</t>
  </si>
  <si>
    <t>CBE</t>
  </si>
  <si>
    <t>CBO454</t>
  </si>
  <si>
    <t>COL_DE_BOGHEN</t>
  </si>
  <si>
    <t>COL_DE_BOGHENBB</t>
  </si>
  <si>
    <t>COL_DE_BOGHENbb</t>
  </si>
  <si>
    <t>TENE</t>
  </si>
  <si>
    <t>CBO</t>
  </si>
  <si>
    <t>CBU455</t>
  </si>
  <si>
    <t>COL_DE_BOUIROU</t>
  </si>
  <si>
    <t>COL_DE_BOUIROUe</t>
  </si>
  <si>
    <t>CBU</t>
  </si>
  <si>
    <t>CCI484</t>
  </si>
  <si>
    <t>COL_DES_CITRONS</t>
  </si>
  <si>
    <t>COL_CITRONSBB</t>
  </si>
  <si>
    <t>COL_DES_CITRONSbb</t>
  </si>
  <si>
    <t>CCI</t>
  </si>
  <si>
    <t>CEN733</t>
  </si>
  <si>
    <t>MARE</t>
  </si>
  <si>
    <t>CENGEITE</t>
  </si>
  <si>
    <t>CENGEITEe</t>
  </si>
  <si>
    <t>CEN</t>
  </si>
  <si>
    <t>CET553</t>
  </si>
  <si>
    <t>KONE_ZI</t>
  </si>
  <si>
    <t>KONE_ZIe</t>
  </si>
  <si>
    <t>CET</t>
  </si>
  <si>
    <t>CGC005</t>
  </si>
  <si>
    <t>CGCL</t>
  </si>
  <si>
    <t>CGCLbb</t>
  </si>
  <si>
    <t>CGC</t>
  </si>
  <si>
    <t>CGO491</t>
  </si>
  <si>
    <t>GOULVAIN</t>
  </si>
  <si>
    <t>GOULVAINbb</t>
  </si>
  <si>
    <t>CGO</t>
  </si>
  <si>
    <t>CHA668</t>
  </si>
  <si>
    <t>KOUMAC</t>
  </si>
  <si>
    <t>CHAGRIN</t>
  </si>
  <si>
    <t>CHAGRINbb</t>
  </si>
  <si>
    <t>CHA</t>
  </si>
  <si>
    <t>CHE701</t>
  </si>
  <si>
    <t>LIFOU</t>
  </si>
  <si>
    <t>CHEPENEHE</t>
  </si>
  <si>
    <t>CHEPENEHEe</t>
  </si>
  <si>
    <t>CHE</t>
  </si>
  <si>
    <t>CHP006</t>
  </si>
  <si>
    <t>CHAMPION</t>
  </si>
  <si>
    <t>CHAMPIONe</t>
  </si>
  <si>
    <t>CHP</t>
  </si>
  <si>
    <t>CHT804</t>
  </si>
  <si>
    <t>CHTe</t>
  </si>
  <si>
    <t>CHT</t>
  </si>
  <si>
    <t>CHT821</t>
  </si>
  <si>
    <t>CHT_1</t>
  </si>
  <si>
    <t>CHT822</t>
  </si>
  <si>
    <t>CHT_2</t>
  </si>
  <si>
    <t>CIL728</t>
  </si>
  <si>
    <t>CILA</t>
  </si>
  <si>
    <t>NANGbb</t>
  </si>
  <si>
    <t>CIL</t>
  </si>
  <si>
    <t>NANGbb (CILA)</t>
  </si>
  <si>
    <t>CIT012</t>
  </si>
  <si>
    <t>FCR</t>
  </si>
  <si>
    <t>FCRe</t>
  </si>
  <si>
    <t>CIT</t>
  </si>
  <si>
    <t>CKO148</t>
  </si>
  <si>
    <t>KOUTIO</t>
  </si>
  <si>
    <t>KOUTIOe</t>
  </si>
  <si>
    <t>CKO</t>
  </si>
  <si>
    <t>CLA406</t>
  </si>
  <si>
    <t>HOUAILOU</t>
  </si>
  <si>
    <t>COULA_BT</t>
  </si>
  <si>
    <t>COULA_BTbb</t>
  </si>
  <si>
    <t>CLA</t>
  </si>
  <si>
    <t>CLE052</t>
  </si>
  <si>
    <t>IMM_CLEMENCEAU</t>
  </si>
  <si>
    <t>IMM_CLEMENCEAUBB</t>
  </si>
  <si>
    <t>IMM_CLEMENCEAUbb</t>
  </si>
  <si>
    <t>IMM_CLE</t>
  </si>
  <si>
    <t>CLE</t>
  </si>
  <si>
    <t>CLT604</t>
  </si>
  <si>
    <t>COLNETT</t>
  </si>
  <si>
    <t>COLNETTbb</t>
  </si>
  <si>
    <t>CLT</t>
  </si>
  <si>
    <t>CMD104</t>
  </si>
  <si>
    <t>CASINO_MT_DORE</t>
  </si>
  <si>
    <t>CASINO_MT_DOREe</t>
  </si>
  <si>
    <t>CMD</t>
  </si>
  <si>
    <t>CMO456</t>
  </si>
  <si>
    <t>MOINDOU</t>
  </si>
  <si>
    <t>COL_DE_MOMEA</t>
  </si>
  <si>
    <t>COL_DE_MOMEAe</t>
  </si>
  <si>
    <t>CMO</t>
  </si>
  <si>
    <t>CMU457</t>
  </si>
  <si>
    <t>COL_DE_MUEO</t>
  </si>
  <si>
    <t>COL_DE_MUEOBB</t>
  </si>
  <si>
    <t>COL_DE_MUEObb</t>
  </si>
  <si>
    <t>CMU</t>
  </si>
  <si>
    <t>CND202</t>
  </si>
  <si>
    <t>CAP_NDUA</t>
  </si>
  <si>
    <t>CAP_NDUABB</t>
  </si>
  <si>
    <t>CAP_NDUAbb</t>
  </si>
  <si>
    <t>OUNGONE</t>
  </si>
  <si>
    <t>CND</t>
  </si>
  <si>
    <t>CNG651</t>
  </si>
  <si>
    <t>KAALA GOMEN</t>
  </si>
  <si>
    <t>CONE</t>
  </si>
  <si>
    <t>CONEbb</t>
  </si>
  <si>
    <t>CNG</t>
  </si>
  <si>
    <t>CNL302</t>
  </si>
  <si>
    <t>US_CANALA</t>
  </si>
  <si>
    <t>US_CANALAbb</t>
  </si>
  <si>
    <t>CNL</t>
  </si>
  <si>
    <t>COF072</t>
  </si>
  <si>
    <t>MONT_COFFYN</t>
  </si>
  <si>
    <t>MONT_COFFYNbb</t>
  </si>
  <si>
    <t>COF</t>
  </si>
  <si>
    <t>COL039</t>
  </si>
  <si>
    <t>VALLEE_DES_COLONS</t>
  </si>
  <si>
    <t>VALLEE_DES_COLONSe</t>
  </si>
  <si>
    <t>COL</t>
  </si>
  <si>
    <t>CON008</t>
  </si>
  <si>
    <t>CONVIVIAL</t>
  </si>
  <si>
    <t>CONVIVIALe</t>
  </si>
  <si>
    <t>TIGRE_CONVIVIAL</t>
  </si>
  <si>
    <t>CON</t>
  </si>
  <si>
    <t>COR173</t>
  </si>
  <si>
    <t>CORNICHE</t>
  </si>
  <si>
    <t>CORNICHEbb</t>
  </si>
  <si>
    <t>COR</t>
  </si>
  <si>
    <t>COS106</t>
  </si>
  <si>
    <t>COSMOGOLF</t>
  </si>
  <si>
    <t>COSMOGOLFe</t>
  </si>
  <si>
    <t>COS</t>
  </si>
  <si>
    <t>COU377</t>
  </si>
  <si>
    <t>COULI_BT</t>
  </si>
  <si>
    <t>MATHIEU</t>
  </si>
  <si>
    <t>MATHIEUbb</t>
  </si>
  <si>
    <t>COU</t>
  </si>
  <si>
    <t>MATHIEUbb (COULI_BT)</t>
  </si>
  <si>
    <t>CPN571</t>
  </si>
  <si>
    <t>OUAPAN</t>
  </si>
  <si>
    <t>OUAPANBB</t>
  </si>
  <si>
    <t>COL_DE_OUAPANbb</t>
  </si>
  <si>
    <t>COL_OUAPAN</t>
  </si>
  <si>
    <t>CPN</t>
  </si>
  <si>
    <t>COL_DE_OUAPANBB</t>
  </si>
  <si>
    <t>CPT003</t>
  </si>
  <si>
    <t>CAPITAINERIE</t>
  </si>
  <si>
    <t>CAPITAINERIEe</t>
  </si>
  <si>
    <t>CPT</t>
  </si>
  <si>
    <t>CRT468</t>
  </si>
  <si>
    <t>COL_ROUSSETTES</t>
  </si>
  <si>
    <t>COL_ROUSSETBB</t>
  </si>
  <si>
    <t>COL_DES_ROUSSETTESbb</t>
  </si>
  <si>
    <t>CRT</t>
  </si>
  <si>
    <t>COL_DES_ROUSSETTESBB</t>
  </si>
  <si>
    <t>CSO078</t>
  </si>
  <si>
    <t>CASA_DEL_SOLE</t>
  </si>
  <si>
    <t>CASA_DEL_SOLEbb</t>
  </si>
  <si>
    <t>CSO</t>
  </si>
  <si>
    <t>CTA059</t>
  </si>
  <si>
    <t>CTA</t>
  </si>
  <si>
    <t>TINA_MAR</t>
  </si>
  <si>
    <t>TINA_MARKET</t>
  </si>
  <si>
    <t>CTAe</t>
  </si>
  <si>
    <t>TINA_MAR(CTA)</t>
  </si>
  <si>
    <t>TINA_MARKET (CTA)</t>
  </si>
  <si>
    <t>CUA739</t>
  </si>
  <si>
    <t>CUADEN</t>
  </si>
  <si>
    <t>PENELO</t>
  </si>
  <si>
    <t>PENELObb</t>
  </si>
  <si>
    <t>CUA</t>
  </si>
  <si>
    <t>PENELO (CUADEN)</t>
  </si>
  <si>
    <t>PENELObb (CUADEN)</t>
  </si>
  <si>
    <t>CWA675</t>
  </si>
  <si>
    <t>COL_WAHONE</t>
  </si>
  <si>
    <t>COL_WAHONEbb</t>
  </si>
  <si>
    <t>CWA</t>
  </si>
  <si>
    <t>COL_WAHONEBB</t>
  </si>
  <si>
    <t>CYI084</t>
  </si>
  <si>
    <t>CYCLAMEN</t>
  </si>
  <si>
    <t>CYCLAMENbb</t>
  </si>
  <si>
    <t>CYI</t>
  </si>
  <si>
    <t>CZP189</t>
  </si>
  <si>
    <t>CTL_ZAC_PANDAbb</t>
  </si>
  <si>
    <t>CZP</t>
  </si>
  <si>
    <t>DBM171</t>
  </si>
  <si>
    <t>DUMBEA_MALL</t>
  </si>
  <si>
    <t>DBM</t>
  </si>
  <si>
    <t>APOGOTIbb (DUMBEA_MALL)</t>
  </si>
  <si>
    <t>DBO043</t>
  </si>
  <si>
    <t>SLN</t>
  </si>
  <si>
    <t>SLNe</t>
  </si>
  <si>
    <t>DBO</t>
  </si>
  <si>
    <t>DCE057</t>
  </si>
  <si>
    <t>DUCOS_CENTRE</t>
  </si>
  <si>
    <t>DUCOS_CENTREbb</t>
  </si>
  <si>
    <t>DCE</t>
  </si>
  <si>
    <t>DET259</t>
  </si>
  <si>
    <t>DETE_KARI</t>
  </si>
  <si>
    <t>DEETE_KARIbb</t>
  </si>
  <si>
    <t>DEETE_KARI</t>
  </si>
  <si>
    <t>DET</t>
  </si>
  <si>
    <t>DKM080</t>
  </si>
  <si>
    <t>KAMERE</t>
  </si>
  <si>
    <t>KAMEREbb</t>
  </si>
  <si>
    <t>DKM</t>
  </si>
  <si>
    <t>DMA184</t>
  </si>
  <si>
    <t>DUMBEA_MAIRIE</t>
  </si>
  <si>
    <t>DUMBEA_MAIRIEbb</t>
  </si>
  <si>
    <t>DMA</t>
  </si>
  <si>
    <t>DNU089</t>
  </si>
  <si>
    <t>DEPOT_CARBURANT_NUMBO</t>
  </si>
  <si>
    <t>DNU</t>
  </si>
  <si>
    <t>AGENCE_TELECOMbb (DEPOT_CARBURANT_NUMBO)</t>
  </si>
  <si>
    <t>DOR117</t>
  </si>
  <si>
    <t>MONT_DORE</t>
  </si>
  <si>
    <t>MONT_DOREbb</t>
  </si>
  <si>
    <t>DOR</t>
  </si>
  <si>
    <t>DRE702</t>
  </si>
  <si>
    <t>DREHU</t>
  </si>
  <si>
    <t>DREHU_VILLAGE</t>
  </si>
  <si>
    <t>DREHU_VILLAGEbb</t>
  </si>
  <si>
    <t>DRE</t>
  </si>
  <si>
    <t>DRU703</t>
  </si>
  <si>
    <t>DRUEULU</t>
  </si>
  <si>
    <t>DRUEULUbb</t>
  </si>
  <si>
    <t>DRU</t>
  </si>
  <si>
    <t>DSR321</t>
  </si>
  <si>
    <t>THIO</t>
  </si>
  <si>
    <t>DESIREE</t>
  </si>
  <si>
    <t>DESIREEbb</t>
  </si>
  <si>
    <t>DSR</t>
  </si>
  <si>
    <t>DTS009</t>
  </si>
  <si>
    <t>DTSIbb</t>
  </si>
  <si>
    <t>DTSI</t>
  </si>
  <si>
    <t>DTS</t>
  </si>
  <si>
    <t>DUC010</t>
  </si>
  <si>
    <t>DUCOS</t>
  </si>
  <si>
    <t>DUCOSe</t>
  </si>
  <si>
    <t>DUC</t>
  </si>
  <si>
    <t>DUM115</t>
  </si>
  <si>
    <t>MAIRIE_D</t>
  </si>
  <si>
    <t>MAIRIE_DUMBEA</t>
  </si>
  <si>
    <t>MAIRIE_DUMBEAbb</t>
  </si>
  <si>
    <t>DUM</t>
  </si>
  <si>
    <t>DUN188</t>
  </si>
  <si>
    <t>DUNITES</t>
  </si>
  <si>
    <t>DUNITESbb</t>
  </si>
  <si>
    <t>DUN</t>
  </si>
  <si>
    <t>DZU158</t>
  </si>
  <si>
    <t>DZUMAC</t>
  </si>
  <si>
    <t>DZUMACbb</t>
  </si>
  <si>
    <t>KOGHIS</t>
  </si>
  <si>
    <t>GE</t>
  </si>
  <si>
    <t>DZU</t>
  </si>
  <si>
    <t>EBR496</t>
  </si>
  <si>
    <t>ENTREE_BOURAILbb</t>
  </si>
  <si>
    <t>EBR</t>
  </si>
  <si>
    <t>EGO483</t>
  </si>
  <si>
    <t>GOUARO_ENTREE</t>
  </si>
  <si>
    <t>GOUARO_ENTREEbb</t>
  </si>
  <si>
    <t>GOUARO</t>
  </si>
  <si>
    <t>EGO</t>
  </si>
  <si>
    <t>EIN011</t>
  </si>
  <si>
    <t>EINSTEIN</t>
  </si>
  <si>
    <t>EINSTEINbb</t>
  </si>
  <si>
    <t>EIN</t>
  </si>
  <si>
    <t>EKO368</t>
  </si>
  <si>
    <t>LA FOA</t>
  </si>
  <si>
    <t>EMB_KO_HYB</t>
  </si>
  <si>
    <t>EMB_KO_HYBRID</t>
  </si>
  <si>
    <t>EMB_KObb</t>
  </si>
  <si>
    <t>EMB_KO</t>
  </si>
  <si>
    <t>EKO</t>
  </si>
  <si>
    <t>FAN432</t>
  </si>
  <si>
    <t>KOUAOUA</t>
  </si>
  <si>
    <t>FANY</t>
  </si>
  <si>
    <t>FANYbb</t>
  </si>
  <si>
    <t>FAN</t>
  </si>
  <si>
    <t>FAR351</t>
  </si>
  <si>
    <t>FARINO</t>
  </si>
  <si>
    <t>FARINOe</t>
  </si>
  <si>
    <t>FAR</t>
  </si>
  <si>
    <t>FAY108</t>
  </si>
  <si>
    <t>KOE_OPT</t>
  </si>
  <si>
    <t>KOE</t>
  </si>
  <si>
    <t>KOEe</t>
  </si>
  <si>
    <t>FAY</t>
  </si>
  <si>
    <t>FLA375</t>
  </si>
  <si>
    <t>FOCOLAbb</t>
  </si>
  <si>
    <t>FOCOLA</t>
  </si>
  <si>
    <t>FLA</t>
  </si>
  <si>
    <t>FNO372</t>
  </si>
  <si>
    <t>FORET_NOIRE</t>
  </si>
  <si>
    <t>OUATOM_TRIBUbb</t>
  </si>
  <si>
    <t>FNO</t>
  </si>
  <si>
    <t>OUATOM_TRIBUbb (FORET_NOIRE)</t>
  </si>
  <si>
    <t>FOA352</t>
  </si>
  <si>
    <t>LA_FOA</t>
  </si>
  <si>
    <t>LA_FOAe</t>
  </si>
  <si>
    <t>FOA</t>
  </si>
  <si>
    <t>FOC013</t>
  </si>
  <si>
    <t>FOCH</t>
  </si>
  <si>
    <t>FOCHbb</t>
  </si>
  <si>
    <t>FOC</t>
  </si>
  <si>
    <t>FON375</t>
  </si>
  <si>
    <t>FONWHARI</t>
  </si>
  <si>
    <t>FONWHARIbb</t>
  </si>
  <si>
    <t>FON</t>
  </si>
  <si>
    <t>FOCOLA (FONWHARY)</t>
  </si>
  <si>
    <t>FOR149</t>
  </si>
  <si>
    <t>MEDIPOLE</t>
  </si>
  <si>
    <t>MEDIPOLEe</t>
  </si>
  <si>
    <t>POSTE_BRIGITTE</t>
  </si>
  <si>
    <t>FOR</t>
  </si>
  <si>
    <t>FOU113</t>
  </si>
  <si>
    <t>LES_FOUGERES</t>
  </si>
  <si>
    <t>LES_FOUGERESe</t>
  </si>
  <si>
    <t>FOU</t>
  </si>
  <si>
    <t>FOY014</t>
  </si>
  <si>
    <t>FOYER_TAHITIE</t>
  </si>
  <si>
    <t>FOYER_TAHITIENbb</t>
  </si>
  <si>
    <t>FOY</t>
  </si>
  <si>
    <t>FP4068</t>
  </si>
  <si>
    <t>SR_FP</t>
  </si>
  <si>
    <t>SR_FPe</t>
  </si>
  <si>
    <t>FP4</t>
  </si>
  <si>
    <t>FPT147</t>
  </si>
  <si>
    <t>CHAMP_FOIRE</t>
  </si>
  <si>
    <t>CHAMP_DE_FOIRE</t>
  </si>
  <si>
    <t>CHAMP_DE_FOIREe</t>
  </si>
  <si>
    <t>FPT</t>
  </si>
  <si>
    <t>FYE767</t>
  </si>
  <si>
    <t>FAYAOUE</t>
  </si>
  <si>
    <t>FAYAOUEbb</t>
  </si>
  <si>
    <t>FYE</t>
  </si>
  <si>
    <t>GAD251</t>
  </si>
  <si>
    <t>GADJI</t>
  </si>
  <si>
    <t>GADJIe</t>
  </si>
  <si>
    <t>GAD</t>
  </si>
  <si>
    <t>GAL015</t>
  </si>
  <si>
    <t>GALLIENI</t>
  </si>
  <si>
    <t>GALLIENIe</t>
  </si>
  <si>
    <t>GAL</t>
  </si>
  <si>
    <t>GAM653</t>
  </si>
  <si>
    <t>GAMAI_II</t>
  </si>
  <si>
    <t>GAMAI_2</t>
  </si>
  <si>
    <t>GAMAI_2bb</t>
  </si>
  <si>
    <t>GAM</t>
  </si>
  <si>
    <t>GAR605</t>
  </si>
  <si>
    <t>HIENGHENE</t>
  </si>
  <si>
    <t>GARALEbb</t>
  </si>
  <si>
    <t>GARALE</t>
  </si>
  <si>
    <t>GAR</t>
  </si>
  <si>
    <t>GARALEBB</t>
  </si>
  <si>
    <t>GAT654</t>
  </si>
  <si>
    <t>GATOPE</t>
  </si>
  <si>
    <t>GATOPEe</t>
  </si>
  <si>
    <t>GAT</t>
  </si>
  <si>
    <t>GAU505</t>
  </si>
  <si>
    <t>GOWET</t>
  </si>
  <si>
    <t>GOWETbb</t>
  </si>
  <si>
    <t>GAU</t>
  </si>
  <si>
    <t>GBA205</t>
  </si>
  <si>
    <t>GOUEMBA</t>
  </si>
  <si>
    <t>GOUEMBAbb</t>
  </si>
  <si>
    <t>GBA</t>
  </si>
  <si>
    <t>GBP782</t>
  </si>
  <si>
    <t>GITE_BEAUPRE</t>
  </si>
  <si>
    <t>OULOUPbb</t>
  </si>
  <si>
    <t>GBP</t>
  </si>
  <si>
    <t>OULOUPbb (GITE_BEAUPRE)</t>
  </si>
  <si>
    <t>GLC201</t>
  </si>
  <si>
    <t>CAMP_INCO</t>
  </si>
  <si>
    <t>CAMP_INCObb</t>
  </si>
  <si>
    <t>GLC</t>
  </si>
  <si>
    <t>GND503</t>
  </si>
  <si>
    <t>GOA_NDORObb</t>
  </si>
  <si>
    <t>GOA_NDORO</t>
  </si>
  <si>
    <t>GND</t>
  </si>
  <si>
    <t>GOA_NDOROBB</t>
  </si>
  <si>
    <t>GNO604</t>
  </si>
  <si>
    <t>GALARINO</t>
  </si>
  <si>
    <t>GNO</t>
  </si>
  <si>
    <t>COLNETT (GALARINO)</t>
  </si>
  <si>
    <t>COLNETTbb (GALARINO)</t>
  </si>
  <si>
    <t>GOA474</t>
  </si>
  <si>
    <t>GOHAPIN</t>
  </si>
  <si>
    <t>GOHAPINbb</t>
  </si>
  <si>
    <t>AOUPINIE2</t>
  </si>
  <si>
    <t>GOA</t>
  </si>
  <si>
    <t>GOE362</t>
  </si>
  <si>
    <t>OUENGHI_G</t>
  </si>
  <si>
    <t>OUENGHI_GOLF</t>
  </si>
  <si>
    <t>OUENGHI_GOLFe</t>
  </si>
  <si>
    <t>TOMO</t>
  </si>
  <si>
    <t>GOE</t>
  </si>
  <si>
    <t>GOG403</t>
  </si>
  <si>
    <t>GOGOROTOU</t>
  </si>
  <si>
    <t>GOGOROTOUe</t>
  </si>
  <si>
    <t>GOG</t>
  </si>
  <si>
    <t>GOM652</t>
  </si>
  <si>
    <t>GOMEN_BT</t>
  </si>
  <si>
    <t>GOMEN_BTbb</t>
  </si>
  <si>
    <t>GOM</t>
  </si>
  <si>
    <t>GOR203</t>
  </si>
  <si>
    <t>GORO</t>
  </si>
  <si>
    <t>GORObb</t>
  </si>
  <si>
    <t>GOR</t>
  </si>
  <si>
    <t>GOS768</t>
  </si>
  <si>
    <t>GOSSANAH</t>
  </si>
  <si>
    <t>GOSSANAHbb</t>
  </si>
  <si>
    <t>GOS</t>
  </si>
  <si>
    <t>GOT428</t>
  </si>
  <si>
    <t>GOGOROTOU_TDFbb</t>
  </si>
  <si>
    <t>GOGOROTOU_TDF</t>
  </si>
  <si>
    <t>GOT</t>
  </si>
  <si>
    <t>GOU476</t>
  </si>
  <si>
    <t>GOUARObb</t>
  </si>
  <si>
    <t>GOU</t>
  </si>
  <si>
    <t>GOY425</t>
  </si>
  <si>
    <t>GOYETA_TRIBU</t>
  </si>
  <si>
    <t>RES_GOYETAbb</t>
  </si>
  <si>
    <t>GOY</t>
  </si>
  <si>
    <t>RES_GOYETAbb (GOYETA_TRIBU)</t>
  </si>
  <si>
    <t>GRT204</t>
  </si>
  <si>
    <t>GORO_TRIBUbb</t>
  </si>
  <si>
    <t>GOROTR</t>
  </si>
  <si>
    <t>GORO_TRIBU</t>
  </si>
  <si>
    <t>GRT</t>
  </si>
  <si>
    <t>GSM082</t>
  </si>
  <si>
    <t>GEANT_STM</t>
  </si>
  <si>
    <t>GEANT_STMbb</t>
  </si>
  <si>
    <t>GSM</t>
  </si>
  <si>
    <t>GTI054</t>
  </si>
  <si>
    <t>TINA_GOLF</t>
  </si>
  <si>
    <t>TINA_GOLFe</t>
  </si>
  <si>
    <t>GTI</t>
  </si>
  <si>
    <t>GVA017</t>
  </si>
  <si>
    <t>GREEN_VALLEY</t>
  </si>
  <si>
    <t>TJIBAOUe</t>
  </si>
  <si>
    <t>PK5</t>
  </si>
  <si>
    <t>GVA</t>
  </si>
  <si>
    <t>TJIBAOUe (GREEN_VALLEY)</t>
  </si>
  <si>
    <t>HAN707</t>
  </si>
  <si>
    <t>HNAMAN</t>
  </si>
  <si>
    <t>HNAMANbb</t>
  </si>
  <si>
    <t>HAN</t>
  </si>
  <si>
    <t>HAP769</t>
  </si>
  <si>
    <t>HAPETRA</t>
  </si>
  <si>
    <t>HAPETRAbb</t>
  </si>
  <si>
    <t>HAP</t>
  </si>
  <si>
    <t>HCM705</t>
  </si>
  <si>
    <t>HNACAOM</t>
  </si>
  <si>
    <t>HNACAOMbb</t>
  </si>
  <si>
    <t>HCM</t>
  </si>
  <si>
    <t>HIE504</t>
  </si>
  <si>
    <t>HIENGHENEbb</t>
  </si>
  <si>
    <t>HIE</t>
  </si>
  <si>
    <t>HLO708</t>
  </si>
  <si>
    <t>HNATALO</t>
  </si>
  <si>
    <t>HNATALOBB</t>
  </si>
  <si>
    <t>HNATALObb</t>
  </si>
  <si>
    <t>HLO</t>
  </si>
  <si>
    <t>HMK704</t>
  </si>
  <si>
    <t>HMELEK</t>
  </si>
  <si>
    <t>HMELEKbb</t>
  </si>
  <si>
    <t>HMK</t>
  </si>
  <si>
    <t>HOU404</t>
  </si>
  <si>
    <t>HOUAILOUbb</t>
  </si>
  <si>
    <t>HOU</t>
  </si>
  <si>
    <t>HRN443</t>
  </si>
  <si>
    <t>LOT_HERNU</t>
  </si>
  <si>
    <t>LOT_HERNUbb</t>
  </si>
  <si>
    <t>HRN</t>
  </si>
  <si>
    <t>HRO706</t>
  </si>
  <si>
    <t>HNADRO</t>
  </si>
  <si>
    <t>HNADRObb</t>
  </si>
  <si>
    <t>HRO</t>
  </si>
  <si>
    <t>HSI166</t>
  </si>
  <si>
    <t>HAUTS_SITES</t>
  </si>
  <si>
    <t>HAUTS_SITESbb</t>
  </si>
  <si>
    <t>HSI</t>
  </si>
  <si>
    <t>HUI709</t>
  </si>
  <si>
    <t>HUIWATRUL</t>
  </si>
  <si>
    <t>HUIWATRULbb</t>
  </si>
  <si>
    <t>HUI</t>
  </si>
  <si>
    <t>HUN710</t>
  </si>
  <si>
    <t>HUNETE</t>
  </si>
  <si>
    <t>HUNETEe</t>
  </si>
  <si>
    <t>HUN</t>
  </si>
  <si>
    <t>HWA771</t>
  </si>
  <si>
    <t>HWADRILLA_CS</t>
  </si>
  <si>
    <t>HWADRILLA_CSbb</t>
  </si>
  <si>
    <t>HWA</t>
  </si>
  <si>
    <t>HYP175</t>
  </si>
  <si>
    <t>HYPER_U</t>
  </si>
  <si>
    <t>PAITAbb</t>
  </si>
  <si>
    <t>HYP</t>
  </si>
  <si>
    <t>PAITAbb (HYPER_U)</t>
  </si>
  <si>
    <t>ILM018</t>
  </si>
  <si>
    <t>ILOT_MAITRE</t>
  </si>
  <si>
    <t>ILOT_MAITREbb</t>
  </si>
  <si>
    <t>ILM</t>
  </si>
  <si>
    <t>INA711</t>
  </si>
  <si>
    <t>INAGOJ</t>
  </si>
  <si>
    <t>INAGOJbb</t>
  </si>
  <si>
    <t>INA</t>
  </si>
  <si>
    <t>IPO209</t>
  </si>
  <si>
    <t>INCO_PORT</t>
  </si>
  <si>
    <t>INCO_SATE</t>
  </si>
  <si>
    <t>INCO_SATELLITE</t>
  </si>
  <si>
    <t>INCO_SATELLITEe</t>
  </si>
  <si>
    <t>IPO</t>
  </si>
  <si>
    <t>INCO_SATE (INCO_PORT)</t>
  </si>
  <si>
    <t>INCO_SATELLITE (INCO_PORT)</t>
  </si>
  <si>
    <t>INCO_SATELLITEe (INCO_PORT)</t>
  </si>
  <si>
    <t>IYA215</t>
  </si>
  <si>
    <t>IYA</t>
  </si>
  <si>
    <t>IYAe</t>
  </si>
  <si>
    <t>WAHO</t>
  </si>
  <si>
    <t>WAHO (IYA)</t>
  </si>
  <si>
    <t>WAHOe (IYA)</t>
  </si>
  <si>
    <t>JOH077</t>
  </si>
  <si>
    <t>JOHNSTON</t>
  </si>
  <si>
    <t>JOHNSTONbb</t>
  </si>
  <si>
    <t>JOH</t>
  </si>
  <si>
    <t>JOJ712</t>
  </si>
  <si>
    <t>JOJ</t>
  </si>
  <si>
    <t>JOJbb</t>
  </si>
  <si>
    <t>JOK713</t>
  </si>
  <si>
    <t>JOKIN</t>
  </si>
  <si>
    <t>JOKINbb</t>
  </si>
  <si>
    <t>JOK</t>
  </si>
  <si>
    <t>JOZ726</t>
  </si>
  <si>
    <t>JOZIP_BT</t>
  </si>
  <si>
    <t>KIAMUbb</t>
  </si>
  <si>
    <t>JOZ</t>
  </si>
  <si>
    <t>KIAMUbb (JOZIP_BT)</t>
  </si>
  <si>
    <t>JYA159</t>
  </si>
  <si>
    <t>JARDINS_YAHOUE</t>
  </si>
  <si>
    <t>JARDINS_YAHOUEbb</t>
  </si>
  <si>
    <t>JYA</t>
  </si>
  <si>
    <t>JZP714</t>
  </si>
  <si>
    <t>JOZIP</t>
  </si>
  <si>
    <t>JOZIPbb</t>
  </si>
  <si>
    <t>JZP</t>
  </si>
  <si>
    <t>KAB016</t>
  </si>
  <si>
    <t>GARAGE_KABAR</t>
  </si>
  <si>
    <t>GARAGE_KABARe</t>
  </si>
  <si>
    <t>KAB</t>
  </si>
  <si>
    <t>KAE677</t>
  </si>
  <si>
    <t>KAE_PANGOU</t>
  </si>
  <si>
    <t>KAE_PANGOUbb</t>
  </si>
  <si>
    <t>KAE</t>
  </si>
  <si>
    <t>KAO419</t>
  </si>
  <si>
    <t>BA_KAORA</t>
  </si>
  <si>
    <t>BA_KAORAbb</t>
  </si>
  <si>
    <t>BAKAORAbb</t>
  </si>
  <si>
    <t>KAO</t>
  </si>
  <si>
    <t>KAT176</t>
  </si>
  <si>
    <t>KATIRAMONA</t>
  </si>
  <si>
    <t>KATIRAMONAbb</t>
  </si>
  <si>
    <t>KAT</t>
  </si>
  <si>
    <t>KBE655</t>
  </si>
  <si>
    <t>KAREMBE</t>
  </si>
  <si>
    <t>KAREMBEe</t>
  </si>
  <si>
    <t>KBE</t>
  </si>
  <si>
    <t>KBO306</t>
  </si>
  <si>
    <t>KOTABObb</t>
  </si>
  <si>
    <t>KOTABOBB</t>
  </si>
  <si>
    <t>KBO</t>
  </si>
  <si>
    <t>KBT592</t>
  </si>
  <si>
    <t>KONE_BT</t>
  </si>
  <si>
    <t>KONE_BTbb</t>
  </si>
  <si>
    <t>KBT</t>
  </si>
  <si>
    <t>KED715</t>
  </si>
  <si>
    <t>KEDEIGNE</t>
  </si>
  <si>
    <t>KEIDEIGNE</t>
  </si>
  <si>
    <t>KEIDEIGNEbb</t>
  </si>
  <si>
    <t>KED</t>
  </si>
  <si>
    <t>KEE261</t>
  </si>
  <si>
    <t>KERE</t>
  </si>
  <si>
    <t>KEREbb</t>
  </si>
  <si>
    <t>KEE</t>
  </si>
  <si>
    <t>KEL458</t>
  </si>
  <si>
    <t>KELE</t>
  </si>
  <si>
    <t>KELEbb</t>
  </si>
  <si>
    <t>KEL</t>
  </si>
  <si>
    <t>KEN170</t>
  </si>
  <si>
    <t>KENU_IN_BT</t>
  </si>
  <si>
    <t>KENU_IN_BTbb</t>
  </si>
  <si>
    <t>KEN</t>
  </si>
  <si>
    <t>KER305</t>
  </si>
  <si>
    <t>KOUERGOAbb</t>
  </si>
  <si>
    <t>KOUERGOA</t>
  </si>
  <si>
    <t>KER</t>
  </si>
  <si>
    <t>KGH109</t>
  </si>
  <si>
    <t>KOGHISe</t>
  </si>
  <si>
    <t>KGH</t>
  </si>
  <si>
    <t>KGR178</t>
  </si>
  <si>
    <t>KOGHIS_RESIDENCE</t>
  </si>
  <si>
    <t>KOGHIS_BTbb</t>
  </si>
  <si>
    <t>KGR</t>
  </si>
  <si>
    <t>KOGHIS_BTbb (KOGHIS_RESIDENCE)</t>
  </si>
  <si>
    <t>KIA726</t>
  </si>
  <si>
    <t>KIAMU</t>
  </si>
  <si>
    <t>KIA</t>
  </si>
  <si>
    <t>KIN019</t>
  </si>
  <si>
    <t>KENU_IN</t>
  </si>
  <si>
    <t>KENU_INe</t>
  </si>
  <si>
    <t>KIN</t>
  </si>
  <si>
    <t>KKT107</t>
  </si>
  <si>
    <t>KARIKATE</t>
  </si>
  <si>
    <t>KARIKATEe</t>
  </si>
  <si>
    <t>KKT</t>
  </si>
  <si>
    <t>KLE507</t>
  </si>
  <si>
    <t>KOULNOUE</t>
  </si>
  <si>
    <t>KOULNOUEbb</t>
  </si>
  <si>
    <t>KLE</t>
  </si>
  <si>
    <t>KMC656</t>
  </si>
  <si>
    <t>KOUMAC_OPT</t>
  </si>
  <si>
    <t>KOUMAC_OPTe</t>
  </si>
  <si>
    <t>KMC</t>
  </si>
  <si>
    <t>KMO716</t>
  </si>
  <si>
    <t>KUMO</t>
  </si>
  <si>
    <t>KMO</t>
  </si>
  <si>
    <t>KNS566</t>
  </si>
  <si>
    <t>VAVOUTO_KNS</t>
  </si>
  <si>
    <t>TOUR_VAVOUTO_KNS</t>
  </si>
  <si>
    <t>TOUR_VAVOUTO_KNSe</t>
  </si>
  <si>
    <t>KNS</t>
  </si>
  <si>
    <t>KOA424</t>
  </si>
  <si>
    <t>KOUAOUA_AGENCE</t>
  </si>
  <si>
    <t>KOUAOUAbb</t>
  </si>
  <si>
    <t>KOA</t>
  </si>
  <si>
    <t>KOUAOUAbb (KOUAOUA_AGENCE)</t>
  </si>
  <si>
    <t>KOD252</t>
  </si>
  <si>
    <t>KODJEU</t>
  </si>
  <si>
    <t>KODJEUBB</t>
  </si>
  <si>
    <t>KODJEUbb</t>
  </si>
  <si>
    <t>MUE</t>
  </si>
  <si>
    <t>KOD</t>
  </si>
  <si>
    <t>KOE506</t>
  </si>
  <si>
    <t>TOUHO</t>
  </si>
  <si>
    <t>KOE_NORD</t>
  </si>
  <si>
    <t>KOE_NORDe</t>
  </si>
  <si>
    <t>KOG178</t>
  </si>
  <si>
    <t>KOGHIS_BT</t>
  </si>
  <si>
    <t>KOG</t>
  </si>
  <si>
    <t>KOH314</t>
  </si>
  <si>
    <t>KOH</t>
  </si>
  <si>
    <t>KOHbb</t>
  </si>
  <si>
    <t>KOI371</t>
  </si>
  <si>
    <t>KOINDE</t>
  </si>
  <si>
    <t>KOI</t>
  </si>
  <si>
    <t>EMB_KO_HYB (KOINDE)</t>
  </si>
  <si>
    <t>EMB_KO_HYBRID (KOINDE)</t>
  </si>
  <si>
    <t>EMB_KObb (KOINDE)</t>
  </si>
  <si>
    <t>KOK676</t>
  </si>
  <si>
    <t>KOKONDO</t>
  </si>
  <si>
    <t>KOKONDObb</t>
  </si>
  <si>
    <t>KOK</t>
  </si>
  <si>
    <t>KON552</t>
  </si>
  <si>
    <t>KONEe</t>
  </si>
  <si>
    <t>KON</t>
  </si>
  <si>
    <t>KOP459</t>
  </si>
  <si>
    <t>KOPETO_SLN</t>
  </si>
  <si>
    <t>KOPETO</t>
  </si>
  <si>
    <t>KOPETOe</t>
  </si>
  <si>
    <t>KOP</t>
  </si>
  <si>
    <t>KOU424</t>
  </si>
  <si>
    <t>KOU</t>
  </si>
  <si>
    <t>KOY576</t>
  </si>
  <si>
    <t>KOYABOA</t>
  </si>
  <si>
    <t>KOYABOAbb</t>
  </si>
  <si>
    <t>KOY</t>
  </si>
  <si>
    <t>KP3587</t>
  </si>
  <si>
    <t>KOPETO_R3</t>
  </si>
  <si>
    <t>KOPETO_R3bb</t>
  </si>
  <si>
    <t>KP3</t>
  </si>
  <si>
    <t>KP8594</t>
  </si>
  <si>
    <t>KOPETO_P8</t>
  </si>
  <si>
    <t>KOPETO_P8bb</t>
  </si>
  <si>
    <t>KP8</t>
  </si>
  <si>
    <t>KPC586</t>
  </si>
  <si>
    <t>KOPETO_CALTRAC</t>
  </si>
  <si>
    <t>KOPETO_CALTRACbb</t>
  </si>
  <si>
    <t>KPC</t>
  </si>
  <si>
    <t>KRA493</t>
  </si>
  <si>
    <t>KRADJI</t>
  </si>
  <si>
    <t>KRADJIbb</t>
  </si>
  <si>
    <t>KRA</t>
  </si>
  <si>
    <t>KRE317</t>
  </si>
  <si>
    <t>KOUARE</t>
  </si>
  <si>
    <t>KOUAREbb</t>
  </si>
  <si>
    <t>KRE</t>
  </si>
  <si>
    <t>KUE020</t>
  </si>
  <si>
    <t>KUENDU</t>
  </si>
  <si>
    <t>KUENDUe</t>
  </si>
  <si>
    <t>KUE</t>
  </si>
  <si>
    <t>KUT253</t>
  </si>
  <si>
    <t>KUTO</t>
  </si>
  <si>
    <t>KUTOe</t>
  </si>
  <si>
    <t>KUT</t>
  </si>
  <si>
    <t>KVI591</t>
  </si>
  <si>
    <t>KATAVITI</t>
  </si>
  <si>
    <t>KATAVITIbb</t>
  </si>
  <si>
    <t>KVI</t>
  </si>
  <si>
    <t>LAC112</t>
  </si>
  <si>
    <t>LACOULEE</t>
  </si>
  <si>
    <t>LA_COULEE</t>
  </si>
  <si>
    <t>LA_COULEEbb</t>
  </si>
  <si>
    <t>LAC</t>
  </si>
  <si>
    <t>LAN050</t>
  </si>
  <si>
    <t>LANTANA</t>
  </si>
  <si>
    <t>LANTANA_BEACH</t>
  </si>
  <si>
    <t>LANTANA_BEACHe</t>
  </si>
  <si>
    <t>LAN</t>
  </si>
  <si>
    <t>LAP734</t>
  </si>
  <si>
    <t>LAPEWEDRAN</t>
  </si>
  <si>
    <t>LAPEWEDRANe</t>
  </si>
  <si>
    <t>RUETE</t>
  </si>
  <si>
    <t>LAP</t>
  </si>
  <si>
    <t>LAV210</t>
  </si>
  <si>
    <t>LAVERIE</t>
  </si>
  <si>
    <t>LAVERIEbb</t>
  </si>
  <si>
    <t>LAV</t>
  </si>
  <si>
    <t>LCH021</t>
  </si>
  <si>
    <t>LONGCHAMP</t>
  </si>
  <si>
    <t>LONGCHAMPbb</t>
  </si>
  <si>
    <t>LCH</t>
  </si>
  <si>
    <t>LCP460</t>
  </si>
  <si>
    <t>LE_CAP</t>
  </si>
  <si>
    <t>LE_CAPBB</t>
  </si>
  <si>
    <t>LE_CAPbb</t>
  </si>
  <si>
    <t>LCP</t>
  </si>
  <si>
    <t>LCZ167</t>
  </si>
  <si>
    <t>LA_COULEE_ZI</t>
  </si>
  <si>
    <t>LA_COULEE_ZIbb</t>
  </si>
  <si>
    <t>PATATRObb</t>
  </si>
  <si>
    <t>LCZ</t>
  </si>
  <si>
    <t>LEB353</t>
  </si>
  <si>
    <t>LEBRISbb</t>
  </si>
  <si>
    <t>LEBRIS</t>
  </si>
  <si>
    <t>MONT_DO</t>
  </si>
  <si>
    <t>LEB</t>
  </si>
  <si>
    <t>LEK780</t>
  </si>
  <si>
    <t>LEKINE</t>
  </si>
  <si>
    <t>LEKINEbb</t>
  </si>
  <si>
    <t>LEK</t>
  </si>
  <si>
    <t>LIM736</t>
  </si>
  <si>
    <t>LIMITE</t>
  </si>
  <si>
    <t>LIMITEbb</t>
  </si>
  <si>
    <t>LIM</t>
  </si>
  <si>
    <t>LJG044</t>
  </si>
  <si>
    <t>JULES_GARNIERbb</t>
  </si>
  <si>
    <t>LJG</t>
  </si>
  <si>
    <t>LKP596</t>
  </si>
  <si>
    <t>LAV_KOPETO</t>
  </si>
  <si>
    <t>LAV_KOPETObb</t>
  </si>
  <si>
    <t>LKP</t>
  </si>
  <si>
    <t>LLA718</t>
  </si>
  <si>
    <t>LUECILA</t>
  </si>
  <si>
    <t>LUECILAbb</t>
  </si>
  <si>
    <t>LLA</t>
  </si>
  <si>
    <t>LNI719</t>
  </si>
  <si>
    <t>LUENGONI</t>
  </si>
  <si>
    <t>LUENGONIbb</t>
  </si>
  <si>
    <t>LNI</t>
  </si>
  <si>
    <t>LTU087</t>
  </si>
  <si>
    <t>LOT_TUBAND</t>
  </si>
  <si>
    <t>LOT_TUBANDbb</t>
  </si>
  <si>
    <t>LTU</t>
  </si>
  <si>
    <t>LUZ168</t>
  </si>
  <si>
    <t>RES_LUZERNE</t>
  </si>
  <si>
    <t>RES_LUZERNEbb</t>
  </si>
  <si>
    <t>LUZ</t>
  </si>
  <si>
    <t>MAG074</t>
  </si>
  <si>
    <t>MAGENTA_BT</t>
  </si>
  <si>
    <t>MAGENTA_BTbb</t>
  </si>
  <si>
    <t>MAG</t>
  </si>
  <si>
    <t>MAH673</t>
  </si>
  <si>
    <t>MAHAMAT</t>
  </si>
  <si>
    <t>MAHAMATbb</t>
  </si>
  <si>
    <t>MAH</t>
  </si>
  <si>
    <t>MAI419</t>
  </si>
  <si>
    <t>MAI</t>
  </si>
  <si>
    <t>MAM219</t>
  </si>
  <si>
    <t>MAMIE_TDF</t>
  </si>
  <si>
    <t>MAMIE_TDFbb</t>
  </si>
  <si>
    <t>MAM</t>
  </si>
  <si>
    <t>MAN606</t>
  </si>
  <si>
    <t>MANDJELIAbb</t>
  </si>
  <si>
    <t>MAN</t>
  </si>
  <si>
    <t>MAT377</t>
  </si>
  <si>
    <t>MAT</t>
  </si>
  <si>
    <t>MBT748</t>
  </si>
  <si>
    <t>MEBUET_PLAGE</t>
  </si>
  <si>
    <t>MEBUETbb</t>
  </si>
  <si>
    <t>MBT</t>
  </si>
  <si>
    <t>MBU748</t>
  </si>
  <si>
    <t>MEBUET_TRIBU</t>
  </si>
  <si>
    <t>MBU</t>
  </si>
  <si>
    <t>MEBUETbb (MEBUET_TRIBU)</t>
  </si>
  <si>
    <t>MCH024</t>
  </si>
  <si>
    <t>MERIDIEN_CHAP</t>
  </si>
  <si>
    <t>MERIDIEN_CHAPELLEbb</t>
  </si>
  <si>
    <t>MCH</t>
  </si>
  <si>
    <t>MCP090</t>
  </si>
  <si>
    <t>MONTAGNE_COUPEE</t>
  </si>
  <si>
    <t>MONTAGNE_COUPEEbb</t>
  </si>
  <si>
    <t>MCP</t>
  </si>
  <si>
    <t>MD2378</t>
  </si>
  <si>
    <t>MONT_DO2</t>
  </si>
  <si>
    <t>MONT_DO2e</t>
  </si>
  <si>
    <t>MD2</t>
  </si>
  <si>
    <t>MDO355</t>
  </si>
  <si>
    <t>MONT_DObb</t>
  </si>
  <si>
    <t>MDO</t>
  </si>
  <si>
    <t>MDR102</t>
  </si>
  <si>
    <t>LES_MANDARINIERS</t>
  </si>
  <si>
    <t>LES_MANDARINIERSbb</t>
  </si>
  <si>
    <t>MDR</t>
  </si>
  <si>
    <t>MEA485</t>
  </si>
  <si>
    <t>SLN_MEA</t>
  </si>
  <si>
    <t>SLN_MEAe</t>
  </si>
  <si>
    <t>MEA</t>
  </si>
  <si>
    <t>MEB407</t>
  </si>
  <si>
    <t>ME_BURAIbb</t>
  </si>
  <si>
    <t>ME_BURAI</t>
  </si>
  <si>
    <t>MEB</t>
  </si>
  <si>
    <t>MED737</t>
  </si>
  <si>
    <t>MEDU</t>
  </si>
  <si>
    <t>MEDUe</t>
  </si>
  <si>
    <t>MED</t>
  </si>
  <si>
    <t>MEM461</t>
  </si>
  <si>
    <t>MEMORIAL</t>
  </si>
  <si>
    <t>MEMORIALbb</t>
  </si>
  <si>
    <t>MEM</t>
  </si>
  <si>
    <t>MEN738</t>
  </si>
  <si>
    <t>MENAKU</t>
  </si>
  <si>
    <t>MENAKUbb</t>
  </si>
  <si>
    <t>MEN</t>
  </si>
  <si>
    <t>MER023</t>
  </si>
  <si>
    <t>MERIDIEN</t>
  </si>
  <si>
    <t>MERIDIENe</t>
  </si>
  <si>
    <t>MER</t>
  </si>
  <si>
    <t>MGP074</t>
  </si>
  <si>
    <t>MAGENTA_PLAGE</t>
  </si>
  <si>
    <t>MGP</t>
  </si>
  <si>
    <t>MAGENTA_BTbb (MAGENTA_PLAGE)</t>
  </si>
  <si>
    <t>MGT091</t>
  </si>
  <si>
    <t>AGENCE_MAGENTA</t>
  </si>
  <si>
    <t>AGENCE_MAGENTAbb</t>
  </si>
  <si>
    <t>MGT</t>
  </si>
  <si>
    <t>MID254</t>
  </si>
  <si>
    <t>MERIDIEN_IDP</t>
  </si>
  <si>
    <t>MERIDIEN_IDPbb</t>
  </si>
  <si>
    <t>MID</t>
  </si>
  <si>
    <t>MIN577</t>
  </si>
  <si>
    <t>MINE_KNS</t>
  </si>
  <si>
    <t>MINE_KNSe</t>
  </si>
  <si>
    <t>MIN</t>
  </si>
  <si>
    <t>MKA405</t>
  </si>
  <si>
    <t>KANIQUE</t>
  </si>
  <si>
    <t>KANIQUEbb</t>
  </si>
  <si>
    <t>NDJAOUARI</t>
  </si>
  <si>
    <t>MKA</t>
  </si>
  <si>
    <t>MKO211</t>
  </si>
  <si>
    <t>KOURE</t>
  </si>
  <si>
    <t>MONT_KOURE</t>
  </si>
  <si>
    <t>MONT_KOUREbb</t>
  </si>
  <si>
    <t>MKO</t>
  </si>
  <si>
    <t>MLB657</t>
  </si>
  <si>
    <t>MALABOUbb</t>
  </si>
  <si>
    <t>MALABOU</t>
  </si>
  <si>
    <t>MLB</t>
  </si>
  <si>
    <t>MLI772</t>
  </si>
  <si>
    <t>MOULI</t>
  </si>
  <si>
    <t>MOULIbb</t>
  </si>
  <si>
    <t>MLI</t>
  </si>
  <si>
    <t>MMD114</t>
  </si>
  <si>
    <t>MAIRIE_MT_DORE</t>
  </si>
  <si>
    <t>MAIRIE_MT_DOREbb</t>
  </si>
  <si>
    <t>MMD</t>
  </si>
  <si>
    <t>MME153</t>
  </si>
  <si>
    <t>MONT_MOU_EST</t>
  </si>
  <si>
    <t>MONT_MOU_ESTbb</t>
  </si>
  <si>
    <t>MME</t>
  </si>
  <si>
    <t>MMO116</t>
  </si>
  <si>
    <t>MONT_MOU</t>
  </si>
  <si>
    <t>MMO</t>
  </si>
  <si>
    <t>MMR055</t>
  </si>
  <si>
    <t>MONTMORENCYbb</t>
  </si>
  <si>
    <t>MONTMORENCY</t>
  </si>
  <si>
    <t>MMR</t>
  </si>
  <si>
    <t>MMU359</t>
  </si>
  <si>
    <t>ME_MUNYO</t>
  </si>
  <si>
    <t>ME_MUNYObb</t>
  </si>
  <si>
    <t>MMU</t>
  </si>
  <si>
    <t>MNA521</t>
  </si>
  <si>
    <t>MAINA</t>
  </si>
  <si>
    <t>MAINAbb</t>
  </si>
  <si>
    <t>MNA</t>
  </si>
  <si>
    <t>MOB097</t>
  </si>
  <si>
    <t>MOBILE</t>
  </si>
  <si>
    <t>MOBILEbb</t>
  </si>
  <si>
    <t>MOB</t>
  </si>
  <si>
    <t>MOC025</t>
  </si>
  <si>
    <t>MOCAMBO</t>
  </si>
  <si>
    <t>MOCAMBOe</t>
  </si>
  <si>
    <t>MOC</t>
  </si>
  <si>
    <t>MOF463</t>
  </si>
  <si>
    <t>MONTFAOUE</t>
  </si>
  <si>
    <t>MONTFAOUEbb</t>
  </si>
  <si>
    <t>MOF</t>
  </si>
  <si>
    <t>MOI462</t>
  </si>
  <si>
    <t>MOINDOUbb</t>
  </si>
  <si>
    <t>MOI</t>
  </si>
  <si>
    <t>MOO408</t>
  </si>
  <si>
    <t>MOIN_ORO</t>
  </si>
  <si>
    <t>MOIN_ORObb</t>
  </si>
  <si>
    <t>COULA</t>
  </si>
  <si>
    <t>MOO</t>
  </si>
  <si>
    <t>MOU720</t>
  </si>
  <si>
    <t>MOU</t>
  </si>
  <si>
    <t>MOUbb</t>
  </si>
  <si>
    <t>MPA164</t>
  </si>
  <si>
    <t>MAIRIE_PAITA</t>
  </si>
  <si>
    <t>MAIRIE_PAITAbb</t>
  </si>
  <si>
    <t>MPA</t>
  </si>
  <si>
    <t>MRA065</t>
  </si>
  <si>
    <t>MONTRAVEL</t>
  </si>
  <si>
    <t>MONTRAVELbb</t>
  </si>
  <si>
    <t>MRA</t>
  </si>
  <si>
    <t>MRE354</t>
  </si>
  <si>
    <t>MEARE</t>
  </si>
  <si>
    <t>MEAREbb</t>
  </si>
  <si>
    <t>MRE</t>
  </si>
  <si>
    <t>MRG127</t>
  </si>
  <si>
    <t>MOUIRANGE</t>
  </si>
  <si>
    <t>MOUIRANGEbb</t>
  </si>
  <si>
    <t>MRG</t>
  </si>
  <si>
    <t>MTE062</t>
  </si>
  <si>
    <t>MONT_TE</t>
  </si>
  <si>
    <t>MONT_TEbb</t>
  </si>
  <si>
    <t>MTE</t>
  </si>
  <si>
    <t>MUC721</t>
  </si>
  <si>
    <t>MUCAWENG</t>
  </si>
  <si>
    <t>MUCAWENGbb</t>
  </si>
  <si>
    <t>MUC</t>
  </si>
  <si>
    <t>MUE255</t>
  </si>
  <si>
    <t>MUEbb</t>
  </si>
  <si>
    <t>MUO478</t>
  </si>
  <si>
    <t>MUEO</t>
  </si>
  <si>
    <t>MUEObb</t>
  </si>
  <si>
    <t>MUO</t>
  </si>
  <si>
    <t>MWN256</t>
  </si>
  <si>
    <t>MWA_NE</t>
  </si>
  <si>
    <t>MWA_NEbb</t>
  </si>
  <si>
    <t>MWA_Nebb</t>
  </si>
  <si>
    <t>MWN</t>
  </si>
  <si>
    <t>N87119</t>
  </si>
  <si>
    <t>LOT_87_NAIA</t>
  </si>
  <si>
    <t>NAIA_87</t>
  </si>
  <si>
    <t>NAIA_87bb</t>
  </si>
  <si>
    <t>N87</t>
  </si>
  <si>
    <t>NAH387</t>
  </si>
  <si>
    <t>NASSIRAH_TDF</t>
  </si>
  <si>
    <t>NASSIRAH_TDFbb</t>
  </si>
  <si>
    <t>NAH</t>
  </si>
  <si>
    <t>NAI118</t>
  </si>
  <si>
    <t>NAIA</t>
  </si>
  <si>
    <t>NAIAe</t>
  </si>
  <si>
    <t>NAI</t>
  </si>
  <si>
    <t>NAK180</t>
  </si>
  <si>
    <t>NAKUTAKOIN</t>
  </si>
  <si>
    <t>NAKUTAKOINbb</t>
  </si>
  <si>
    <t>NAK</t>
  </si>
  <si>
    <t>NAN120</t>
  </si>
  <si>
    <t>NANIOUNI</t>
  </si>
  <si>
    <t>NANIOUNIbb</t>
  </si>
  <si>
    <t>NAN</t>
  </si>
  <si>
    <t>NAP513</t>
  </si>
  <si>
    <t>RES_NAPOEMIEN</t>
  </si>
  <si>
    <t>RES_NAPOEMIENbb</t>
  </si>
  <si>
    <t>NAP</t>
  </si>
  <si>
    <t>NAS356</t>
  </si>
  <si>
    <t>NASSIRAH</t>
  </si>
  <si>
    <t>NASSIRAHbb</t>
  </si>
  <si>
    <t>NAS</t>
  </si>
  <si>
    <t>NAT118</t>
  </si>
  <si>
    <t>COL_NATERE</t>
  </si>
  <si>
    <t>NAT</t>
  </si>
  <si>
    <t>NAIA (NATERE)</t>
  </si>
  <si>
    <t>NAIAe (NATERE)</t>
  </si>
  <si>
    <t>NBE157</t>
  </si>
  <si>
    <t>NASSIBOUE</t>
  </si>
  <si>
    <t>NASSIBOUEe</t>
  </si>
  <si>
    <t>NBE</t>
  </si>
  <si>
    <t>NDA488</t>
  </si>
  <si>
    <t>NANDAI</t>
  </si>
  <si>
    <t>NANDAIbb</t>
  </si>
  <si>
    <t>NDA</t>
  </si>
  <si>
    <t>NDI186</t>
  </si>
  <si>
    <t>NORMANDIE_ZI</t>
  </si>
  <si>
    <t>AGENCE_PDFbb</t>
  </si>
  <si>
    <t>NDI</t>
  </si>
  <si>
    <t>AGENCE_PDFbb (NORMANDIE_ZI)</t>
  </si>
  <si>
    <t>NDJ409</t>
  </si>
  <si>
    <t>NDJAOUARIbb</t>
  </si>
  <si>
    <t>NDJ</t>
  </si>
  <si>
    <t>NEA554</t>
  </si>
  <si>
    <t>LA_NEA</t>
  </si>
  <si>
    <t>LA_NEAbb</t>
  </si>
  <si>
    <t>NEC773</t>
  </si>
  <si>
    <t>NECE</t>
  </si>
  <si>
    <t>NECEbb</t>
  </si>
  <si>
    <t>NEC</t>
  </si>
  <si>
    <t>NEK493</t>
  </si>
  <si>
    <t>NEKLIAI</t>
  </si>
  <si>
    <t>NEK</t>
  </si>
  <si>
    <t>KRADJIbb (NEKLIAI)</t>
  </si>
  <si>
    <t>NEM497</t>
  </si>
  <si>
    <t>NEMEARA</t>
  </si>
  <si>
    <t>NEMEARAbb</t>
  </si>
  <si>
    <t>NEM</t>
  </si>
  <si>
    <t>NEP465</t>
  </si>
  <si>
    <t>NEPOUIbb</t>
  </si>
  <si>
    <t>NEP</t>
  </si>
  <si>
    <t>NER308</t>
  </si>
  <si>
    <t>NERHO</t>
  </si>
  <si>
    <t>NERHObb</t>
  </si>
  <si>
    <t>NER</t>
  </si>
  <si>
    <t>NES466</t>
  </si>
  <si>
    <t>NESSADIOUbb</t>
  </si>
  <si>
    <t>NESSADIOU</t>
  </si>
  <si>
    <t>NES</t>
  </si>
  <si>
    <t>NEW426</t>
  </si>
  <si>
    <t>NEOUAbb</t>
  </si>
  <si>
    <t>NEW</t>
  </si>
  <si>
    <t>NGV733</t>
  </si>
  <si>
    <t>NENGONE_VILLAGE</t>
  </si>
  <si>
    <t>NGV</t>
  </si>
  <si>
    <t>CENGEITE (NENGONE_VILLAGE)</t>
  </si>
  <si>
    <t>CENGEITEe (NENGONE_VILLAGE)</t>
  </si>
  <si>
    <t>NIL357</t>
  </si>
  <si>
    <t>NILY</t>
  </si>
  <si>
    <t>NILYe</t>
  </si>
  <si>
    <t>NIL</t>
  </si>
  <si>
    <t>NKA421</t>
  </si>
  <si>
    <t>NESSAKOUYA_OPT</t>
  </si>
  <si>
    <t>NESSAKOUYAbb</t>
  </si>
  <si>
    <t>NKA</t>
  </si>
  <si>
    <t>NKA421s</t>
  </si>
  <si>
    <t>NESSAKOUYA_TDF</t>
  </si>
  <si>
    <t>NKAs</t>
  </si>
  <si>
    <t>NKL319</t>
  </si>
  <si>
    <t>NAKALEbb</t>
  </si>
  <si>
    <t>NKL</t>
  </si>
  <si>
    <t>NKR318</t>
  </si>
  <si>
    <t>N_KENEROU</t>
  </si>
  <si>
    <t>N_KENEROUbb</t>
  </si>
  <si>
    <t>NKR</t>
  </si>
  <si>
    <t>NKU464</t>
  </si>
  <si>
    <t>NEKOU</t>
  </si>
  <si>
    <t>NEKOUe</t>
  </si>
  <si>
    <t>NKU</t>
  </si>
  <si>
    <t>NMI593</t>
  </si>
  <si>
    <t>NEAMI</t>
  </si>
  <si>
    <t>NEAMIbb</t>
  </si>
  <si>
    <t>NMI</t>
  </si>
  <si>
    <t>NNG728</t>
  </si>
  <si>
    <t>NANG</t>
  </si>
  <si>
    <t>NNG</t>
  </si>
  <si>
    <t>NOE582</t>
  </si>
  <si>
    <t>NOELLY</t>
  </si>
  <si>
    <t>POINDAHbb</t>
  </si>
  <si>
    <t>NOE</t>
  </si>
  <si>
    <t>POINDAHbb (NOELLY)</t>
  </si>
  <si>
    <t>NOG207</t>
  </si>
  <si>
    <t>ILE_OUEN</t>
  </si>
  <si>
    <t>ILE_OUENbb</t>
  </si>
  <si>
    <t>NOG</t>
  </si>
  <si>
    <t>NOM366</t>
  </si>
  <si>
    <t>SARRAMEAbb</t>
  </si>
  <si>
    <t>NOM</t>
  </si>
  <si>
    <t>NON121</t>
  </si>
  <si>
    <t>NONDOUEbb</t>
  </si>
  <si>
    <t>NONDOUE</t>
  </si>
  <si>
    <t>NON</t>
  </si>
  <si>
    <t>NPU492</t>
  </si>
  <si>
    <t>NEPOU</t>
  </si>
  <si>
    <t>NEPOUbb</t>
  </si>
  <si>
    <t>NPU</t>
  </si>
  <si>
    <t>NSD494</t>
  </si>
  <si>
    <t>NESSADIOU_BT</t>
  </si>
  <si>
    <t>NESSADIOU_BTbb</t>
  </si>
  <si>
    <t>NSD</t>
  </si>
  <si>
    <t>NTA490</t>
  </si>
  <si>
    <t>NETEA</t>
  </si>
  <si>
    <t>NETEAbb</t>
  </si>
  <si>
    <t>NTA</t>
  </si>
  <si>
    <t>NVN410</t>
  </si>
  <si>
    <t>NEAVIN</t>
  </si>
  <si>
    <t>NEAVINbb</t>
  </si>
  <si>
    <t>NVN</t>
  </si>
  <si>
    <t>OAM358</t>
  </si>
  <si>
    <t>OUAMENIE</t>
  </si>
  <si>
    <t>OUAMENIEe</t>
  </si>
  <si>
    <t>OAM</t>
  </si>
  <si>
    <t>OCO619</t>
  </si>
  <si>
    <t>OUACO</t>
  </si>
  <si>
    <t>OUACObb</t>
  </si>
  <si>
    <t>OCO</t>
  </si>
  <si>
    <t>OEN361</t>
  </si>
  <si>
    <t>OUENGHI</t>
  </si>
  <si>
    <t>OUENGHIe</t>
  </si>
  <si>
    <t>OEN</t>
  </si>
  <si>
    <t>OGO572</t>
  </si>
  <si>
    <t>OUANGO</t>
  </si>
  <si>
    <t>OUANGOBB</t>
  </si>
  <si>
    <t>OUANGObb</t>
  </si>
  <si>
    <t>OGO</t>
  </si>
  <si>
    <t>OHN774</t>
  </si>
  <si>
    <t>OHNYAT</t>
  </si>
  <si>
    <t>OHNYATbb</t>
  </si>
  <si>
    <t>ONHYAT</t>
  </si>
  <si>
    <t>OHN</t>
  </si>
  <si>
    <t>OIM607</t>
  </si>
  <si>
    <t>OUAIEME</t>
  </si>
  <si>
    <t>OUAIEMEbb</t>
  </si>
  <si>
    <t>OIM</t>
  </si>
  <si>
    <t>OIN608</t>
  </si>
  <si>
    <t>OUEGOA_INTERNAT</t>
  </si>
  <si>
    <t>OUEGOAbb</t>
  </si>
  <si>
    <t>OIN</t>
  </si>
  <si>
    <t>OUEGOAbb (OUEGOA_INTERNAT)</t>
  </si>
  <si>
    <t>OJI473</t>
  </si>
  <si>
    <t>OUENDJI</t>
  </si>
  <si>
    <t>OUENDJIbb</t>
  </si>
  <si>
    <t>OJI</t>
  </si>
  <si>
    <t>OLE670</t>
  </si>
  <si>
    <t>OUEHOLLE</t>
  </si>
  <si>
    <t>OUEHOLLEbb</t>
  </si>
  <si>
    <t>WAYET</t>
  </si>
  <si>
    <t>OLE</t>
  </si>
  <si>
    <t>OLP782</t>
  </si>
  <si>
    <t>OLP</t>
  </si>
  <si>
    <t>OME509</t>
  </si>
  <si>
    <t>OMETTEUX</t>
  </si>
  <si>
    <t>OMETTEUXbb</t>
  </si>
  <si>
    <t>OME</t>
  </si>
  <si>
    <t>OMU671</t>
  </si>
  <si>
    <t>OUEMOU</t>
  </si>
  <si>
    <t>OUEMOUbb</t>
  </si>
  <si>
    <t>OMU</t>
  </si>
  <si>
    <t>ONE212</t>
  </si>
  <si>
    <t>OUINNE</t>
  </si>
  <si>
    <t>OUINNEBB</t>
  </si>
  <si>
    <t>OUINNEbb</t>
  </si>
  <si>
    <t>ONE</t>
  </si>
  <si>
    <t>ONI412</t>
  </si>
  <si>
    <t>OUANI</t>
  </si>
  <si>
    <t>OUANIbb</t>
  </si>
  <si>
    <t>ONI</t>
  </si>
  <si>
    <t>OPN373</t>
  </si>
  <si>
    <t>OUIPOIN</t>
  </si>
  <si>
    <t>OPN</t>
  </si>
  <si>
    <t>EMB_KO_HYB (OUIPOIN)</t>
  </si>
  <si>
    <t>EMB_KO_HYBRID (OUIPOIN)</t>
  </si>
  <si>
    <t>EMB_KObb (OUIPOIN)</t>
  </si>
  <si>
    <t>OPU370</t>
  </si>
  <si>
    <t>OPOUEbb</t>
  </si>
  <si>
    <t>OPU</t>
  </si>
  <si>
    <t>ORB411</t>
  </si>
  <si>
    <t>OROBEbb</t>
  </si>
  <si>
    <t>OROBE</t>
  </si>
  <si>
    <t>ORB</t>
  </si>
  <si>
    <t>OSE304</t>
  </si>
  <si>
    <t>COL_OUASSEbb</t>
  </si>
  <si>
    <t>COL_OUASSE</t>
  </si>
  <si>
    <t>OSE</t>
  </si>
  <si>
    <t>OTL385</t>
  </si>
  <si>
    <t>OUATIOLI</t>
  </si>
  <si>
    <t>OUATIOLIbb</t>
  </si>
  <si>
    <t>OTL</t>
  </si>
  <si>
    <t>OTM372</t>
  </si>
  <si>
    <t>OUATOM</t>
  </si>
  <si>
    <t>OTM</t>
  </si>
  <si>
    <t>OUA362</t>
  </si>
  <si>
    <t>OUA_NOMBOUE</t>
  </si>
  <si>
    <t>TOME</t>
  </si>
  <si>
    <t>OUA</t>
  </si>
  <si>
    <t>OUENGHI_GOLF (OUA_NOMBOUE)</t>
  </si>
  <si>
    <t>OUENGHI_GOLFe (OUA_NOMBOUE)</t>
  </si>
  <si>
    <t>OUE608</t>
  </si>
  <si>
    <t>OUE</t>
  </si>
  <si>
    <t>OUG213</t>
  </si>
  <si>
    <t>OUNGONEe</t>
  </si>
  <si>
    <t>OUG</t>
  </si>
  <si>
    <t>OUI365</t>
  </si>
  <si>
    <t>OUINANE</t>
  </si>
  <si>
    <t>OUINANEbb</t>
  </si>
  <si>
    <t>OUI</t>
  </si>
  <si>
    <t>OUL779</t>
  </si>
  <si>
    <t>FAYAOUEe</t>
  </si>
  <si>
    <t>OUL</t>
  </si>
  <si>
    <t>FAYAOUE (OULOUP)</t>
  </si>
  <si>
    <t>FAYAOUEe (OULOUP)</t>
  </si>
  <si>
    <t>OUM086</t>
  </si>
  <si>
    <t>OUEMO_ENTREE</t>
  </si>
  <si>
    <t>OUEMO_ENTREEbb</t>
  </si>
  <si>
    <t>OUM</t>
  </si>
  <si>
    <t>OUEMO_ENTREEb</t>
  </si>
  <si>
    <t>OUN551</t>
  </si>
  <si>
    <t>KAFEATE</t>
  </si>
  <si>
    <t>KAFEATEbb</t>
  </si>
  <si>
    <t>OUN</t>
  </si>
  <si>
    <t>OUO360</t>
  </si>
  <si>
    <t>OUANO_OUATOM</t>
  </si>
  <si>
    <t>OUATOMbb</t>
  </si>
  <si>
    <t>OUO</t>
  </si>
  <si>
    <t>OUT383</t>
  </si>
  <si>
    <t>OUT</t>
  </si>
  <si>
    <t>P84660</t>
  </si>
  <si>
    <t>PIC_84</t>
  </si>
  <si>
    <t>PIC_84bb</t>
  </si>
  <si>
    <t>PIC84</t>
  </si>
  <si>
    <t>P84</t>
  </si>
  <si>
    <t>PAA658</t>
  </si>
  <si>
    <t>PAAGOUMENNE</t>
  </si>
  <si>
    <t>PAAGOUMENE</t>
  </si>
  <si>
    <t>PAAGOUMENEe</t>
  </si>
  <si>
    <t>PAA</t>
  </si>
  <si>
    <t>PAD775</t>
  </si>
  <si>
    <t>PADAWA</t>
  </si>
  <si>
    <t>PADAWAbb</t>
  </si>
  <si>
    <t>PAD</t>
  </si>
  <si>
    <t>PAG678</t>
  </si>
  <si>
    <t>PAGOU</t>
  </si>
  <si>
    <t>PAGOUbb</t>
  </si>
  <si>
    <t>PAG</t>
  </si>
  <si>
    <t>PAI175</t>
  </si>
  <si>
    <t>PAI</t>
  </si>
  <si>
    <t>PAM680</t>
  </si>
  <si>
    <t>PANDOP_MARINA</t>
  </si>
  <si>
    <t>PANDOP_MARINAbb</t>
  </si>
  <si>
    <t>PAM</t>
  </si>
  <si>
    <t>PAN679</t>
  </si>
  <si>
    <t>PANDOP</t>
  </si>
  <si>
    <t>PANDOPbb</t>
  </si>
  <si>
    <t>PAN</t>
  </si>
  <si>
    <t>PAO522</t>
  </si>
  <si>
    <t>PAOLA</t>
  </si>
  <si>
    <t>PAOLAbb</t>
  </si>
  <si>
    <t>PAO</t>
  </si>
  <si>
    <t>PAP026</t>
  </si>
  <si>
    <t>PAPOU</t>
  </si>
  <si>
    <t>PAPOUbb</t>
  </si>
  <si>
    <t>PAP</t>
  </si>
  <si>
    <t>PAR122</t>
  </si>
  <si>
    <t>PAROISSE_AUTEUIL</t>
  </si>
  <si>
    <t>PAR_AUTEUIL</t>
  </si>
  <si>
    <t>PAROISSE_AUTEUILbb</t>
  </si>
  <si>
    <t>PAR</t>
  </si>
  <si>
    <t>PAT776</t>
  </si>
  <si>
    <t>PATHO</t>
  </si>
  <si>
    <t>PATHObb</t>
  </si>
  <si>
    <t>PAT</t>
  </si>
  <si>
    <t>PBA415</t>
  </si>
  <si>
    <t>PIC_BA</t>
  </si>
  <si>
    <t>PIC_BAbb</t>
  </si>
  <si>
    <t>PBA</t>
  </si>
  <si>
    <t>PBC380</t>
  </si>
  <si>
    <t>PIC_BOUCHER</t>
  </si>
  <si>
    <t>PIC_BOUCHERe</t>
  </si>
  <si>
    <t>PBC</t>
  </si>
  <si>
    <t>PBE590</t>
  </si>
  <si>
    <t>PAIAMBOUE_TDFbb</t>
  </si>
  <si>
    <t>PBE</t>
  </si>
  <si>
    <t>PBO610</t>
  </si>
  <si>
    <t>POUEBObb</t>
  </si>
  <si>
    <t>PBO</t>
  </si>
  <si>
    <t>PBR110</t>
  </si>
  <si>
    <t>POSTE_BRIGITTEe</t>
  </si>
  <si>
    <t>PBR</t>
  </si>
  <si>
    <t>PBT584</t>
  </si>
  <si>
    <t>PBT</t>
  </si>
  <si>
    <t>PBW669</t>
  </si>
  <si>
    <t>POUROEMBWI</t>
  </si>
  <si>
    <t>POUROEMBWIe</t>
  </si>
  <si>
    <t>PBW</t>
  </si>
  <si>
    <t>PBY446</t>
  </si>
  <si>
    <t>PIC_BYO</t>
  </si>
  <si>
    <t>PIC_BYObb</t>
  </si>
  <si>
    <t>PBY</t>
  </si>
  <si>
    <t>PDA582</t>
  </si>
  <si>
    <t>POINDAH</t>
  </si>
  <si>
    <t>PDA</t>
  </si>
  <si>
    <t>PDF186</t>
  </si>
  <si>
    <t>PDF</t>
  </si>
  <si>
    <t>PDH185</t>
  </si>
  <si>
    <t>POUDEHOUMEbb</t>
  </si>
  <si>
    <t>PDH</t>
  </si>
  <si>
    <t>PEC414</t>
  </si>
  <si>
    <t>PECUBE</t>
  </si>
  <si>
    <t>PECUBEbb</t>
  </si>
  <si>
    <t>PEC</t>
  </si>
  <si>
    <t>PEN739</t>
  </si>
  <si>
    <t>PEN</t>
  </si>
  <si>
    <t>PEP061</t>
  </si>
  <si>
    <t>PEPINIERE</t>
  </si>
  <si>
    <t>PEPINIEREbb</t>
  </si>
  <si>
    <t>PEP</t>
  </si>
  <si>
    <t>PET309</t>
  </si>
  <si>
    <t>PETROGLYPHES</t>
  </si>
  <si>
    <t>PETROGLYPHESbb</t>
  </si>
  <si>
    <t>PET</t>
  </si>
  <si>
    <t>PGF379</t>
  </si>
  <si>
    <t>PARC_GRANDES_FOUGERES</t>
  </si>
  <si>
    <t>PARC_GRANDES_FOUGERESbb</t>
  </si>
  <si>
    <t>PGF</t>
  </si>
  <si>
    <t>PGM609</t>
  </si>
  <si>
    <t>POINGAM</t>
  </si>
  <si>
    <t>POINGAMBB</t>
  </si>
  <si>
    <t>POINGAMbb</t>
  </si>
  <si>
    <t>PGM</t>
  </si>
  <si>
    <t>PGR783</t>
  </si>
  <si>
    <t>PTE_GERVAISE</t>
  </si>
  <si>
    <t>PTE_GERVAISEbb</t>
  </si>
  <si>
    <t>PGR</t>
  </si>
  <si>
    <t>PHA085</t>
  </si>
  <si>
    <t>PHARE_AMEDEE</t>
  </si>
  <si>
    <t>PHARE_AMEDEEbb</t>
  </si>
  <si>
    <t>PHA</t>
  </si>
  <si>
    <t>PHP071</t>
  </si>
  <si>
    <t>PHP</t>
  </si>
  <si>
    <t>PHPbb</t>
  </si>
  <si>
    <t>PIM123</t>
  </si>
  <si>
    <t>PIC_MARTIN</t>
  </si>
  <si>
    <t>PIC_MARTINbb</t>
  </si>
  <si>
    <t>PIM</t>
  </si>
  <si>
    <t>PIZ029</t>
  </si>
  <si>
    <t>PRESTO_PIZ</t>
  </si>
  <si>
    <t>PRESTO_PIZZA</t>
  </si>
  <si>
    <t>PRESTO_PIZZAe</t>
  </si>
  <si>
    <t>PIZ</t>
  </si>
  <si>
    <t>PK5027</t>
  </si>
  <si>
    <t>PK5bb</t>
  </si>
  <si>
    <t>PKI559</t>
  </si>
  <si>
    <t>PWANAKI</t>
  </si>
  <si>
    <t>PWANAKIe</t>
  </si>
  <si>
    <t>PKI</t>
  </si>
  <si>
    <t>PLA310</t>
  </si>
  <si>
    <t>PLATEAU_DE_THIO</t>
  </si>
  <si>
    <t>PLATEAU_DE_THIOe</t>
  </si>
  <si>
    <t>PLA</t>
  </si>
  <si>
    <t>PLG126</t>
  </si>
  <si>
    <t>PORT_LAGUERRE</t>
  </si>
  <si>
    <t>PORT_LAGUERREe</t>
  </si>
  <si>
    <t>RAVEL</t>
  </si>
  <si>
    <t>PLG</t>
  </si>
  <si>
    <t>PLT125</t>
  </si>
  <si>
    <t>PLUM</t>
  </si>
  <si>
    <t>PLUMe</t>
  </si>
  <si>
    <t>PLT</t>
  </si>
  <si>
    <t>PLU160</t>
  </si>
  <si>
    <t>PLUM_OPT</t>
  </si>
  <si>
    <t>PLUM_OPTbb</t>
  </si>
  <si>
    <t>PLU</t>
  </si>
  <si>
    <t>PLZ073</t>
  </si>
  <si>
    <t>PACIFIC_PLAZA</t>
  </si>
  <si>
    <t>PACIFIC_PLAZAbb</t>
  </si>
  <si>
    <t>PLZ</t>
  </si>
  <si>
    <t>PMA683</t>
  </si>
  <si>
    <t>AGENCE_POUM</t>
  </si>
  <si>
    <t>AGENCE_POUMbb</t>
  </si>
  <si>
    <t>PMA</t>
  </si>
  <si>
    <t>PMW418</t>
  </si>
  <si>
    <t>PURU_MARAWE</t>
  </si>
  <si>
    <t>PURU_MARAWEbb</t>
  </si>
  <si>
    <t>PMW</t>
  </si>
  <si>
    <t>PNC524</t>
  </si>
  <si>
    <t>PANIE_ECOLE</t>
  </si>
  <si>
    <t>PANIEbb</t>
  </si>
  <si>
    <t>PNC</t>
  </si>
  <si>
    <t>PANIEbb (PANIE_ECOLE)</t>
  </si>
  <si>
    <t>PND124</t>
  </si>
  <si>
    <t>PIC_NDUI</t>
  </si>
  <si>
    <t>PIC_NDUIe</t>
  </si>
  <si>
    <t>PND</t>
  </si>
  <si>
    <t>PNE661</t>
  </si>
  <si>
    <t>POUENE</t>
  </si>
  <si>
    <t>POUENEbb</t>
  </si>
  <si>
    <t>PNE</t>
  </si>
  <si>
    <t>PNI524</t>
  </si>
  <si>
    <t>PNI</t>
  </si>
  <si>
    <t>POA498</t>
  </si>
  <si>
    <t>POYA_AGENCE</t>
  </si>
  <si>
    <t>POYA_AGENCEbb</t>
  </si>
  <si>
    <t>POA</t>
  </si>
  <si>
    <t>POE469</t>
  </si>
  <si>
    <t>POE</t>
  </si>
  <si>
    <t>POEbb</t>
  </si>
  <si>
    <t>POI511</t>
  </si>
  <si>
    <t>POINDIMIEbb</t>
  </si>
  <si>
    <t>POI</t>
  </si>
  <si>
    <t>PON423</t>
  </si>
  <si>
    <t>PONERIHOUEN_BT</t>
  </si>
  <si>
    <t>PONERIHOUEN_BTbb</t>
  </si>
  <si>
    <t>PON</t>
  </si>
  <si>
    <t>POO416</t>
  </si>
  <si>
    <t>POO</t>
  </si>
  <si>
    <t>POObb</t>
  </si>
  <si>
    <t>POP512</t>
  </si>
  <si>
    <t>POPOMEOUbb</t>
  </si>
  <si>
    <t>POP</t>
  </si>
  <si>
    <t>POQ386</t>
  </si>
  <si>
    <t>POCQUEREUX</t>
  </si>
  <si>
    <t>POCQUEREUXbb</t>
  </si>
  <si>
    <t>POQ</t>
  </si>
  <si>
    <t>POR431</t>
  </si>
  <si>
    <t>PORO_BT</t>
  </si>
  <si>
    <t>PORO_BTbb</t>
  </si>
  <si>
    <t>POR</t>
  </si>
  <si>
    <t>POT427</t>
  </si>
  <si>
    <t>PORO_TDF</t>
  </si>
  <si>
    <t>PORO_TDFbb</t>
  </si>
  <si>
    <t>POY</t>
  </si>
  <si>
    <t>POU444</t>
  </si>
  <si>
    <t>POUEO_BT</t>
  </si>
  <si>
    <t>POUEO_BTbb</t>
  </si>
  <si>
    <t>POU</t>
  </si>
  <si>
    <t>POY470</t>
  </si>
  <si>
    <t>POYA_OPT</t>
  </si>
  <si>
    <t>POYA_OPTbb</t>
  </si>
  <si>
    <t>PPA555</t>
  </si>
  <si>
    <t>PIC_310</t>
  </si>
  <si>
    <t>PIC310_PAOUTA</t>
  </si>
  <si>
    <t>PIC310_PAOUTAe</t>
  </si>
  <si>
    <t>PPA</t>
  </si>
  <si>
    <t>PRA364</t>
  </si>
  <si>
    <t>PIC_RAILLARD</t>
  </si>
  <si>
    <t>PIC_RAILLARDbb</t>
  </si>
  <si>
    <t>PRA</t>
  </si>
  <si>
    <t>PRB220</t>
  </si>
  <si>
    <t>PARC_RIVIERE_BLEUE</t>
  </si>
  <si>
    <t>PARC_RIVIERE_BLEUEbb</t>
  </si>
  <si>
    <t>PRB</t>
  </si>
  <si>
    <t>PRE190</t>
  </si>
  <si>
    <t>PARC_RESIDENCE</t>
  </si>
  <si>
    <t>PARC_RESIDENCEbb</t>
  </si>
  <si>
    <t>PRE</t>
  </si>
  <si>
    <t>PRH173</t>
  </si>
  <si>
    <t>PREUD'HOMME</t>
  </si>
  <si>
    <t>PRH</t>
  </si>
  <si>
    <t>CORNICHEbb (PREUD'HOMME)</t>
  </si>
  <si>
    <t>PRK417</t>
  </si>
  <si>
    <t>PROKOMEOUbb</t>
  </si>
  <si>
    <t>PRK</t>
  </si>
  <si>
    <t>PRP578</t>
  </si>
  <si>
    <t>PRESQ_POUEMBOUT</t>
  </si>
  <si>
    <t>PRESQ_POUEMBOUTbb</t>
  </si>
  <si>
    <t>PRP</t>
  </si>
  <si>
    <t>PRU311</t>
  </si>
  <si>
    <t>PWIMURU</t>
  </si>
  <si>
    <t>PWIMURUbb</t>
  </si>
  <si>
    <t>PRU</t>
  </si>
  <si>
    <t>PTA580</t>
  </si>
  <si>
    <t>PLATEAU_TIA</t>
  </si>
  <si>
    <t>PLATEAU_TIAbb</t>
  </si>
  <si>
    <t>PTA</t>
  </si>
  <si>
    <t>PTO467</t>
  </si>
  <si>
    <t>PATATROBB</t>
  </si>
  <si>
    <t>PTO</t>
  </si>
  <si>
    <t>PUA214</t>
  </si>
  <si>
    <t>PUARETI</t>
  </si>
  <si>
    <t>PUARETIe</t>
  </si>
  <si>
    <t>PUA</t>
  </si>
  <si>
    <t>PUM662</t>
  </si>
  <si>
    <t>POUMbb</t>
  </si>
  <si>
    <t>PUM</t>
  </si>
  <si>
    <t>PUO489</t>
  </si>
  <si>
    <t>POUEO</t>
  </si>
  <si>
    <t>POUEObb</t>
  </si>
  <si>
    <t>PUO</t>
  </si>
  <si>
    <t>PWA557</t>
  </si>
  <si>
    <t>PWABWAN</t>
  </si>
  <si>
    <t>PWABWANbb</t>
  </si>
  <si>
    <t>PWA</t>
  </si>
  <si>
    <t>PWD558</t>
  </si>
  <si>
    <t>PWADA</t>
  </si>
  <si>
    <t>PWADABB</t>
  </si>
  <si>
    <t>PWADAbb</t>
  </si>
  <si>
    <t>PWD</t>
  </si>
  <si>
    <t>PWN514</t>
  </si>
  <si>
    <t>PWANACEN</t>
  </si>
  <si>
    <t>PWANACENbb</t>
  </si>
  <si>
    <t>PWN</t>
  </si>
  <si>
    <t>PWT574</t>
  </si>
  <si>
    <t>PWAOCITbb</t>
  </si>
  <si>
    <t>PWAOCIT</t>
  </si>
  <si>
    <t>PWT</t>
  </si>
  <si>
    <t>RAB030</t>
  </si>
  <si>
    <t>RABOT</t>
  </si>
  <si>
    <t>RABOTe</t>
  </si>
  <si>
    <t>RAB</t>
  </si>
  <si>
    <t>RAV031</t>
  </si>
  <si>
    <t>RAVEL3bb</t>
  </si>
  <si>
    <t>RAVEL4bb</t>
  </si>
  <si>
    <t>RAV</t>
  </si>
  <si>
    <t>RAW746</t>
  </si>
  <si>
    <t>RAWA</t>
  </si>
  <si>
    <t>RAWABB</t>
  </si>
  <si>
    <t>RAWAbb</t>
  </si>
  <si>
    <t>RAW</t>
  </si>
  <si>
    <t>RBK350</t>
  </si>
  <si>
    <t>BOURAKE</t>
  </si>
  <si>
    <t>BOURAKEbb</t>
  </si>
  <si>
    <t>RBK</t>
  </si>
  <si>
    <t>RBL143</t>
  </si>
  <si>
    <t>ROBELIN</t>
  </si>
  <si>
    <t>ROBELINbb</t>
  </si>
  <si>
    <t>RBL</t>
  </si>
  <si>
    <t>RBO482</t>
  </si>
  <si>
    <t>RES_BOURAIL</t>
  </si>
  <si>
    <t>RES_BOURAILbb</t>
  </si>
  <si>
    <t>RBO</t>
  </si>
  <si>
    <t>RBP612</t>
  </si>
  <si>
    <t>RES_BWA_PIIYU</t>
  </si>
  <si>
    <t>RES_BWA_PIIYUbb</t>
  </si>
  <si>
    <t>RVR_BWA_PIIYUbb</t>
  </si>
  <si>
    <t>RBP</t>
  </si>
  <si>
    <t>RVR_BWA_PIIYUBB</t>
  </si>
  <si>
    <t>RBV151</t>
  </si>
  <si>
    <t>RES_BEAUVALLON</t>
  </si>
  <si>
    <t>RES_BEAUVALLONbb</t>
  </si>
  <si>
    <t>RBV</t>
  </si>
  <si>
    <t>RDN156</t>
  </si>
  <si>
    <t>RES_DSM_N</t>
  </si>
  <si>
    <t>RES_DSM_Nbb</t>
  </si>
  <si>
    <t>RDN</t>
  </si>
  <si>
    <t>RDS155</t>
  </si>
  <si>
    <t>RES_DSM_S</t>
  </si>
  <si>
    <t>RES_DSM_Sbb</t>
  </si>
  <si>
    <t>RDS</t>
  </si>
  <si>
    <t>RDV447</t>
  </si>
  <si>
    <t>RES_DEVA</t>
  </si>
  <si>
    <t>RES_DEVAbb</t>
  </si>
  <si>
    <t>RDV</t>
  </si>
  <si>
    <t>REP033</t>
  </si>
  <si>
    <t>REP</t>
  </si>
  <si>
    <t>RPbb</t>
  </si>
  <si>
    <t>RGA560</t>
  </si>
  <si>
    <t>RES_GREEN_ACRE</t>
  </si>
  <si>
    <t>RES_GREEN_ACREbb</t>
  </si>
  <si>
    <t>RGA</t>
  </si>
  <si>
    <t>RGO495</t>
  </si>
  <si>
    <t>RES_GOHAPIN</t>
  </si>
  <si>
    <t>RES_GOHAPINbb</t>
  </si>
  <si>
    <t>RGO</t>
  </si>
  <si>
    <t>RGY425</t>
  </si>
  <si>
    <t>RES_GOYETA</t>
  </si>
  <si>
    <t>RGY</t>
  </si>
  <si>
    <t>RIV206</t>
  </si>
  <si>
    <t>GUEPYVILLE</t>
  </si>
  <si>
    <t>GUEPYVILLEbb</t>
  </si>
  <si>
    <t>RIV</t>
  </si>
  <si>
    <t>RKC663</t>
  </si>
  <si>
    <t>RES_KOUMAC</t>
  </si>
  <si>
    <t>RES_KOUMACbb</t>
  </si>
  <si>
    <t>RKC</t>
  </si>
  <si>
    <t>RKG382</t>
  </si>
  <si>
    <t>RES_KOUERGOAbb</t>
  </si>
  <si>
    <t>RES_KOUERGOABB</t>
  </si>
  <si>
    <t>RKG</t>
  </si>
  <si>
    <t>RKO161</t>
  </si>
  <si>
    <t>RES_KOUTIO</t>
  </si>
  <si>
    <t>RES_KOUTIObb</t>
  </si>
  <si>
    <t>RKO</t>
  </si>
  <si>
    <t>RME374</t>
  </si>
  <si>
    <t>RES_MEARE</t>
  </si>
  <si>
    <t>RESERVOIR_MEARE</t>
  </si>
  <si>
    <t>RESERVOIR_MEAREbb</t>
  </si>
  <si>
    <t>RME</t>
  </si>
  <si>
    <t>RES_MEAREbb</t>
  </si>
  <si>
    <t>RND182</t>
  </si>
  <si>
    <t>RES_NDE</t>
  </si>
  <si>
    <t>RES_NDEbb</t>
  </si>
  <si>
    <t>RNP</t>
  </si>
  <si>
    <t>RNP523</t>
  </si>
  <si>
    <t>RES_NESSAPOUE</t>
  </si>
  <si>
    <t>VALLEE_DE_KOEbb</t>
  </si>
  <si>
    <t>VALLEE_DE_KOEbb (RES_NESSAPOUE)</t>
  </si>
  <si>
    <t>ROB130</t>
  </si>
  <si>
    <t>ROBINSONbb</t>
  </si>
  <si>
    <t>ROB</t>
  </si>
  <si>
    <t>ROC735</t>
  </si>
  <si>
    <t>LA_ROCHE</t>
  </si>
  <si>
    <t>LA_ROCHEbb</t>
  </si>
  <si>
    <t>ROC</t>
  </si>
  <si>
    <t>RPA152</t>
  </si>
  <si>
    <t>RES_PAITA</t>
  </si>
  <si>
    <t>RES_PAITAbb</t>
  </si>
  <si>
    <t>RPA</t>
  </si>
  <si>
    <t>RPB561</t>
  </si>
  <si>
    <t>RES_PAIAMBOUE</t>
  </si>
  <si>
    <t>RES_PAIAMBOUEbb</t>
  </si>
  <si>
    <t>RPB</t>
  </si>
  <si>
    <t>RPJ595</t>
  </si>
  <si>
    <t>RES_PINJEN</t>
  </si>
  <si>
    <t>RES_PINJENbb</t>
  </si>
  <si>
    <t>RPJ</t>
  </si>
  <si>
    <t>RPO420</t>
  </si>
  <si>
    <t>RES_PORO</t>
  </si>
  <si>
    <t>RES_PORObb</t>
  </si>
  <si>
    <t>RPO</t>
  </si>
  <si>
    <t>RPT383</t>
  </si>
  <si>
    <t>RIVER_POINT</t>
  </si>
  <si>
    <t>RPT</t>
  </si>
  <si>
    <t>OUITCHAMBObb (RIVER_POINT)</t>
  </si>
  <si>
    <t>RTA562</t>
  </si>
  <si>
    <t>RES_TEMALAbb</t>
  </si>
  <si>
    <t>RES_TEMALA</t>
  </si>
  <si>
    <t>RVR_TEMALAbb</t>
  </si>
  <si>
    <t>RTA</t>
  </si>
  <si>
    <t>RTE369</t>
  </si>
  <si>
    <t>RES_TENDEA</t>
  </si>
  <si>
    <t>RES_TENDEAbb</t>
  </si>
  <si>
    <t>RTE</t>
  </si>
  <si>
    <t>RTG144</t>
  </si>
  <si>
    <t>RES_TONGHOUE</t>
  </si>
  <si>
    <t>RES_TONGH</t>
  </si>
  <si>
    <t>RESERVOIR_TONGHOUE</t>
  </si>
  <si>
    <t>RESERVOIR_TONGHOUEe</t>
  </si>
  <si>
    <t>RTG</t>
  </si>
  <si>
    <t>RTR069</t>
  </si>
  <si>
    <t>RES_TROUILLOTbb</t>
  </si>
  <si>
    <t>RES_TROUILLOT</t>
  </si>
  <si>
    <t>RTR</t>
  </si>
  <si>
    <t>RVL129</t>
  </si>
  <si>
    <t>RIVLAND</t>
  </si>
  <si>
    <t>RIVLANDe</t>
  </si>
  <si>
    <t>RVL</t>
  </si>
  <si>
    <t>SAL032</t>
  </si>
  <si>
    <t>RIVIERE_SALEE</t>
  </si>
  <si>
    <t>RIVIERE_SALEEbb</t>
  </si>
  <si>
    <t>SAL</t>
  </si>
  <si>
    <t>SAN132</t>
  </si>
  <si>
    <t>SANATORIUM</t>
  </si>
  <si>
    <t>SANATORIUMe</t>
  </si>
  <si>
    <t>SAN</t>
  </si>
  <si>
    <t>SAV133</t>
  </si>
  <si>
    <t>SAVANNAH</t>
  </si>
  <si>
    <t>SAVANNAHbb</t>
  </si>
  <si>
    <t>SAV</t>
  </si>
  <si>
    <t>SCH167</t>
  </si>
  <si>
    <t>LOT_SCHON</t>
  </si>
  <si>
    <t>SCH</t>
  </si>
  <si>
    <t>LA_COULEE_ZIbb (LOT_SCHON)</t>
  </si>
  <si>
    <t>SCO064</t>
  </si>
  <si>
    <t>STATION_COTIERE</t>
  </si>
  <si>
    <t>STATION_COTIEREbb</t>
  </si>
  <si>
    <t>SCO</t>
  </si>
  <si>
    <t>SDK187</t>
  </si>
  <si>
    <t>KOUTIO_AGENCEbb</t>
  </si>
  <si>
    <t>SDK</t>
  </si>
  <si>
    <t>SEL620</t>
  </si>
  <si>
    <t>LA_SELLETTE</t>
  </si>
  <si>
    <t>LA_SELLETTEbb</t>
  </si>
  <si>
    <t>SEL</t>
  </si>
  <si>
    <t>SEM083</t>
  </si>
  <si>
    <t>SEMAPHORE</t>
  </si>
  <si>
    <t>SEMAPHOREbb</t>
  </si>
  <si>
    <t>SEM</t>
  </si>
  <si>
    <t>SHE480</t>
  </si>
  <si>
    <t>SHERATON</t>
  </si>
  <si>
    <t>SHERATONe</t>
  </si>
  <si>
    <t>SHE</t>
  </si>
  <si>
    <t>SJB320</t>
  </si>
  <si>
    <t>ST_JEAN_BAPTISTE</t>
  </si>
  <si>
    <t>ST_JEAN_BAPTISTEbb</t>
  </si>
  <si>
    <t>SJB</t>
  </si>
  <si>
    <t>SLO145</t>
  </si>
  <si>
    <t>ST_LOUIS</t>
  </si>
  <si>
    <t>ST_LOUISe</t>
  </si>
  <si>
    <t>SLO</t>
  </si>
  <si>
    <t>SLR682</t>
  </si>
  <si>
    <t>SLN_RVHF</t>
  </si>
  <si>
    <t>SLN_RVHFbb</t>
  </si>
  <si>
    <t>SLR</t>
  </si>
  <si>
    <t>SMG134</t>
  </si>
  <si>
    <t>ST_MICHEL_GN</t>
  </si>
  <si>
    <t>ST_MICHEL_GNbb</t>
  </si>
  <si>
    <t>SMG</t>
  </si>
  <si>
    <t>SML135</t>
  </si>
  <si>
    <t>SAINT_MICHEL</t>
  </si>
  <si>
    <t>ST_MICHEL</t>
  </si>
  <si>
    <t>ST_MICHELe</t>
  </si>
  <si>
    <t>SML</t>
  </si>
  <si>
    <t>SMN070</t>
  </si>
  <si>
    <t>STE_MARIE_NEA</t>
  </si>
  <si>
    <t>STE_MARIE_NEAbb</t>
  </si>
  <si>
    <t>SMN</t>
  </si>
  <si>
    <t>SMR066</t>
  </si>
  <si>
    <t>STE_MARIE_TDF</t>
  </si>
  <si>
    <t>STE_MARIE_TDFe</t>
  </si>
  <si>
    <t>SMR</t>
  </si>
  <si>
    <t>SNL165</t>
  </si>
  <si>
    <t>ST_LAURENT</t>
  </si>
  <si>
    <t>ST_LAURENTbb</t>
  </si>
  <si>
    <t>SNL</t>
  </si>
  <si>
    <t>SPA177</t>
  </si>
  <si>
    <t>SPANC</t>
  </si>
  <si>
    <t>SPANCbb</t>
  </si>
  <si>
    <t>SPA</t>
  </si>
  <si>
    <t>SPH316</t>
  </si>
  <si>
    <t>ST_PHILIPPE</t>
  </si>
  <si>
    <t>ST_PHILIPPE_TDFbb</t>
  </si>
  <si>
    <t>SPH</t>
  </si>
  <si>
    <t>STA036</t>
  </si>
  <si>
    <t>STANLEY</t>
  </si>
  <si>
    <t>STANLEYe</t>
  </si>
  <si>
    <t>STA</t>
  </si>
  <si>
    <t>STD515</t>
  </si>
  <si>
    <t>SAINT_DENIS</t>
  </si>
  <si>
    <t>SAINT_DENISbb</t>
  </si>
  <si>
    <t>STD</t>
  </si>
  <si>
    <t>STM613</t>
  </si>
  <si>
    <t>ST_MARIE_BALADE</t>
  </si>
  <si>
    <t>STE_MARIE_BALADE</t>
  </si>
  <si>
    <t>STE_MARIE_BALADEbb</t>
  </si>
  <si>
    <t>STM</t>
  </si>
  <si>
    <t>STP722</t>
  </si>
  <si>
    <t>SAINT_PAUL</t>
  </si>
  <si>
    <t>SAINT_PAULbb</t>
  </si>
  <si>
    <t>STP</t>
  </si>
  <si>
    <t>STQ034</t>
  </si>
  <si>
    <t>ST_QUENTIN</t>
  </si>
  <si>
    <t>ST_QUENTINbb</t>
  </si>
  <si>
    <t>STQ</t>
  </si>
  <si>
    <t>SUR037</t>
  </si>
  <si>
    <t>SURF</t>
  </si>
  <si>
    <t>SURFe</t>
  </si>
  <si>
    <t>SUR</t>
  </si>
  <si>
    <t>SUZ162</t>
  </si>
  <si>
    <t>VAL_SUZON</t>
  </si>
  <si>
    <t>VAL_SUZONBB</t>
  </si>
  <si>
    <t>VAL_SUZONbb</t>
  </si>
  <si>
    <t>SUZ</t>
  </si>
  <si>
    <t>SWE727</t>
  </si>
  <si>
    <t>AGENCE_WE</t>
  </si>
  <si>
    <t>AGENCE_WEbb</t>
  </si>
  <si>
    <t>SWE</t>
  </si>
  <si>
    <t>TAA684</t>
  </si>
  <si>
    <t>TAAM</t>
  </si>
  <si>
    <t>TAAMbb</t>
  </si>
  <si>
    <t>TAA</t>
  </si>
  <si>
    <t>TAD740</t>
  </si>
  <si>
    <t>RUETEbb</t>
  </si>
  <si>
    <t>TAD</t>
  </si>
  <si>
    <t>TAK777</t>
  </si>
  <si>
    <t>TAKEDJI</t>
  </si>
  <si>
    <t>TAKEDJIbb</t>
  </si>
  <si>
    <t>TAK</t>
  </si>
  <si>
    <t>TAM136</t>
  </si>
  <si>
    <t>TAMOA</t>
  </si>
  <si>
    <t>TAMOAe</t>
  </si>
  <si>
    <t>TAM</t>
  </si>
  <si>
    <t>TAN508</t>
  </si>
  <si>
    <t>TANGHENE</t>
  </si>
  <si>
    <t>TANGHENEbb</t>
  </si>
  <si>
    <t>TAN</t>
  </si>
  <si>
    <t>TAW747</t>
  </si>
  <si>
    <t>TAWEINEDR</t>
  </si>
  <si>
    <t>TAWEINEDRbb</t>
  </si>
  <si>
    <t>TAW</t>
  </si>
  <si>
    <t>TBT665</t>
  </si>
  <si>
    <t>TIABET</t>
  </si>
  <si>
    <t>TIABETbb</t>
  </si>
  <si>
    <t>TBT</t>
  </si>
  <si>
    <t>TCB422</t>
  </si>
  <si>
    <t>TCHAMBA_BT</t>
  </si>
  <si>
    <t>TCHAMBA_BTbb</t>
  </si>
  <si>
    <t>TCB</t>
  </si>
  <si>
    <t>TCH475</t>
  </si>
  <si>
    <t>TCHAMBA</t>
  </si>
  <si>
    <t>TCHAMBAbb</t>
  </si>
  <si>
    <t>TCH</t>
  </si>
  <si>
    <t>TDN564</t>
  </si>
  <si>
    <t>TIENDANITE</t>
  </si>
  <si>
    <t>TDN</t>
  </si>
  <si>
    <t>TDO614</t>
  </si>
  <si>
    <t>TENDO</t>
  </si>
  <si>
    <t>TENDObb</t>
  </si>
  <si>
    <t>TDO</t>
  </si>
  <si>
    <t>TDU519</t>
  </si>
  <si>
    <t>TOUMIDOU</t>
  </si>
  <si>
    <t>TOUMIDOUbb</t>
  </si>
  <si>
    <t>TDU</t>
  </si>
  <si>
    <t>TEM569</t>
  </si>
  <si>
    <t>TEMALAbb</t>
  </si>
  <si>
    <t>TEM</t>
  </si>
  <si>
    <t>TEN471</t>
  </si>
  <si>
    <t>TENEbb</t>
  </si>
  <si>
    <t>TEN</t>
  </si>
  <si>
    <t>TEU778</t>
  </si>
  <si>
    <t>TEOUTA</t>
  </si>
  <si>
    <t>TEOUTAbb</t>
  </si>
  <si>
    <t>TEU</t>
  </si>
  <si>
    <t>TGH137</t>
  </si>
  <si>
    <t>TONGHOUE</t>
  </si>
  <si>
    <t>TONGHOUEe</t>
  </si>
  <si>
    <t>TGH</t>
  </si>
  <si>
    <t>TGR038</t>
  </si>
  <si>
    <t>TIGRE</t>
  </si>
  <si>
    <t>TIGREe</t>
  </si>
  <si>
    <t>TGR</t>
  </si>
  <si>
    <t>TGY499</t>
  </si>
  <si>
    <t>TANGHYbb</t>
  </si>
  <si>
    <t>TGY</t>
  </si>
  <si>
    <t>THA525</t>
  </si>
  <si>
    <t>TOUHO_AGENCEbb</t>
  </si>
  <si>
    <t>THA</t>
  </si>
  <si>
    <t>THG741</t>
  </si>
  <si>
    <t>THOGONE</t>
  </si>
  <si>
    <t>THOGONEbb</t>
  </si>
  <si>
    <t>THG</t>
  </si>
  <si>
    <t>THI312</t>
  </si>
  <si>
    <t>THIO_OPT</t>
  </si>
  <si>
    <t>THIObb</t>
  </si>
  <si>
    <t>THIO_OPTbb</t>
  </si>
  <si>
    <t>THI</t>
  </si>
  <si>
    <t>THM520</t>
  </si>
  <si>
    <t>TOUHO_MISSION</t>
  </si>
  <si>
    <t>TOUHO_MISSIONbb</t>
  </si>
  <si>
    <t>THM</t>
  </si>
  <si>
    <t>THU742</t>
  </si>
  <si>
    <t>THUMA</t>
  </si>
  <si>
    <t>THUMAbb</t>
  </si>
  <si>
    <t>THU</t>
  </si>
  <si>
    <t>TIA141</t>
  </si>
  <si>
    <t>NATERE</t>
  </si>
  <si>
    <t>TIA</t>
  </si>
  <si>
    <t>TIE666</t>
  </si>
  <si>
    <t>TIEBAGHI_OPTe</t>
  </si>
  <si>
    <t>TIE</t>
  </si>
  <si>
    <t>TIG743</t>
  </si>
  <si>
    <t>TIGAbb</t>
  </si>
  <si>
    <t>TIGA</t>
  </si>
  <si>
    <t>TIG</t>
  </si>
  <si>
    <t>TIGABB</t>
  </si>
  <si>
    <t>TIN075</t>
  </si>
  <si>
    <t>TINA</t>
  </si>
  <si>
    <t>TINAbb</t>
  </si>
  <si>
    <t>TIN</t>
  </si>
  <si>
    <t>TIT664</t>
  </si>
  <si>
    <t>TIEBAGHI_TDF</t>
  </si>
  <si>
    <t>TIEBAGHI_TDFe</t>
  </si>
  <si>
    <t>TIT</t>
  </si>
  <si>
    <t>TIW517</t>
  </si>
  <si>
    <t>TIWAKA</t>
  </si>
  <si>
    <t>TIWAKAbb</t>
  </si>
  <si>
    <t>TIW</t>
  </si>
  <si>
    <t>TJI058</t>
  </si>
  <si>
    <t>TJIBAOU</t>
  </si>
  <si>
    <t>TJI</t>
  </si>
  <si>
    <t>GREEN_VALLEY (TJIBAOU)</t>
  </si>
  <si>
    <t>TKA585</t>
  </si>
  <si>
    <t>TIAKANA</t>
  </si>
  <si>
    <t>TIAKANAbb</t>
  </si>
  <si>
    <t>TKA</t>
  </si>
  <si>
    <t>TM2079</t>
  </si>
  <si>
    <t>MAGENTA_2</t>
  </si>
  <si>
    <t>MAGENTA2bb</t>
  </si>
  <si>
    <t>TM2</t>
  </si>
  <si>
    <t>TMA022</t>
  </si>
  <si>
    <t>MAGENTA</t>
  </si>
  <si>
    <t>MAGENTAbb</t>
  </si>
  <si>
    <t>TMA</t>
  </si>
  <si>
    <t>TMB191</t>
  </si>
  <si>
    <t>TIMBIA</t>
  </si>
  <si>
    <t>TIMBIAbb</t>
  </si>
  <si>
    <t>TMB</t>
  </si>
  <si>
    <t>TMT053</t>
  </si>
  <si>
    <t>TMT</t>
  </si>
  <si>
    <t>CTAe (TINA_MARKET)</t>
  </si>
  <si>
    <t>TND063</t>
  </si>
  <si>
    <t>TINDU_TDF</t>
  </si>
  <si>
    <t>TINDU_TDFbb</t>
  </si>
  <si>
    <t>TND</t>
  </si>
  <si>
    <t>TNM526</t>
  </si>
  <si>
    <t>TENEM</t>
  </si>
  <si>
    <t>TENEMbb</t>
  </si>
  <si>
    <t>TNM</t>
  </si>
  <si>
    <t>TOA221</t>
  </si>
  <si>
    <t>TOUAOUROU</t>
  </si>
  <si>
    <t>TOUAOUROUbb</t>
  </si>
  <si>
    <t>TOA</t>
  </si>
  <si>
    <t>TOM367</t>
  </si>
  <si>
    <t>TOMOe</t>
  </si>
  <si>
    <t>TOM</t>
  </si>
  <si>
    <t>TON138</t>
  </si>
  <si>
    <t>TONTOUTA</t>
  </si>
  <si>
    <t>TONTOUTAe</t>
  </si>
  <si>
    <t>TON</t>
  </si>
  <si>
    <t>TOO081</t>
  </si>
  <si>
    <t>TROUV_TOO</t>
  </si>
  <si>
    <t>TROUV_TOObb</t>
  </si>
  <si>
    <t>TOO</t>
  </si>
  <si>
    <t>TOT192</t>
  </si>
  <si>
    <t>TONTOUTA_AGENCE</t>
  </si>
  <si>
    <t>TONTOUTA_AGENCEbb</t>
  </si>
  <si>
    <t>TOT</t>
  </si>
  <si>
    <t>TOU518</t>
  </si>
  <si>
    <t>TOUHObb</t>
  </si>
  <si>
    <t>TOUHO_KOE</t>
  </si>
  <si>
    <t>TOU</t>
  </si>
  <si>
    <t>TOV528</t>
  </si>
  <si>
    <t>TOUHO_VILLAGE</t>
  </si>
  <si>
    <t>TOUHO_VILLAGEbb</t>
  </si>
  <si>
    <t>TOV</t>
  </si>
  <si>
    <t>TPT723</t>
  </si>
  <si>
    <t>TRAPUT</t>
  </si>
  <si>
    <t>TRAPUTbb</t>
  </si>
  <si>
    <t>TPT</t>
  </si>
  <si>
    <t>TRI615</t>
  </si>
  <si>
    <t>TIARI</t>
  </si>
  <si>
    <t>TIARIbb</t>
  </si>
  <si>
    <t>TIARI_TDF</t>
  </si>
  <si>
    <t>TRI</t>
  </si>
  <si>
    <t>TRO163</t>
  </si>
  <si>
    <t>TROCAS</t>
  </si>
  <si>
    <t>TROCASbb</t>
  </si>
  <si>
    <t>TRO</t>
  </si>
  <si>
    <t>TRT618</t>
  </si>
  <si>
    <t>TIARI_TDFbb</t>
  </si>
  <si>
    <t>TRT</t>
  </si>
  <si>
    <t>TSI667</t>
  </si>
  <si>
    <t>TSIBA</t>
  </si>
  <si>
    <t>TSIBAbb</t>
  </si>
  <si>
    <t>TSI</t>
  </si>
  <si>
    <t>TTA565</t>
  </si>
  <si>
    <t>TIETA</t>
  </si>
  <si>
    <t>TIETAe</t>
  </si>
  <si>
    <t>TTA</t>
  </si>
  <si>
    <t>TTD588</t>
  </si>
  <si>
    <t>TIETA_TDF</t>
  </si>
  <si>
    <t>TIETA_TDFbb</t>
  </si>
  <si>
    <t>TTD</t>
  </si>
  <si>
    <t>TTI516</t>
  </si>
  <si>
    <t>TIETI</t>
  </si>
  <si>
    <t>TIETIbb</t>
  </si>
  <si>
    <t>TTI</t>
  </si>
  <si>
    <t>TUB056</t>
  </si>
  <si>
    <t>TUBAND</t>
  </si>
  <si>
    <t>TUBANDe</t>
  </si>
  <si>
    <t>TUB</t>
  </si>
  <si>
    <t>TUP313</t>
  </si>
  <si>
    <t>TUPETI</t>
  </si>
  <si>
    <t>TUPETIbb</t>
  </si>
  <si>
    <t>TUP</t>
  </si>
  <si>
    <t>TUU430</t>
  </si>
  <si>
    <t>THUbb</t>
  </si>
  <si>
    <t>TUU</t>
  </si>
  <si>
    <t>TVT567</t>
  </si>
  <si>
    <t>TV_TIENDANITE</t>
  </si>
  <si>
    <t>TV_TIENDANITEbb</t>
  </si>
  <si>
    <t>TVT</t>
  </si>
  <si>
    <t>TV_TIENDANITEBB</t>
  </si>
  <si>
    <t>TWE563</t>
  </si>
  <si>
    <t>TIAOUE</t>
  </si>
  <si>
    <t>TIAOUEbb</t>
  </si>
  <si>
    <t>TWE</t>
  </si>
  <si>
    <t>UGU429</t>
  </si>
  <si>
    <t>UGUE</t>
  </si>
  <si>
    <t>UGUEbb</t>
  </si>
  <si>
    <t>UGU</t>
  </si>
  <si>
    <t>ULM048</t>
  </si>
  <si>
    <t>ULM</t>
  </si>
  <si>
    <t>RUE_ULM</t>
  </si>
  <si>
    <t>RUE_ULMbb</t>
  </si>
  <si>
    <t>UNC042</t>
  </si>
  <si>
    <t>VILLAGE_UNC</t>
  </si>
  <si>
    <t>VILLAGE_UNCbb</t>
  </si>
  <si>
    <t>UNC</t>
  </si>
  <si>
    <t>UNI218</t>
  </si>
  <si>
    <t>UNIA</t>
  </si>
  <si>
    <t>UNIAbb</t>
  </si>
  <si>
    <t>UNI</t>
  </si>
  <si>
    <t>USL729</t>
  </si>
  <si>
    <t>US_LIFOU</t>
  </si>
  <si>
    <t>US_LIFOUbb</t>
  </si>
  <si>
    <t>USL</t>
  </si>
  <si>
    <t>USM781</t>
  </si>
  <si>
    <t>US_MARE</t>
  </si>
  <si>
    <t>US_MAREbb</t>
  </si>
  <si>
    <t>USM</t>
  </si>
  <si>
    <t>USP598</t>
  </si>
  <si>
    <t>US_POUEMBOUT</t>
  </si>
  <si>
    <t>US_POUEMBOUTbb</t>
  </si>
  <si>
    <t>USP</t>
  </si>
  <si>
    <t>UTE413</t>
  </si>
  <si>
    <t>OUATE</t>
  </si>
  <si>
    <t>OUATEbb</t>
  </si>
  <si>
    <t>UTE</t>
  </si>
  <si>
    <t>UTR051</t>
  </si>
  <si>
    <t>UTRILLO</t>
  </si>
  <si>
    <t>UTRILLOe</t>
  </si>
  <si>
    <t>UTR</t>
  </si>
  <si>
    <t>VAC037</t>
  </si>
  <si>
    <t>VALLEY_CENTER</t>
  </si>
  <si>
    <t>VALLEY_CENTERbb</t>
  </si>
  <si>
    <t>VAC</t>
  </si>
  <si>
    <t>VAO257</t>
  </si>
  <si>
    <t>VAO</t>
  </si>
  <si>
    <t>VAOe</t>
  </si>
  <si>
    <t>VAV568</t>
  </si>
  <si>
    <t>VAVOUTO</t>
  </si>
  <si>
    <t>VAVOUTOe</t>
  </si>
  <si>
    <t>VAV</t>
  </si>
  <si>
    <t>VDC040</t>
  </si>
  <si>
    <t>VDC_ESPACE_AUTO</t>
  </si>
  <si>
    <t>VDC_ESPACE_AUTOe</t>
  </si>
  <si>
    <t>VDC</t>
  </si>
  <si>
    <t>VED570</t>
  </si>
  <si>
    <t>VEDIAGAP</t>
  </si>
  <si>
    <t>VEDIAGAPe</t>
  </si>
  <si>
    <t>VED</t>
  </si>
  <si>
    <t>VEL041</t>
  </si>
  <si>
    <t>VELODROME</t>
  </si>
  <si>
    <t>VELODROMEe</t>
  </si>
  <si>
    <t>VEL</t>
  </si>
  <si>
    <t>VGE067</t>
  </si>
  <si>
    <t>VD_GENIE</t>
  </si>
  <si>
    <t>VD_GENIEe</t>
  </si>
  <si>
    <t>VGE</t>
  </si>
  <si>
    <t>VID486</t>
  </si>
  <si>
    <t>VIDOIRE</t>
  </si>
  <si>
    <t>VIDOIREbb</t>
  </si>
  <si>
    <t>VID</t>
  </si>
  <si>
    <t>VKO523</t>
  </si>
  <si>
    <t>VALLEE_DE_KOE</t>
  </si>
  <si>
    <t>VKO</t>
  </si>
  <si>
    <t>VMO445</t>
  </si>
  <si>
    <t>VD_MOINDOU</t>
  </si>
  <si>
    <t>VD_MOINDOUbb</t>
  </si>
  <si>
    <t>VMO</t>
  </si>
  <si>
    <t>VOH583</t>
  </si>
  <si>
    <t>VOHbb</t>
  </si>
  <si>
    <t>VTA649</t>
  </si>
  <si>
    <t>VALLEE_DE_TAOM</t>
  </si>
  <si>
    <t>VALLEE_DE_TAOMbb</t>
  </si>
  <si>
    <t>VTA</t>
  </si>
  <si>
    <t>VUL183</t>
  </si>
  <si>
    <t>VULCAINbb</t>
  </si>
  <si>
    <t>VUL</t>
  </si>
  <si>
    <t>WAD770</t>
  </si>
  <si>
    <t>HWADRILLA</t>
  </si>
  <si>
    <t>HWADRILLAe</t>
  </si>
  <si>
    <t>WAD</t>
  </si>
  <si>
    <t>WAH573</t>
  </si>
  <si>
    <t>WAHAT</t>
  </si>
  <si>
    <t>WAHATBB</t>
  </si>
  <si>
    <t>WAHATbb</t>
  </si>
  <si>
    <t>WAH</t>
  </si>
  <si>
    <t>WAK745</t>
  </si>
  <si>
    <t>WAKUARORY</t>
  </si>
  <si>
    <t>WAKUARORYbb</t>
  </si>
  <si>
    <t>WAK</t>
  </si>
  <si>
    <t>WAN717</t>
  </si>
  <si>
    <t>WANAHAM</t>
  </si>
  <si>
    <t>WANAHAMbb</t>
  </si>
  <si>
    <t>WAN</t>
  </si>
  <si>
    <t>WAR045</t>
  </si>
  <si>
    <t>WARUNA</t>
  </si>
  <si>
    <t>WARUNAbb</t>
  </si>
  <si>
    <t>WAR</t>
  </si>
  <si>
    <t>WAY672</t>
  </si>
  <si>
    <t>WAYETbb</t>
  </si>
  <si>
    <t>WAY</t>
  </si>
  <si>
    <t>WAYETBB</t>
  </si>
  <si>
    <t>WDE258</t>
  </si>
  <si>
    <t>WEDROAE</t>
  </si>
  <si>
    <t>WEDROAEe</t>
  </si>
  <si>
    <t>WDE</t>
  </si>
  <si>
    <t>WED725</t>
  </si>
  <si>
    <t>WEDRUMEL</t>
  </si>
  <si>
    <t>WEDRUMELbb</t>
  </si>
  <si>
    <t>WED</t>
  </si>
  <si>
    <t>WEE724</t>
  </si>
  <si>
    <t>WEbb</t>
  </si>
  <si>
    <t>WEE</t>
  </si>
  <si>
    <t>WEP549</t>
  </si>
  <si>
    <t>WEP_WEbb</t>
  </si>
  <si>
    <t>WEP</t>
  </si>
  <si>
    <t>WKN744</t>
  </si>
  <si>
    <t>WAKONE</t>
  </si>
  <si>
    <t>WAKONEbb</t>
  </si>
  <si>
    <t>WKN</t>
  </si>
  <si>
    <t>YAC216</t>
  </si>
  <si>
    <t>YATEbb</t>
  </si>
  <si>
    <t>YAC</t>
  </si>
  <si>
    <t>YAD575</t>
  </si>
  <si>
    <t>BWA_YADA</t>
  </si>
  <si>
    <t>BWA_YADAbb</t>
  </si>
  <si>
    <t>YAD</t>
  </si>
  <si>
    <t>BWA_YADABB</t>
  </si>
  <si>
    <t>YAM617</t>
  </si>
  <si>
    <t>YAMBE</t>
  </si>
  <si>
    <t>YAMBEbb</t>
  </si>
  <si>
    <t>YAM</t>
  </si>
  <si>
    <t>YAT215</t>
  </si>
  <si>
    <t>WAHOe</t>
  </si>
  <si>
    <t>YAT</t>
  </si>
  <si>
    <t>ZIC181</t>
  </si>
  <si>
    <t>ZICO</t>
  </si>
  <si>
    <t>ZICObb</t>
  </si>
  <si>
    <t>ZIC</t>
  </si>
  <si>
    <t>ZIZ179</t>
  </si>
  <si>
    <t>LOT_ZIZA</t>
  </si>
  <si>
    <t>LOT_ZIZAbb</t>
  </si>
  <si>
    <t>ZIZ</t>
  </si>
  <si>
    <t>ZOU477</t>
  </si>
  <si>
    <t>ZOUVEZELE</t>
  </si>
  <si>
    <t>ZOUVEZELEe</t>
  </si>
  <si>
    <t>ZOU</t>
  </si>
  <si>
    <t>ZPA142</t>
  </si>
  <si>
    <t>ZAC_PANDA</t>
  </si>
  <si>
    <t>ZAC_PANDAbb</t>
  </si>
  <si>
    <t>ZPA</t>
  </si>
  <si>
    <t>ZTI209</t>
  </si>
  <si>
    <t>INCO_SATELLITEbb</t>
  </si>
  <si>
    <t>ZTI</t>
  </si>
  <si>
    <t>cells</t>
  </si>
  <si>
    <t>rbsId</t>
  </si>
  <si>
    <t>province</t>
  </si>
  <si>
    <t>azimut</t>
  </si>
  <si>
    <t>nbCarrierWcdma</t>
  </si>
  <si>
    <t>NbCarrierLte</t>
  </si>
  <si>
    <t>nbCarrierGsm</t>
  </si>
  <si>
    <t>band</t>
  </si>
  <si>
    <t>1RM1281</t>
  </si>
  <si>
    <t>1RM1282</t>
  </si>
  <si>
    <t>3VL1461</t>
  </si>
  <si>
    <t>3VL1462</t>
  </si>
  <si>
    <t>3VL1463</t>
  </si>
  <si>
    <t>ACR5844</t>
  </si>
  <si>
    <t>ACR5845</t>
  </si>
  <si>
    <t>ACR5846</t>
  </si>
  <si>
    <t>ADS1401</t>
  </si>
  <si>
    <t>AGE4011</t>
  </si>
  <si>
    <t>AGL1501</t>
  </si>
  <si>
    <t>AGT0891</t>
  </si>
  <si>
    <t>AIG1011</t>
  </si>
  <si>
    <t>AIG1012</t>
  </si>
  <si>
    <t>AIG1013</t>
  </si>
  <si>
    <t>AIU3151</t>
  </si>
  <si>
    <t>AIU3152</t>
  </si>
  <si>
    <t>AIU3153</t>
  </si>
  <si>
    <t>AMO5011</t>
  </si>
  <si>
    <t>AMO5012</t>
  </si>
  <si>
    <t>AOL3011</t>
  </si>
  <si>
    <t>AOL3012</t>
  </si>
  <si>
    <t>AOU4021</t>
  </si>
  <si>
    <t>AOU4022</t>
  </si>
  <si>
    <t>AOU4023</t>
  </si>
  <si>
    <t>APO1711</t>
  </si>
  <si>
    <t>APO1712</t>
  </si>
  <si>
    <t>ARA6011</t>
  </si>
  <si>
    <t>ARA6012</t>
  </si>
  <si>
    <t>ATE7661</t>
  </si>
  <si>
    <t>ATE7662</t>
  </si>
  <si>
    <t>AZU0881</t>
  </si>
  <si>
    <t>AZU0882</t>
  </si>
  <si>
    <t>AZU0883</t>
  </si>
  <si>
    <t>BAN1391</t>
  </si>
  <si>
    <t>BAN1392</t>
  </si>
  <si>
    <t>BAR2171</t>
  </si>
  <si>
    <t>BAR2172</t>
  </si>
  <si>
    <t>BAU4721</t>
  </si>
  <si>
    <t>BAU4722</t>
  </si>
  <si>
    <t>BAU4723</t>
  </si>
  <si>
    <t>BAU4724</t>
  </si>
  <si>
    <t>BAY5791</t>
  </si>
  <si>
    <t>BAY5792</t>
  </si>
  <si>
    <t>BCB5971</t>
  </si>
  <si>
    <t>BCB5972</t>
  </si>
  <si>
    <t>BCB5973</t>
  </si>
  <si>
    <t>BCR5501</t>
  </si>
  <si>
    <t>BCR5502</t>
  </si>
  <si>
    <t>BCR5503</t>
  </si>
  <si>
    <t>BDC0761</t>
  </si>
  <si>
    <t>BEA1721</t>
  </si>
  <si>
    <t>BEL6161</t>
  </si>
  <si>
    <t>BEL6162</t>
  </si>
  <si>
    <t>BER4511</t>
  </si>
  <si>
    <t>BERNHEIM_SLN</t>
  </si>
  <si>
    <t>BGE0461</t>
  </si>
  <si>
    <t>BGR4501</t>
  </si>
  <si>
    <t>BGR4502</t>
  </si>
  <si>
    <t>BGV0021</t>
  </si>
  <si>
    <t>BHP0011</t>
  </si>
  <si>
    <t>BHP0012</t>
  </si>
  <si>
    <t>BHP0013</t>
  </si>
  <si>
    <t>BLP3811</t>
  </si>
  <si>
    <t>BLP3812</t>
  </si>
  <si>
    <t>BLP3813</t>
  </si>
  <si>
    <t>BLR1031</t>
  </si>
  <si>
    <t>BMN4481</t>
  </si>
  <si>
    <t>BMN4482</t>
  </si>
  <si>
    <t>BMN4483</t>
  </si>
  <si>
    <t>BOE1311</t>
  </si>
  <si>
    <t>BOE1312</t>
  </si>
  <si>
    <t>BOE1313</t>
  </si>
  <si>
    <t>BON6111</t>
  </si>
  <si>
    <t>BON6112</t>
  </si>
  <si>
    <t>BON6113</t>
  </si>
  <si>
    <t>BOP5021</t>
  </si>
  <si>
    <t>BOP5022</t>
  </si>
  <si>
    <t>BOR4521</t>
  </si>
  <si>
    <t>BOR4522</t>
  </si>
  <si>
    <t>BOR4523</t>
  </si>
  <si>
    <t>BOT0471</t>
  </si>
  <si>
    <t>BOT0472</t>
  </si>
  <si>
    <t>BOU1691</t>
  </si>
  <si>
    <t>BOU1692</t>
  </si>
  <si>
    <t>BOU1693</t>
  </si>
  <si>
    <t>BOY6501</t>
  </si>
  <si>
    <t>BPA6741</t>
  </si>
  <si>
    <t>BPA6742</t>
  </si>
  <si>
    <t>BPA6743</t>
  </si>
  <si>
    <t>BPH3831</t>
  </si>
  <si>
    <t>BPH3832</t>
  </si>
  <si>
    <t>BPH3833</t>
  </si>
  <si>
    <t>BRA0491</t>
  </si>
  <si>
    <t>BRA0492</t>
  </si>
  <si>
    <t>BRA0493</t>
  </si>
  <si>
    <t>BRB6811</t>
  </si>
  <si>
    <t>BRB6812</t>
  </si>
  <si>
    <t>BRB6813</t>
  </si>
  <si>
    <t>BRK3881</t>
  </si>
  <si>
    <t>BRK3882</t>
  </si>
  <si>
    <t>BRK3883</t>
  </si>
  <si>
    <t>BRL4531</t>
  </si>
  <si>
    <t>BRL4532</t>
  </si>
  <si>
    <t>BRL4533</t>
  </si>
  <si>
    <t>BTD4421</t>
  </si>
  <si>
    <t>BTD4422</t>
  </si>
  <si>
    <t>BTD4423</t>
  </si>
  <si>
    <t>BTK4871</t>
  </si>
  <si>
    <t>BUT1741</t>
  </si>
  <si>
    <t>BUT1742</t>
  </si>
  <si>
    <t>BVI2081</t>
  </si>
  <si>
    <t>BWA6021</t>
  </si>
  <si>
    <t>BWA6022</t>
  </si>
  <si>
    <t>BWA6023</t>
  </si>
  <si>
    <t>BWP6031</t>
  </si>
  <si>
    <t>BWP6032</t>
  </si>
  <si>
    <t>C481051</t>
  </si>
  <si>
    <t>C481052</t>
  </si>
  <si>
    <t>CAN3031</t>
  </si>
  <si>
    <t>CAN3032</t>
  </si>
  <si>
    <t>CAP4491</t>
  </si>
  <si>
    <t>LE_CAP_BT</t>
  </si>
  <si>
    <t>CAP4492</t>
  </si>
  <si>
    <t>CAP4493</t>
  </si>
  <si>
    <t>CAS5891</t>
  </si>
  <si>
    <t>CAS5892</t>
  </si>
  <si>
    <t>CAS5893</t>
  </si>
  <si>
    <t>CAT0041</t>
  </si>
  <si>
    <t>CAT0042</t>
  </si>
  <si>
    <t>CAT0043</t>
  </si>
  <si>
    <t>CBD1161</t>
  </si>
  <si>
    <t>CBD1162</t>
  </si>
  <si>
    <t>CBD1163</t>
  </si>
  <si>
    <t>CBE2601</t>
  </si>
  <si>
    <t>CBE2602</t>
  </si>
  <si>
    <t>CBE2603</t>
  </si>
  <si>
    <t>CBO4541</t>
  </si>
  <si>
    <t>CBO4542</t>
  </si>
  <si>
    <t>CBO4543</t>
  </si>
  <si>
    <t>CBU4551</t>
  </si>
  <si>
    <t>CBU4552</t>
  </si>
  <si>
    <t>CCI4841</t>
  </si>
  <si>
    <t>CCI4842</t>
  </si>
  <si>
    <t>CEN7331</t>
  </si>
  <si>
    <t>CET5531</t>
  </si>
  <si>
    <t>CET5532</t>
  </si>
  <si>
    <t>CET5533</t>
  </si>
  <si>
    <t>CGC0051</t>
  </si>
  <si>
    <t>CGC0052</t>
  </si>
  <si>
    <t>CGC0053</t>
  </si>
  <si>
    <t>CGO492</t>
  </si>
  <si>
    <t>CGO493</t>
  </si>
  <si>
    <t>CHA6681</t>
  </si>
  <si>
    <t>CHA6682</t>
  </si>
  <si>
    <t>CHE7011</t>
  </si>
  <si>
    <t>CHE7012</t>
  </si>
  <si>
    <t>CHP0061</t>
  </si>
  <si>
    <t>CHP0062</t>
  </si>
  <si>
    <t>CHT8041</t>
  </si>
  <si>
    <t>CHT8042</t>
  </si>
  <si>
    <t>CHT8211</t>
  </si>
  <si>
    <t>CHT8221</t>
  </si>
  <si>
    <t>CIL7281</t>
  </si>
  <si>
    <t>CIT0121</t>
  </si>
  <si>
    <t>CIT0122</t>
  </si>
  <si>
    <t>CKO1481</t>
  </si>
  <si>
    <t>CKO1482</t>
  </si>
  <si>
    <t>CKO1483</t>
  </si>
  <si>
    <t>CLA4061</t>
  </si>
  <si>
    <t>CLA4062</t>
  </si>
  <si>
    <t>CLE0521</t>
  </si>
  <si>
    <t>IMMEUBLE_CLEMENCEAU</t>
  </si>
  <si>
    <t>CLE0522</t>
  </si>
  <si>
    <t>CLE0523</t>
  </si>
  <si>
    <t>CLT6041</t>
  </si>
  <si>
    <t>CLT6042</t>
  </si>
  <si>
    <t>CLT6043</t>
  </si>
  <si>
    <t>CMD1041</t>
  </si>
  <si>
    <t>CMD1042</t>
  </si>
  <si>
    <t>CMD1043</t>
  </si>
  <si>
    <t>CMO4561</t>
  </si>
  <si>
    <t>CMO4562</t>
  </si>
  <si>
    <t>CMO4563</t>
  </si>
  <si>
    <t>CMU4571</t>
  </si>
  <si>
    <t>CMU4572</t>
  </si>
  <si>
    <t>CMU4573</t>
  </si>
  <si>
    <t>CND2021</t>
  </si>
  <si>
    <t>CND2022</t>
  </si>
  <si>
    <t>CND2023</t>
  </si>
  <si>
    <t>CNG6511</t>
  </si>
  <si>
    <t>CNG6512</t>
  </si>
  <si>
    <t>CNL3021</t>
  </si>
  <si>
    <t>COF0721</t>
  </si>
  <si>
    <t>COF0722</t>
  </si>
  <si>
    <t>COF0723</t>
  </si>
  <si>
    <t>COL0391</t>
  </si>
  <si>
    <t>COL0392</t>
  </si>
  <si>
    <t>COL0393</t>
  </si>
  <si>
    <t>CON0081</t>
  </si>
  <si>
    <t>COR1731</t>
  </si>
  <si>
    <t>COR1732</t>
  </si>
  <si>
    <t>COS1061</t>
  </si>
  <si>
    <t>COS1062</t>
  </si>
  <si>
    <t>COS1063</t>
  </si>
  <si>
    <t>COU3771</t>
  </si>
  <si>
    <t>COU3772</t>
  </si>
  <si>
    <t>COU3773</t>
  </si>
  <si>
    <t>CPN5711</t>
  </si>
  <si>
    <t>COL_DE_OUAPAN</t>
  </si>
  <si>
    <t>CPN5712</t>
  </si>
  <si>
    <t>CPT0031</t>
  </si>
  <si>
    <t>CPT0032</t>
  </si>
  <si>
    <t>CPT0033</t>
  </si>
  <si>
    <t>CRT4681</t>
  </si>
  <si>
    <t>COL_DES_ROUSSETTES</t>
  </si>
  <si>
    <t>CRT4682</t>
  </si>
  <si>
    <t>CSO0781</t>
  </si>
  <si>
    <t>CSO0782</t>
  </si>
  <si>
    <t>CSO0783</t>
  </si>
  <si>
    <t>CTA0591</t>
  </si>
  <si>
    <t>CUA7391</t>
  </si>
  <si>
    <t>CWA6751</t>
  </si>
  <si>
    <t>CWA6752</t>
  </si>
  <si>
    <t>CYI0841</t>
  </si>
  <si>
    <t>CYI0842</t>
  </si>
  <si>
    <t>CYI0843</t>
  </si>
  <si>
    <t>CZP1891</t>
  </si>
  <si>
    <t>CZP1892</t>
  </si>
  <si>
    <t>CZP1893</t>
  </si>
  <si>
    <t>DBM1714</t>
  </si>
  <si>
    <t>DBO0431</t>
  </si>
  <si>
    <t>DBO0432</t>
  </si>
  <si>
    <t>DCE0571</t>
  </si>
  <si>
    <t>DCE0572</t>
  </si>
  <si>
    <t>DET2591</t>
  </si>
  <si>
    <t>DET2592</t>
  </si>
  <si>
    <t>DKM0801</t>
  </si>
  <si>
    <t>DMA1841</t>
  </si>
  <si>
    <t>DMA1842</t>
  </si>
  <si>
    <t>DMA1843</t>
  </si>
  <si>
    <t>DNU0894</t>
  </si>
  <si>
    <t>DOR1171</t>
  </si>
  <si>
    <t>DOR1172</t>
  </si>
  <si>
    <t>DOR1173</t>
  </si>
  <si>
    <t>DRE7021</t>
  </si>
  <si>
    <t>DRU7031</t>
  </si>
  <si>
    <t>DRU7032</t>
  </si>
  <si>
    <t>DRU7033</t>
  </si>
  <si>
    <t>DSR3211</t>
  </si>
  <si>
    <t>DESIRE</t>
  </si>
  <si>
    <t>DSR3212</t>
  </si>
  <si>
    <t>DSR3213</t>
  </si>
  <si>
    <t>DTS0091</t>
  </si>
  <si>
    <t>DTS0092</t>
  </si>
  <si>
    <t>DTS0093</t>
  </si>
  <si>
    <t>DTS0094</t>
  </si>
  <si>
    <t>DUC0101</t>
  </si>
  <si>
    <t>DUC0102</t>
  </si>
  <si>
    <t>DUM1151</t>
  </si>
  <si>
    <t>DUM1152</t>
  </si>
  <si>
    <t>DUN1881</t>
  </si>
  <si>
    <t>DUN1882</t>
  </si>
  <si>
    <t>DUN1883</t>
  </si>
  <si>
    <t>DZU1581</t>
  </si>
  <si>
    <t>DZU1582</t>
  </si>
  <si>
    <t>DZU1583</t>
  </si>
  <si>
    <t>EBR4961</t>
  </si>
  <si>
    <t>EBR4962</t>
  </si>
  <si>
    <t>EBR4963</t>
  </si>
  <si>
    <t>EGO4831</t>
  </si>
  <si>
    <t>EGO4832</t>
  </si>
  <si>
    <t>EIN0111</t>
  </si>
  <si>
    <t>EIN0112</t>
  </si>
  <si>
    <t>EIN0113</t>
  </si>
  <si>
    <t>EKO3681</t>
  </si>
  <si>
    <t>EKO3682</t>
  </si>
  <si>
    <t>FAN4321</t>
  </si>
  <si>
    <t>FAN4322</t>
  </si>
  <si>
    <t>FAN4323</t>
  </si>
  <si>
    <t>FAR3511</t>
  </si>
  <si>
    <t>FAR3512</t>
  </si>
  <si>
    <t>FAY1081</t>
  </si>
  <si>
    <t>FAY1082</t>
  </si>
  <si>
    <t>FAY1083</t>
  </si>
  <si>
    <t>FLA3751</t>
  </si>
  <si>
    <t>FLA3752</t>
  </si>
  <si>
    <t>FLA3753</t>
  </si>
  <si>
    <t>FNO3724</t>
  </si>
  <si>
    <t>FNO3725</t>
  </si>
  <si>
    <t>FNO3726</t>
  </si>
  <si>
    <t>FOA3521</t>
  </si>
  <si>
    <t>FOA3522</t>
  </si>
  <si>
    <t>FOA3523</t>
  </si>
  <si>
    <t>FOC0131</t>
  </si>
  <si>
    <t>urbain</t>
  </si>
  <si>
    <t>FOC0132</t>
  </si>
  <si>
    <t>FOC0133</t>
  </si>
  <si>
    <t>FON3753</t>
  </si>
  <si>
    <t>EMB_FONWHARY</t>
  </si>
  <si>
    <t>FON3754</t>
  </si>
  <si>
    <t>FOR1491</t>
  </si>
  <si>
    <t>FOR1492</t>
  </si>
  <si>
    <t>FOU1131</t>
  </si>
  <si>
    <t>FOU1132</t>
  </si>
  <si>
    <t>FOY0141</t>
  </si>
  <si>
    <t>FOYER_TAHITIEN</t>
  </si>
  <si>
    <t>FOY0142</t>
  </si>
  <si>
    <t>FOY0143</t>
  </si>
  <si>
    <t>FP40681</t>
  </si>
  <si>
    <t>FP40682</t>
  </si>
  <si>
    <t>FP40683</t>
  </si>
  <si>
    <t>FPT1471</t>
  </si>
  <si>
    <t>FPT1472</t>
  </si>
  <si>
    <t>FPT1473</t>
  </si>
  <si>
    <t>FYE7671</t>
  </si>
  <si>
    <t>FYE7672</t>
  </si>
  <si>
    <t>FYE7673</t>
  </si>
  <si>
    <t>GAD2511</t>
  </si>
  <si>
    <t>GAD2512</t>
  </si>
  <si>
    <t>GAL0151</t>
  </si>
  <si>
    <t>GAL0152</t>
  </si>
  <si>
    <t>GAL0153</t>
  </si>
  <si>
    <t>GAM6531</t>
  </si>
  <si>
    <t>GAM6532</t>
  </si>
  <si>
    <t>GAM6533</t>
  </si>
  <si>
    <t>GAR6051</t>
  </si>
  <si>
    <t>GAR6052</t>
  </si>
  <si>
    <t>GAT6541</t>
  </si>
  <si>
    <t>GAT6542</t>
  </si>
  <si>
    <t>GAU5051</t>
  </si>
  <si>
    <t>GAU5052</t>
  </si>
  <si>
    <t>GAU5053</t>
  </si>
  <si>
    <t>GBA2051</t>
  </si>
  <si>
    <t>GBA2052</t>
  </si>
  <si>
    <t>GBP7821</t>
  </si>
  <si>
    <t>GBP7822</t>
  </si>
  <si>
    <t>GBP7823</t>
  </si>
  <si>
    <t>GLC2011</t>
  </si>
  <si>
    <t>GLC2012</t>
  </si>
  <si>
    <t>GND5031</t>
  </si>
  <si>
    <t>GND5032</t>
  </si>
  <si>
    <t>GNO6041</t>
  </si>
  <si>
    <t>GOA4741</t>
  </si>
  <si>
    <t>GOA4742</t>
  </si>
  <si>
    <t>GOE3621</t>
  </si>
  <si>
    <t>GOE3622</t>
  </si>
  <si>
    <t>GOG4031</t>
  </si>
  <si>
    <t>GOG4032</t>
  </si>
  <si>
    <t>GOG4033</t>
  </si>
  <si>
    <t>GOM6521</t>
  </si>
  <si>
    <t>GOM6522</t>
  </si>
  <si>
    <t>GOM6523</t>
  </si>
  <si>
    <t>GOR2031</t>
  </si>
  <si>
    <t>GOR2032</t>
  </si>
  <si>
    <t>GOS7681</t>
  </si>
  <si>
    <t>GOS7682</t>
  </si>
  <si>
    <t>GOT4281</t>
  </si>
  <si>
    <t>GOT4282</t>
  </si>
  <si>
    <t>GOT4283</t>
  </si>
  <si>
    <t>GOU4761</t>
  </si>
  <si>
    <t>GOU4762</t>
  </si>
  <si>
    <t>GOU4763</t>
  </si>
  <si>
    <t>GOY4251</t>
  </si>
  <si>
    <t>GRT2041</t>
  </si>
  <si>
    <t>GRT2042</t>
  </si>
  <si>
    <t>GSM0821</t>
  </si>
  <si>
    <t>GSM0822</t>
  </si>
  <si>
    <t>GSM0823</t>
  </si>
  <si>
    <t>GTI0541</t>
  </si>
  <si>
    <t>GTI0542</t>
  </si>
  <si>
    <t>GTI0543</t>
  </si>
  <si>
    <t>GVA0171</t>
  </si>
  <si>
    <t>HAN7071</t>
  </si>
  <si>
    <t>HAN7072</t>
  </si>
  <si>
    <t>HAP7691</t>
  </si>
  <si>
    <t>HAP7692</t>
  </si>
  <si>
    <t>HCM7051</t>
  </si>
  <si>
    <t>HCM7052</t>
  </si>
  <si>
    <t>HCM7053</t>
  </si>
  <si>
    <t>HIE5041</t>
  </si>
  <si>
    <t>HIE5042</t>
  </si>
  <si>
    <t>HLO7081</t>
  </si>
  <si>
    <t>HLO7082</t>
  </si>
  <si>
    <t>HMK7041</t>
  </si>
  <si>
    <t>HMK7042</t>
  </si>
  <si>
    <t>HMK7043</t>
  </si>
  <si>
    <t>HOU4041</t>
  </si>
  <si>
    <t>HOU4042</t>
  </si>
  <si>
    <t>HOU4043</t>
  </si>
  <si>
    <t>HRN4431</t>
  </si>
  <si>
    <t>HRN4432</t>
  </si>
  <si>
    <t>HRN4433</t>
  </si>
  <si>
    <t>HRO7061</t>
  </si>
  <si>
    <t>HRO7062</t>
  </si>
  <si>
    <t>HSI1661</t>
  </si>
  <si>
    <t>HSI1662</t>
  </si>
  <si>
    <t>HUI7091</t>
  </si>
  <si>
    <t>HUI7092</t>
  </si>
  <si>
    <t>HUN7101</t>
  </si>
  <si>
    <t>HUN7102</t>
  </si>
  <si>
    <t>HWA7711</t>
  </si>
  <si>
    <t>HWA7712</t>
  </si>
  <si>
    <t>HWA7713</t>
  </si>
  <si>
    <t>HYP1751</t>
  </si>
  <si>
    <t>ILM0181</t>
  </si>
  <si>
    <t>INA7111</t>
  </si>
  <si>
    <t>INA7112</t>
  </si>
  <si>
    <t>IPO2092</t>
  </si>
  <si>
    <t>IYA215D</t>
  </si>
  <si>
    <t>JOH0771</t>
  </si>
  <si>
    <t>JOH0772</t>
  </si>
  <si>
    <t>JOH0773</t>
  </si>
  <si>
    <t>JOJ7121</t>
  </si>
  <si>
    <t>JOJ7122</t>
  </si>
  <si>
    <t>JOK7131</t>
  </si>
  <si>
    <t>JOK7132</t>
  </si>
  <si>
    <t>JOZ7261</t>
  </si>
  <si>
    <t>KIAMUbb (JOZIP)</t>
  </si>
  <si>
    <t>JOZ7262</t>
  </si>
  <si>
    <t>JOZ7263</t>
  </si>
  <si>
    <t>JYA1591</t>
  </si>
  <si>
    <t>JYA1592</t>
  </si>
  <si>
    <t>JZP7141</t>
  </si>
  <si>
    <t>JZP7142</t>
  </si>
  <si>
    <t>KAB0161</t>
  </si>
  <si>
    <t>KAB0162</t>
  </si>
  <si>
    <t>KAE6771</t>
  </si>
  <si>
    <t>KAO4191</t>
  </si>
  <si>
    <t>BAKAORA</t>
  </si>
  <si>
    <t>KAO4192</t>
  </si>
  <si>
    <t>KAT1761</t>
  </si>
  <si>
    <t>KAT1762</t>
  </si>
  <si>
    <t>KBE6551</t>
  </si>
  <si>
    <t>KBE6552</t>
  </si>
  <si>
    <t>KBE6553</t>
  </si>
  <si>
    <t>KBO3061</t>
  </si>
  <si>
    <t>KOTABO</t>
  </si>
  <si>
    <t>KBO3062</t>
  </si>
  <si>
    <t>KBO3063</t>
  </si>
  <si>
    <t>KBT5921</t>
  </si>
  <si>
    <t>KBT5922</t>
  </si>
  <si>
    <t>KBT5923</t>
  </si>
  <si>
    <t>KED7151</t>
  </si>
  <si>
    <t>KED7152</t>
  </si>
  <si>
    <t>KED7153</t>
  </si>
  <si>
    <t>KEE2611</t>
  </si>
  <si>
    <t>KEE2612</t>
  </si>
  <si>
    <t>KEL4581</t>
  </si>
  <si>
    <t>KEL4582</t>
  </si>
  <si>
    <t>KEL4583</t>
  </si>
  <si>
    <t>KEN1701</t>
  </si>
  <si>
    <t>KER3051</t>
  </si>
  <si>
    <t>KER3052</t>
  </si>
  <si>
    <t>KGH1091</t>
  </si>
  <si>
    <t>KGR1781</t>
  </si>
  <si>
    <t>KGR1782</t>
  </si>
  <si>
    <t>KIA7261</t>
  </si>
  <si>
    <t>KIA7262</t>
  </si>
  <si>
    <t>KIN0191</t>
  </si>
  <si>
    <t>KIN0192</t>
  </si>
  <si>
    <t>KIN0193</t>
  </si>
  <si>
    <t>KKT1071</t>
  </si>
  <si>
    <t>KKT1072</t>
  </si>
  <si>
    <t>KKT1073</t>
  </si>
  <si>
    <t>KLE5071</t>
  </si>
  <si>
    <t>KOULNOUE_VILLAGE</t>
  </si>
  <si>
    <t>KOULNOUE_VILLAGEbb</t>
  </si>
  <si>
    <t>KLE5072</t>
  </si>
  <si>
    <t>KMC6561</t>
  </si>
  <si>
    <t>KMC6562</t>
  </si>
  <si>
    <t>KMC6563</t>
  </si>
  <si>
    <t>KMO7161</t>
  </si>
  <si>
    <t>KMO7162</t>
  </si>
  <si>
    <t>KMO7163</t>
  </si>
  <si>
    <t>KNS5661</t>
  </si>
  <si>
    <t>KNS5662</t>
  </si>
  <si>
    <t>KNS5663</t>
  </si>
  <si>
    <t>KOA4241</t>
  </si>
  <si>
    <t>KOA4242</t>
  </si>
  <si>
    <t>KOA4243</t>
  </si>
  <si>
    <t>KOD2521</t>
  </si>
  <si>
    <t>KOD2522</t>
  </si>
  <si>
    <t>KOE5061</t>
  </si>
  <si>
    <t>KOE5062</t>
  </si>
  <si>
    <t>KOG1781</t>
  </si>
  <si>
    <t>KOGHIS_RESIDENCE_BT</t>
  </si>
  <si>
    <t>KOG1782</t>
  </si>
  <si>
    <t>KOH3141</t>
  </si>
  <si>
    <t>KOH3142</t>
  </si>
  <si>
    <t>KOH3143</t>
  </si>
  <si>
    <t>KOI3711</t>
  </si>
  <si>
    <t>KOK6761</t>
  </si>
  <si>
    <t>KOK6762</t>
  </si>
  <si>
    <t>KOK6763</t>
  </si>
  <si>
    <t>KON5521</t>
  </si>
  <si>
    <t>KON5522</t>
  </si>
  <si>
    <t>KON5523</t>
  </si>
  <si>
    <t>KOP4591</t>
  </si>
  <si>
    <t>KOP4592</t>
  </si>
  <si>
    <t>KOP4593</t>
  </si>
  <si>
    <t>KOU4241</t>
  </si>
  <si>
    <t>KOU4242</t>
  </si>
  <si>
    <t>KOY5761</t>
  </si>
  <si>
    <t>KOY5762</t>
  </si>
  <si>
    <t>KOY5763</t>
  </si>
  <si>
    <t>KP35871</t>
  </si>
  <si>
    <t>KP35872</t>
  </si>
  <si>
    <t>KP85941</t>
  </si>
  <si>
    <t>KP85942</t>
  </si>
  <si>
    <t>KP85943</t>
  </si>
  <si>
    <t>KPC5861</t>
  </si>
  <si>
    <t>KPC5862</t>
  </si>
  <si>
    <t>KPC5863</t>
  </si>
  <si>
    <t>KRA4931</t>
  </si>
  <si>
    <t>KRA4932</t>
  </si>
  <si>
    <t>KRA4933</t>
  </si>
  <si>
    <t>KRE3171</t>
  </si>
  <si>
    <t>KRE3172</t>
  </si>
  <si>
    <t>KUE0201</t>
  </si>
  <si>
    <t>KUT2531</t>
  </si>
  <si>
    <t>KUT2532</t>
  </si>
  <si>
    <t>KVI5911</t>
  </si>
  <si>
    <t>KVI5912</t>
  </si>
  <si>
    <t>KVI5913</t>
  </si>
  <si>
    <t>LAC1121</t>
  </si>
  <si>
    <t>LAC1122</t>
  </si>
  <si>
    <t>LAC1123</t>
  </si>
  <si>
    <t>LAN0501</t>
  </si>
  <si>
    <t>LAN0502</t>
  </si>
  <si>
    <t>LAN0503</t>
  </si>
  <si>
    <t>LAP7341</t>
  </si>
  <si>
    <t>LAP7342</t>
  </si>
  <si>
    <t>LAV2101</t>
  </si>
  <si>
    <t>LAV2102</t>
  </si>
  <si>
    <t>LAV2103</t>
  </si>
  <si>
    <t>LCH0211</t>
  </si>
  <si>
    <t>LCH0212</t>
  </si>
  <si>
    <t>LCH0213</t>
  </si>
  <si>
    <t>LCP4601</t>
  </si>
  <si>
    <t>LCP4602</t>
  </si>
  <si>
    <t>LCZ1671</t>
  </si>
  <si>
    <t>LEB3531</t>
  </si>
  <si>
    <t>LEB3532</t>
  </si>
  <si>
    <t>LEB3533</t>
  </si>
  <si>
    <t>LEB3534</t>
  </si>
  <si>
    <t>LEK7801</t>
  </si>
  <si>
    <t>LEK7802</t>
  </si>
  <si>
    <t>LEK7803</t>
  </si>
  <si>
    <t>LIM7361</t>
  </si>
  <si>
    <t>LIM7362</t>
  </si>
  <si>
    <t>LJG0441</t>
  </si>
  <si>
    <t>LJG0442</t>
  </si>
  <si>
    <t>LKP5961</t>
  </si>
  <si>
    <t>LLA7181</t>
  </si>
  <si>
    <t>LLA7182</t>
  </si>
  <si>
    <t>LNI7191</t>
  </si>
  <si>
    <t>LTU0871</t>
  </si>
  <si>
    <t>LUZ1681</t>
  </si>
  <si>
    <t>LUZ1682</t>
  </si>
  <si>
    <t>LUZ1683</t>
  </si>
  <si>
    <t>MAG0741</t>
  </si>
  <si>
    <t>MAG0742</t>
  </si>
  <si>
    <t>MAH6731</t>
  </si>
  <si>
    <t>MAH6732</t>
  </si>
  <si>
    <t>MAI4191</t>
  </si>
  <si>
    <t>MAM2191</t>
  </si>
  <si>
    <t>MAM2192</t>
  </si>
  <si>
    <t>MAM2193</t>
  </si>
  <si>
    <t>MAN6061</t>
  </si>
  <si>
    <t>MAN6062</t>
  </si>
  <si>
    <t>MAT3771</t>
  </si>
  <si>
    <t>MAT3772</t>
  </si>
  <si>
    <t>MBT7481</t>
  </si>
  <si>
    <t>MBT7482</t>
  </si>
  <si>
    <t>MBT7483</t>
  </si>
  <si>
    <t>MBU7484</t>
  </si>
  <si>
    <t>MCH0241</t>
  </si>
  <si>
    <t>MERIDIEN_CHAPELLE</t>
  </si>
  <si>
    <t>MCP0901</t>
  </si>
  <si>
    <t>MCP0902</t>
  </si>
  <si>
    <t>MCP0903</t>
  </si>
  <si>
    <t>MD23781</t>
  </si>
  <si>
    <t>MDO3551</t>
  </si>
  <si>
    <t>MDO3552</t>
  </si>
  <si>
    <t>MDO3553</t>
  </si>
  <si>
    <t>MDO3554</t>
  </si>
  <si>
    <t>MDR1021</t>
  </si>
  <si>
    <t>MDR1022</t>
  </si>
  <si>
    <t>MEA4851</t>
  </si>
  <si>
    <t>MEA4852</t>
  </si>
  <si>
    <t>MEA4853</t>
  </si>
  <si>
    <t>MEB4071</t>
  </si>
  <si>
    <t>MEB4072</t>
  </si>
  <si>
    <t>MED7371</t>
  </si>
  <si>
    <t>MED7372</t>
  </si>
  <si>
    <t>MEM4611</t>
  </si>
  <si>
    <t>MEM4612</t>
  </si>
  <si>
    <t>MEN7381</t>
  </si>
  <si>
    <t>MEN7382</t>
  </si>
  <si>
    <t>MER0231</t>
  </si>
  <si>
    <t>MER0232</t>
  </si>
  <si>
    <t>MER0233</t>
  </si>
  <si>
    <t>MGP0741</t>
  </si>
  <si>
    <t>MGP0742</t>
  </si>
  <si>
    <t>MGP0743</t>
  </si>
  <si>
    <t>MGT0911</t>
  </si>
  <si>
    <t>MGT0912</t>
  </si>
  <si>
    <t>MGT0913</t>
  </si>
  <si>
    <t>MID2541</t>
  </si>
  <si>
    <t>MID2542</t>
  </si>
  <si>
    <t>MIN5771</t>
  </si>
  <si>
    <t>MIN5772</t>
  </si>
  <si>
    <t>MIN5773</t>
  </si>
  <si>
    <t>MKA4051</t>
  </si>
  <si>
    <t>MKA4052</t>
  </si>
  <si>
    <t>MKA4053</t>
  </si>
  <si>
    <t>MKO2111</t>
  </si>
  <si>
    <t>MKO2112</t>
  </si>
  <si>
    <t>MKO2113</t>
  </si>
  <si>
    <t>MLB6571</t>
  </si>
  <si>
    <t>MLI7721</t>
  </si>
  <si>
    <t>MLI7722</t>
  </si>
  <si>
    <t>MMD1141</t>
  </si>
  <si>
    <t>MMD1142</t>
  </si>
  <si>
    <t>MMD1143</t>
  </si>
  <si>
    <t>MME1531</t>
  </si>
  <si>
    <t>MME1532</t>
  </si>
  <si>
    <t>MME1533</t>
  </si>
  <si>
    <t>MMO1161</t>
  </si>
  <si>
    <t>MMO1162</t>
  </si>
  <si>
    <t>MMO1163</t>
  </si>
  <si>
    <t>MMR0551</t>
  </si>
  <si>
    <t>MMR0552</t>
  </si>
  <si>
    <t>MMR0553</t>
  </si>
  <si>
    <t>MMU3591</t>
  </si>
  <si>
    <t>MMU3592</t>
  </si>
  <si>
    <t>MMU3593</t>
  </si>
  <si>
    <t>MNA5211</t>
  </si>
  <si>
    <t>MNA5212</t>
  </si>
  <si>
    <t>MNA5213</t>
  </si>
  <si>
    <t>MOB0971</t>
  </si>
  <si>
    <t>MOB0972</t>
  </si>
  <si>
    <t>MOB0973</t>
  </si>
  <si>
    <t>MOC0251</t>
  </si>
  <si>
    <t>MOC0252</t>
  </si>
  <si>
    <t>MOF4631</t>
  </si>
  <si>
    <t>MOF4632</t>
  </si>
  <si>
    <t>MOI4621</t>
  </si>
  <si>
    <t>MOI4622</t>
  </si>
  <si>
    <t>MOI4623</t>
  </si>
  <si>
    <t>MOO4081</t>
  </si>
  <si>
    <t>MOO4082</t>
  </si>
  <si>
    <t>MOO4083</t>
  </si>
  <si>
    <t>MOU7201</t>
  </si>
  <si>
    <t>MOU7202</t>
  </si>
  <si>
    <t>MOU7203</t>
  </si>
  <si>
    <t>MPA1641</t>
  </si>
  <si>
    <t>MPA1642</t>
  </si>
  <si>
    <t>MPA1643</t>
  </si>
  <si>
    <t>MRA0651</t>
  </si>
  <si>
    <t>MRA0652</t>
  </si>
  <si>
    <t>MRE3541</t>
  </si>
  <si>
    <t>MRE3542</t>
  </si>
  <si>
    <t>MRE3543</t>
  </si>
  <si>
    <t>MRG1271</t>
  </si>
  <si>
    <t>MRG1272</t>
  </si>
  <si>
    <t>MTE0621</t>
  </si>
  <si>
    <t>MTE0622</t>
  </si>
  <si>
    <t>MTE0623</t>
  </si>
  <si>
    <t>MUC7211</t>
  </si>
  <si>
    <t>MUC7212</t>
  </si>
  <si>
    <t>MUE2551</t>
  </si>
  <si>
    <t>MUE2552</t>
  </si>
  <si>
    <t>MUO4781</t>
  </si>
  <si>
    <t>MUO4782</t>
  </si>
  <si>
    <t>MUO4783</t>
  </si>
  <si>
    <t>MWN2561</t>
  </si>
  <si>
    <t>MWN2562</t>
  </si>
  <si>
    <t>MWN2563</t>
  </si>
  <si>
    <t>N871191</t>
  </si>
  <si>
    <t>N871192</t>
  </si>
  <si>
    <t>NAH3871</t>
  </si>
  <si>
    <t>NAH3872</t>
  </si>
  <si>
    <t>NAI1181</t>
  </si>
  <si>
    <t>NAI1182</t>
  </si>
  <si>
    <t>NAK1801</t>
  </si>
  <si>
    <t>NAK1802</t>
  </si>
  <si>
    <t>NAK1803</t>
  </si>
  <si>
    <t>NAN1201</t>
  </si>
  <si>
    <t>NAN1202</t>
  </si>
  <si>
    <t>NAP5131</t>
  </si>
  <si>
    <t>NAP5132</t>
  </si>
  <si>
    <t>NAS3561</t>
  </si>
  <si>
    <t>NAS3562</t>
  </si>
  <si>
    <t>NAT1181</t>
  </si>
  <si>
    <t>NAT1182</t>
  </si>
  <si>
    <t>NBE1571</t>
  </si>
  <si>
    <t>NBE1572</t>
  </si>
  <si>
    <t>NDA4881</t>
  </si>
  <si>
    <t>NDA4882</t>
  </si>
  <si>
    <t>NDI1861</t>
  </si>
  <si>
    <t>NDI187</t>
  </si>
  <si>
    <t>NDI1862</t>
  </si>
  <si>
    <t>NDI1863</t>
  </si>
  <si>
    <t>NDJ4091</t>
  </si>
  <si>
    <t>NDJ4092</t>
  </si>
  <si>
    <t>NDJ4093</t>
  </si>
  <si>
    <t>NEA5541</t>
  </si>
  <si>
    <t>NEC7731</t>
  </si>
  <si>
    <t>NEC7732</t>
  </si>
  <si>
    <t>NEK4931</t>
  </si>
  <si>
    <t>NEK4932</t>
  </si>
  <si>
    <t>NEK4933</t>
  </si>
  <si>
    <t>NEM4971</t>
  </si>
  <si>
    <t>NEM4972</t>
  </si>
  <si>
    <t>NEM4973</t>
  </si>
  <si>
    <t>NEP4651</t>
  </si>
  <si>
    <t>NEP4652</t>
  </si>
  <si>
    <t>NEP4653</t>
  </si>
  <si>
    <t>NER3081</t>
  </si>
  <si>
    <t>NER3082</t>
  </si>
  <si>
    <t>NER3083</t>
  </si>
  <si>
    <t>NES4661</t>
  </si>
  <si>
    <t>NES4662</t>
  </si>
  <si>
    <t>NES4663</t>
  </si>
  <si>
    <t>NEW4261</t>
  </si>
  <si>
    <t>NEW4262</t>
  </si>
  <si>
    <t>NEW4263</t>
  </si>
  <si>
    <t>NGV7332</t>
  </si>
  <si>
    <t>NIL3571</t>
  </si>
  <si>
    <t>NIL3572</t>
  </si>
  <si>
    <t>NIL3573</t>
  </si>
  <si>
    <t>NKA4211</t>
  </si>
  <si>
    <t>NESSAKOUYA</t>
  </si>
  <si>
    <t>NKA4212</t>
  </si>
  <si>
    <t>NKA4213</t>
  </si>
  <si>
    <t>NKL3191</t>
  </si>
  <si>
    <t>NAKALE</t>
  </si>
  <si>
    <t>NKR3181</t>
  </si>
  <si>
    <t>NKR3182</t>
  </si>
  <si>
    <t>NKU4641</t>
  </si>
  <si>
    <t>NKU4642</t>
  </si>
  <si>
    <t>NMI5931</t>
  </si>
  <si>
    <t>NMI5932</t>
  </si>
  <si>
    <t>NMI5933</t>
  </si>
  <si>
    <t>NNG7281</t>
  </si>
  <si>
    <t>NNG7282</t>
  </si>
  <si>
    <t>NNG7283</t>
  </si>
  <si>
    <t>NOE5821</t>
  </si>
  <si>
    <t>NOE5822</t>
  </si>
  <si>
    <t>NOG2071</t>
  </si>
  <si>
    <t>NOG2072</t>
  </si>
  <si>
    <t>NOM3661</t>
  </si>
  <si>
    <t>NOM3662</t>
  </si>
  <si>
    <t>NON1211</t>
  </si>
  <si>
    <t>NON1212</t>
  </si>
  <si>
    <t>NON1213</t>
  </si>
  <si>
    <t>NPU4921</t>
  </si>
  <si>
    <t>NPU4922</t>
  </si>
  <si>
    <t>NPU4923</t>
  </si>
  <si>
    <t>NSD4941</t>
  </si>
  <si>
    <t>NSD4942</t>
  </si>
  <si>
    <t>NSD4943</t>
  </si>
  <si>
    <t>NTA4901</t>
  </si>
  <si>
    <t>NTA4902</t>
  </si>
  <si>
    <t>NVN4101</t>
  </si>
  <si>
    <t>NVN4102</t>
  </si>
  <si>
    <t>NVN4103</t>
  </si>
  <si>
    <t>OAM3581</t>
  </si>
  <si>
    <t>OAM3582</t>
  </si>
  <si>
    <t>OCO6191</t>
  </si>
  <si>
    <t>OCO6192</t>
  </si>
  <si>
    <t>OCO6193</t>
  </si>
  <si>
    <t>OEN3611</t>
  </si>
  <si>
    <t>OEN3612</t>
  </si>
  <si>
    <t>OEN3613</t>
  </si>
  <si>
    <t>OGO5721</t>
  </si>
  <si>
    <t>OGO5722</t>
  </si>
  <si>
    <t>OHN7741</t>
  </si>
  <si>
    <t>OHN7742</t>
  </si>
  <si>
    <t>OIM6071</t>
  </si>
  <si>
    <t>OIM6072</t>
  </si>
  <si>
    <t>OIN6081</t>
  </si>
  <si>
    <t>OJI4731</t>
  </si>
  <si>
    <t>OJI4732</t>
  </si>
  <si>
    <t>OLE6701</t>
  </si>
  <si>
    <t>OLP7821</t>
  </si>
  <si>
    <t>OULOUP_CMS</t>
  </si>
  <si>
    <t>OULOUP</t>
  </si>
  <si>
    <t>OME5091</t>
  </si>
  <si>
    <t>OME5092</t>
  </si>
  <si>
    <t>OMU6711</t>
  </si>
  <si>
    <t>ONE2121</t>
  </si>
  <si>
    <t>ONE2122</t>
  </si>
  <si>
    <t>ONI4121</t>
  </si>
  <si>
    <t>ONI4122</t>
  </si>
  <si>
    <t>ONI4123</t>
  </si>
  <si>
    <t>OPN3731</t>
  </si>
  <si>
    <t>OPU3701</t>
  </si>
  <si>
    <t>OPU3702</t>
  </si>
  <si>
    <t>ORB4111</t>
  </si>
  <si>
    <t>ORB4112</t>
  </si>
  <si>
    <t>OSE3041</t>
  </si>
  <si>
    <t>OSE3042</t>
  </si>
  <si>
    <t>OTL3851</t>
  </si>
  <si>
    <t>OTL3852</t>
  </si>
  <si>
    <t>OTL3853</t>
  </si>
  <si>
    <t>OTM3721</t>
  </si>
  <si>
    <t>OUATOM_TRIBU</t>
  </si>
  <si>
    <t>OUA3623</t>
  </si>
  <si>
    <t>OUE6081</t>
  </si>
  <si>
    <t>OUE6082</t>
  </si>
  <si>
    <t>OUE6083</t>
  </si>
  <si>
    <t>OUG2131</t>
  </si>
  <si>
    <t>OUG2132</t>
  </si>
  <si>
    <t>OUG2133</t>
  </si>
  <si>
    <t>OUI3651</t>
  </si>
  <si>
    <t>OUL7791</t>
  </si>
  <si>
    <t>OUM0861</t>
  </si>
  <si>
    <t>OUM0862</t>
  </si>
  <si>
    <t>OUM0863</t>
  </si>
  <si>
    <t>OUN5511</t>
  </si>
  <si>
    <t>OUN5512</t>
  </si>
  <si>
    <t>OUN5513</t>
  </si>
  <si>
    <t>OUO3601</t>
  </si>
  <si>
    <t>OUO3602</t>
  </si>
  <si>
    <t>OUO3603</t>
  </si>
  <si>
    <t>OUT3831</t>
  </si>
  <si>
    <t>OUITCHAMBO</t>
  </si>
  <si>
    <t>P846601</t>
  </si>
  <si>
    <t>P846602</t>
  </si>
  <si>
    <t>P846603</t>
  </si>
  <si>
    <t>PAA6581</t>
  </si>
  <si>
    <t>PAA6582</t>
  </si>
  <si>
    <t>PAA6583</t>
  </si>
  <si>
    <t>PAD7751</t>
  </si>
  <si>
    <t>PAD7752</t>
  </si>
  <si>
    <t>PAG6781</t>
  </si>
  <si>
    <t>PAG6782</t>
  </si>
  <si>
    <t>PAI1751</t>
  </si>
  <si>
    <t>PAI1752</t>
  </si>
  <si>
    <t>GRD NEA 2</t>
  </si>
  <si>
    <t>PAM6801</t>
  </si>
  <si>
    <t>PAM6802</t>
  </si>
  <si>
    <t>PAM6803</t>
  </si>
  <si>
    <t>PAN6791</t>
  </si>
  <si>
    <t>PAN6792</t>
  </si>
  <si>
    <t>PAN6793</t>
  </si>
  <si>
    <t>PAO5221</t>
  </si>
  <si>
    <t>PAO5222</t>
  </si>
  <si>
    <t>PAO5223</t>
  </si>
  <si>
    <t>PAP0261</t>
  </si>
  <si>
    <t>PAP0262</t>
  </si>
  <si>
    <t>PAP0263</t>
  </si>
  <si>
    <t>PAR1221</t>
  </si>
  <si>
    <t>PAR1222</t>
  </si>
  <si>
    <t>PAR1223</t>
  </si>
  <si>
    <t>PAT7761</t>
  </si>
  <si>
    <t>PAT7762</t>
  </si>
  <si>
    <t>PBA4151</t>
  </si>
  <si>
    <t>PBA4152</t>
  </si>
  <si>
    <t>PBA4153</t>
  </si>
  <si>
    <t>PBC3801</t>
  </si>
  <si>
    <t>PBC3802</t>
  </si>
  <si>
    <t>PBC3803</t>
  </si>
  <si>
    <t>PBE5901</t>
  </si>
  <si>
    <t>PBE5902</t>
  </si>
  <si>
    <t>PBE5903</t>
  </si>
  <si>
    <t>PBO6101</t>
  </si>
  <si>
    <t>PBO6102</t>
  </si>
  <si>
    <t>PBR1101</t>
  </si>
  <si>
    <t>PBR1102</t>
  </si>
  <si>
    <t>PBT5841</t>
  </si>
  <si>
    <t>PBT5842</t>
  </si>
  <si>
    <t>PBW6691</t>
  </si>
  <si>
    <t>PBW6692</t>
  </si>
  <si>
    <t>PBY4461</t>
  </si>
  <si>
    <t>PBY4462</t>
  </si>
  <si>
    <t>PBY4463</t>
  </si>
  <si>
    <t>PDA5821</t>
  </si>
  <si>
    <t>PDA5822</t>
  </si>
  <si>
    <t>PDF1861</t>
  </si>
  <si>
    <t>PDF1862</t>
  </si>
  <si>
    <t>PDH1851</t>
  </si>
  <si>
    <t>PDH1852</t>
  </si>
  <si>
    <t>PDH1853</t>
  </si>
  <si>
    <t>PEC4141</t>
  </si>
  <si>
    <t>PEC4142</t>
  </si>
  <si>
    <t>PEC4143</t>
  </si>
  <si>
    <t>PEN7391</t>
  </si>
  <si>
    <t>PEN7392</t>
  </si>
  <si>
    <t>PEP0611</t>
  </si>
  <si>
    <t>PEP0612</t>
  </si>
  <si>
    <t>PEP0613</t>
  </si>
  <si>
    <t>PET3091</t>
  </si>
  <si>
    <t>PET3092</t>
  </si>
  <si>
    <t>PET3093</t>
  </si>
  <si>
    <t>PGF3791</t>
  </si>
  <si>
    <t>PGF3792</t>
  </si>
  <si>
    <t>PGM6091</t>
  </si>
  <si>
    <t>PGM6092</t>
  </si>
  <si>
    <t>PGM6093</t>
  </si>
  <si>
    <t>PGR7831</t>
  </si>
  <si>
    <t>PGR7832</t>
  </si>
  <si>
    <t>PGR7833</t>
  </si>
  <si>
    <t>PHA0851</t>
  </si>
  <si>
    <t>PHA0852</t>
  </si>
  <si>
    <t>PHA0853</t>
  </si>
  <si>
    <t>PHP0711</t>
  </si>
  <si>
    <t>PHP0712</t>
  </si>
  <si>
    <t>PIM1231</t>
  </si>
  <si>
    <t>PIM1232</t>
  </si>
  <si>
    <t>PIM1233</t>
  </si>
  <si>
    <t>PIZ0291</t>
  </si>
  <si>
    <t>PK50271</t>
  </si>
  <si>
    <t>PK50272</t>
  </si>
  <si>
    <t>PK50273</t>
  </si>
  <si>
    <t>PKI5591</t>
  </si>
  <si>
    <t>PKI5592</t>
  </si>
  <si>
    <t>PLA3101</t>
  </si>
  <si>
    <t>PLA3102</t>
  </si>
  <si>
    <t>PLG1261</t>
  </si>
  <si>
    <t>PLG1262</t>
  </si>
  <si>
    <t>PLT1251</t>
  </si>
  <si>
    <t>PLT1252</t>
  </si>
  <si>
    <t>PLU1601</t>
  </si>
  <si>
    <t>PLU1602</t>
  </si>
  <si>
    <t>PLU1603</t>
  </si>
  <si>
    <t>PLZ0731</t>
  </si>
  <si>
    <t>PLZ0732</t>
  </si>
  <si>
    <t>PMA6831</t>
  </si>
  <si>
    <t>poum</t>
  </si>
  <si>
    <t>PMA6832</t>
  </si>
  <si>
    <t>PMA6833</t>
  </si>
  <si>
    <t>PMW4181</t>
  </si>
  <si>
    <t>PMW4182</t>
  </si>
  <si>
    <t>PMW4183</t>
  </si>
  <si>
    <t>PNC5244</t>
  </si>
  <si>
    <t>PANIE</t>
  </si>
  <si>
    <t>PND1241</t>
  </si>
  <si>
    <t>PND1242</t>
  </si>
  <si>
    <t>PND1243</t>
  </si>
  <si>
    <t>PNE6611</t>
  </si>
  <si>
    <t>PNE6612</t>
  </si>
  <si>
    <t>PNI5241</t>
  </si>
  <si>
    <t>PNI5242</t>
  </si>
  <si>
    <t>POA4981</t>
  </si>
  <si>
    <t>POA4982</t>
  </si>
  <si>
    <t>POA4983</t>
  </si>
  <si>
    <t>POE4691</t>
  </si>
  <si>
    <t>POE4692</t>
  </si>
  <si>
    <t>POI5111</t>
  </si>
  <si>
    <t>POI5112</t>
  </si>
  <si>
    <t>POI5113</t>
  </si>
  <si>
    <t>PON4231</t>
  </si>
  <si>
    <t>PON4232</t>
  </si>
  <si>
    <t>PON4233</t>
  </si>
  <si>
    <t>POO4161</t>
  </si>
  <si>
    <t>POP5121</t>
  </si>
  <si>
    <t>POP5122</t>
  </si>
  <si>
    <t>POQ3861</t>
  </si>
  <si>
    <t>POQ3862</t>
  </si>
  <si>
    <t>POQ3863</t>
  </si>
  <si>
    <t>POR4311</t>
  </si>
  <si>
    <t>POR4312</t>
  </si>
  <si>
    <t>POT4271</t>
  </si>
  <si>
    <t>POT4272</t>
  </si>
  <si>
    <t>POU4441</t>
  </si>
  <si>
    <t>POY4701</t>
  </si>
  <si>
    <t>POY4702</t>
  </si>
  <si>
    <t>POY4703</t>
  </si>
  <si>
    <t>PPA5551</t>
  </si>
  <si>
    <t>PPA5552</t>
  </si>
  <si>
    <t>PPA5553</t>
  </si>
  <si>
    <t>PRA3641</t>
  </si>
  <si>
    <t>PRA3642</t>
  </si>
  <si>
    <t>PRA3643</t>
  </si>
  <si>
    <t>PRB2201</t>
  </si>
  <si>
    <t>PRB2202</t>
  </si>
  <si>
    <t>PRB2203</t>
  </si>
  <si>
    <t>PRB2204</t>
  </si>
  <si>
    <t>PRE1901</t>
  </si>
  <si>
    <t>PRE1902</t>
  </si>
  <si>
    <t>PRE1903</t>
  </si>
  <si>
    <t>PRH1734</t>
  </si>
  <si>
    <t>PRH1735</t>
  </si>
  <si>
    <t>PRH1736</t>
  </si>
  <si>
    <t>PRK4171</t>
  </si>
  <si>
    <t>PRK4172</t>
  </si>
  <si>
    <t>PRK4173</t>
  </si>
  <si>
    <t>PRP5781</t>
  </si>
  <si>
    <t>PRESQU_POUEMBOUT</t>
  </si>
  <si>
    <t>PRESQU_POUEMBOUTbb</t>
  </si>
  <si>
    <t>PRP5782</t>
  </si>
  <si>
    <t>PRP5783</t>
  </si>
  <si>
    <t>PRU3111</t>
  </si>
  <si>
    <t>PRU3112</t>
  </si>
  <si>
    <t>PRU3113</t>
  </si>
  <si>
    <t>PTA5801</t>
  </si>
  <si>
    <t>PTA5802</t>
  </si>
  <si>
    <t>PTO4671</t>
  </si>
  <si>
    <t>PATATRO</t>
  </si>
  <si>
    <t>PTO4672</t>
  </si>
  <si>
    <t>PTO4673</t>
  </si>
  <si>
    <t>PUA2141</t>
  </si>
  <si>
    <t>PUA2142</t>
  </si>
  <si>
    <t>PUM6621</t>
  </si>
  <si>
    <t>PUM6622</t>
  </si>
  <si>
    <t>PUO4891</t>
  </si>
  <si>
    <t>PUO4892</t>
  </si>
  <si>
    <t>PUO4893</t>
  </si>
  <si>
    <t>PWA5571</t>
  </si>
  <si>
    <t>PWA5572</t>
  </si>
  <si>
    <t>PWA5573</t>
  </si>
  <si>
    <t>PWD5581</t>
  </si>
  <si>
    <t>PWD5582</t>
  </si>
  <si>
    <t>PWN5141</t>
  </si>
  <si>
    <t>PWN5142</t>
  </si>
  <si>
    <t>PWT5741</t>
  </si>
  <si>
    <t>PWT5742</t>
  </si>
  <si>
    <t>RAB0301</t>
  </si>
  <si>
    <t>RAV0311</t>
  </si>
  <si>
    <t>RAV0312</t>
  </si>
  <si>
    <t>RAV0313</t>
  </si>
  <si>
    <t>RAW7461</t>
  </si>
  <si>
    <t>RAW7462</t>
  </si>
  <si>
    <t>RAW7463</t>
  </si>
  <si>
    <t>RBK3501</t>
  </si>
  <si>
    <t>RBK3502</t>
  </si>
  <si>
    <t>RBK3503</t>
  </si>
  <si>
    <t>RBL1431</t>
  </si>
  <si>
    <t>RBL1432</t>
  </si>
  <si>
    <t>RBL1433</t>
  </si>
  <si>
    <t>RBO4821</t>
  </si>
  <si>
    <t>RBO4822</t>
  </si>
  <si>
    <t>RBO4823</t>
  </si>
  <si>
    <t>RBP6121</t>
  </si>
  <si>
    <t>RVR_BWA_PIIYU</t>
  </si>
  <si>
    <t>RBP6122</t>
  </si>
  <si>
    <t>RBV1511</t>
  </si>
  <si>
    <t>RBV1512</t>
  </si>
  <si>
    <t>RDN1561</t>
  </si>
  <si>
    <t>RES_DSM_Nb</t>
  </si>
  <si>
    <t>RDN1562</t>
  </si>
  <si>
    <t>RDN1563</t>
  </si>
  <si>
    <t>RDS1551</t>
  </si>
  <si>
    <t>RDS1552</t>
  </si>
  <si>
    <t>RDS1553</t>
  </si>
  <si>
    <t>RDV4471</t>
  </si>
  <si>
    <t>RDV4472</t>
  </si>
  <si>
    <t>RDV4473</t>
  </si>
  <si>
    <t>REP0331</t>
  </si>
  <si>
    <t>RP</t>
  </si>
  <si>
    <t>REP0332</t>
  </si>
  <si>
    <t>REP0333</t>
  </si>
  <si>
    <t>RGA5601</t>
  </si>
  <si>
    <t>RGA5602</t>
  </si>
  <si>
    <t>RGA5603</t>
  </si>
  <si>
    <t>RGO4951</t>
  </si>
  <si>
    <t>RGO4952</t>
  </si>
  <si>
    <t>RGO4953</t>
  </si>
  <si>
    <t>RGY4251</t>
  </si>
  <si>
    <t>RGY4252</t>
  </si>
  <si>
    <t>RIV2061</t>
  </si>
  <si>
    <t>RIV2062</t>
  </si>
  <si>
    <t>RIV2063</t>
  </si>
  <si>
    <t>RKC6631</t>
  </si>
  <si>
    <t>RKC6632</t>
  </si>
  <si>
    <t>RKC6633</t>
  </si>
  <si>
    <t>RKG3821</t>
  </si>
  <si>
    <t>RES_KOUERGOA</t>
  </si>
  <si>
    <t>RKG3822</t>
  </si>
  <si>
    <t>RKO1611</t>
  </si>
  <si>
    <t>RKO1612</t>
  </si>
  <si>
    <t>RKO1613</t>
  </si>
  <si>
    <t>RME3741</t>
  </si>
  <si>
    <t>RME3742</t>
  </si>
  <si>
    <t>RME3743</t>
  </si>
  <si>
    <t>RND1821</t>
  </si>
  <si>
    <t>RND1822</t>
  </si>
  <si>
    <t>RNP5231</t>
  </si>
  <si>
    <t>RNP5232</t>
  </si>
  <si>
    <t>ROB1301</t>
  </si>
  <si>
    <t>ROB1302</t>
  </si>
  <si>
    <t>ROB1303</t>
  </si>
  <si>
    <t>ROC7351</t>
  </si>
  <si>
    <t>ROC7352</t>
  </si>
  <si>
    <t>ROC7353</t>
  </si>
  <si>
    <t>ROC7354</t>
  </si>
  <si>
    <t>RPA1521</t>
  </si>
  <si>
    <t>RPA1522</t>
  </si>
  <si>
    <t>RPA1523</t>
  </si>
  <si>
    <t>RPB5611</t>
  </si>
  <si>
    <t>RPB5612</t>
  </si>
  <si>
    <t>RPB5613</t>
  </si>
  <si>
    <t>RPJ5951</t>
  </si>
  <si>
    <t>RPJ5952</t>
  </si>
  <si>
    <t>RPJ5953</t>
  </si>
  <si>
    <t>RPO4201</t>
  </si>
  <si>
    <t>RPT3831</t>
  </si>
  <si>
    <t>RTA5621</t>
  </si>
  <si>
    <t>RVR_TEMALA</t>
  </si>
  <si>
    <t>RTA5622</t>
  </si>
  <si>
    <t>RTA5623</t>
  </si>
  <si>
    <t>RTE3691</t>
  </si>
  <si>
    <t>RTE3692</t>
  </si>
  <si>
    <t>RTE3693</t>
  </si>
  <si>
    <t>RTG1441</t>
  </si>
  <si>
    <t>RTG1442</t>
  </si>
  <si>
    <t>RTR0691</t>
  </si>
  <si>
    <t>RTR0692</t>
  </si>
  <si>
    <t>RTR0693</t>
  </si>
  <si>
    <t>RVL1291</t>
  </si>
  <si>
    <t>RVL1292</t>
  </si>
  <si>
    <t>SAL0321</t>
  </si>
  <si>
    <t>SAL0322</t>
  </si>
  <si>
    <t>SAL0323</t>
  </si>
  <si>
    <t>SAN1321</t>
  </si>
  <si>
    <t>SAN1322</t>
  </si>
  <si>
    <t>SAV1331</t>
  </si>
  <si>
    <t>SAV1332</t>
  </si>
  <si>
    <t>SAV1333</t>
  </si>
  <si>
    <t>SCH1671</t>
  </si>
  <si>
    <t>SCH1672</t>
  </si>
  <si>
    <t>SCH1673</t>
  </si>
  <si>
    <t>SCO0641</t>
  </si>
  <si>
    <t>SCO0642</t>
  </si>
  <si>
    <t>SCO0643</t>
  </si>
  <si>
    <t>SDK1871</t>
  </si>
  <si>
    <t>SDK1872</t>
  </si>
  <si>
    <t>SDK1873</t>
  </si>
  <si>
    <t>SEL6201</t>
  </si>
  <si>
    <t>SEL6202</t>
  </si>
  <si>
    <t>SEL6203</t>
  </si>
  <si>
    <t>SEM0831</t>
  </si>
  <si>
    <t>SEM0832</t>
  </si>
  <si>
    <t>SEM0833</t>
  </si>
  <si>
    <t>SHE4801</t>
  </si>
  <si>
    <t>SHE4802</t>
  </si>
  <si>
    <t>SJB3201</t>
  </si>
  <si>
    <t>SJB3202</t>
  </si>
  <si>
    <t>SJB3203</t>
  </si>
  <si>
    <t>SLO1451</t>
  </si>
  <si>
    <t>SLO1452</t>
  </si>
  <si>
    <t>SLO1453</t>
  </si>
  <si>
    <t>SLR6821</t>
  </si>
  <si>
    <t>SLR6822</t>
  </si>
  <si>
    <t>SLR6823</t>
  </si>
  <si>
    <t>SLR6824</t>
  </si>
  <si>
    <t>SMG1341</t>
  </si>
  <si>
    <t>SMG1342</t>
  </si>
  <si>
    <t>SMG1343</t>
  </si>
  <si>
    <t>SML1351</t>
  </si>
  <si>
    <t>SML1352</t>
  </si>
  <si>
    <t>SML1353</t>
  </si>
  <si>
    <t>SMN0701</t>
  </si>
  <si>
    <t>SMN0702</t>
  </si>
  <si>
    <t>SMN0703</t>
  </si>
  <si>
    <t>SMR0661</t>
  </si>
  <si>
    <t>SMR0662</t>
  </si>
  <si>
    <t>SNL1651</t>
  </si>
  <si>
    <t>SNL1652</t>
  </si>
  <si>
    <t>SPA1771</t>
  </si>
  <si>
    <t>SPA1772</t>
  </si>
  <si>
    <t>SPA1773</t>
  </si>
  <si>
    <t>SPH3161</t>
  </si>
  <si>
    <t>ST_PHILIPPE_TDF</t>
  </si>
  <si>
    <t>SPH3162</t>
  </si>
  <si>
    <t>SPH3163</t>
  </si>
  <si>
    <t>STA0361</t>
  </si>
  <si>
    <t>STA0362</t>
  </si>
  <si>
    <t>STD5151</t>
  </si>
  <si>
    <t>STD5152</t>
  </si>
  <si>
    <t>STM6131</t>
  </si>
  <si>
    <t>STM6132</t>
  </si>
  <si>
    <t>STP7221</t>
  </si>
  <si>
    <t>STP7222</t>
  </si>
  <si>
    <t>STQ0341</t>
  </si>
  <si>
    <t>STQ0342</t>
  </si>
  <si>
    <t>STQ0343</t>
  </si>
  <si>
    <t>SUR0371</t>
  </si>
  <si>
    <t>SUR0372</t>
  </si>
  <si>
    <t>SUZ1621</t>
  </si>
  <si>
    <t>SUZ1622</t>
  </si>
  <si>
    <t>SWE7271</t>
  </si>
  <si>
    <t>SWE7272</t>
  </si>
  <si>
    <t>TAA6841</t>
  </si>
  <si>
    <t>TAA6842</t>
  </si>
  <si>
    <t>TAA6843</t>
  </si>
  <si>
    <t>TAD7401</t>
  </si>
  <si>
    <t>TAD7402</t>
  </si>
  <si>
    <t>TAK7771</t>
  </si>
  <si>
    <t>TAK7772</t>
  </si>
  <si>
    <t>TAK7773</t>
  </si>
  <si>
    <t>TAM1361</t>
  </si>
  <si>
    <t>TAM1362</t>
  </si>
  <si>
    <t>TAN5081</t>
  </si>
  <si>
    <t>TAN5082</t>
  </si>
  <si>
    <t>TAW7471</t>
  </si>
  <si>
    <t>TAW7472</t>
  </si>
  <si>
    <t>TAW7473</t>
  </si>
  <si>
    <t>TBT6651</t>
  </si>
  <si>
    <t>TBT6652</t>
  </si>
  <si>
    <t>TBT6653</t>
  </si>
  <si>
    <t>TCB4221</t>
  </si>
  <si>
    <t>TCB4222</t>
  </si>
  <si>
    <t>TCB4223</t>
  </si>
  <si>
    <t>TCH4751</t>
  </si>
  <si>
    <t>TCH4752</t>
  </si>
  <si>
    <t>TCH4753</t>
  </si>
  <si>
    <t>TDN5641</t>
  </si>
  <si>
    <t>TDO6141</t>
  </si>
  <si>
    <t>TDO6142</t>
  </si>
  <si>
    <t>TDU5191</t>
  </si>
  <si>
    <t>TDU5192</t>
  </si>
  <si>
    <t>TDU5193</t>
  </si>
  <si>
    <t>TEM5691</t>
  </si>
  <si>
    <t>TEMALA</t>
  </si>
  <si>
    <t>TEM5692</t>
  </si>
  <si>
    <t>TEM5693</t>
  </si>
  <si>
    <t>TEN4711</t>
  </si>
  <si>
    <t>TEN4712</t>
  </si>
  <si>
    <t>TEN4713</t>
  </si>
  <si>
    <t>TEU7781</t>
  </si>
  <si>
    <t>TEU7782</t>
  </si>
  <si>
    <t>TGH1371</t>
  </si>
  <si>
    <t>TGR0381</t>
  </si>
  <si>
    <t>TGR0382</t>
  </si>
  <si>
    <t>TGY4991</t>
  </si>
  <si>
    <t>TGY4992</t>
  </si>
  <si>
    <t>TGY4993</t>
  </si>
  <si>
    <t>THA5251</t>
  </si>
  <si>
    <t>TOUHA_AGENCEbb</t>
  </si>
  <si>
    <t>THA5252</t>
  </si>
  <si>
    <t>THG7411</t>
  </si>
  <si>
    <t>THG7412</t>
  </si>
  <si>
    <t>THI3121</t>
  </si>
  <si>
    <t>THI3122</t>
  </si>
  <si>
    <t>THI3123</t>
  </si>
  <si>
    <t>THM5201</t>
  </si>
  <si>
    <t>THM5202</t>
  </si>
  <si>
    <t>THU7421</t>
  </si>
  <si>
    <t>THU7422</t>
  </si>
  <si>
    <t>THU7423</t>
  </si>
  <si>
    <t>TIA1411</t>
  </si>
  <si>
    <t>TIE6661</t>
  </si>
  <si>
    <t>TIE6662</t>
  </si>
  <si>
    <t>TIG7431</t>
  </si>
  <si>
    <t>TIG7432</t>
  </si>
  <si>
    <t>TIN0751</t>
  </si>
  <si>
    <t>TIT6641</t>
  </si>
  <si>
    <t>TIW5171</t>
  </si>
  <si>
    <t>TIW5172</t>
  </si>
  <si>
    <t>TJI0581</t>
  </si>
  <si>
    <t>TKA2851</t>
  </si>
  <si>
    <t>TKA2852</t>
  </si>
  <si>
    <t>TKA2853</t>
  </si>
  <si>
    <t>TM20791</t>
  </si>
  <si>
    <t>TM20792</t>
  </si>
  <si>
    <t>TMA0221</t>
  </si>
  <si>
    <t>TMA0222</t>
  </si>
  <si>
    <t>TMA0223</t>
  </si>
  <si>
    <t>TMB1911</t>
  </si>
  <si>
    <t>TMB1912</t>
  </si>
  <si>
    <t>TMB1913</t>
  </si>
  <si>
    <t>TMT0531</t>
  </si>
  <si>
    <t>TND0631</t>
  </si>
  <si>
    <t>TND0632</t>
  </si>
  <si>
    <t>TND0633</t>
  </si>
  <si>
    <t>TNM5261</t>
  </si>
  <si>
    <t>TNM5262</t>
  </si>
  <si>
    <t>TNM5263</t>
  </si>
  <si>
    <t>TOA2211</t>
  </si>
  <si>
    <t>TOA2212</t>
  </si>
  <si>
    <t>TOA2213</t>
  </si>
  <si>
    <t>TOM3671</t>
  </si>
  <si>
    <t>TOM3672</t>
  </si>
  <si>
    <t>TON1381</t>
  </si>
  <si>
    <t>TON1382</t>
  </si>
  <si>
    <t>TON1383</t>
  </si>
  <si>
    <t>TOO0811</t>
  </si>
  <si>
    <t>TOO0812</t>
  </si>
  <si>
    <t>TOT1921</t>
  </si>
  <si>
    <t>TOT1922</t>
  </si>
  <si>
    <t>TOT1923</t>
  </si>
  <si>
    <t>TOU5181</t>
  </si>
  <si>
    <t>TOV5281</t>
  </si>
  <si>
    <t>TOV5282</t>
  </si>
  <si>
    <t>TOV5283</t>
  </si>
  <si>
    <t>TPT7231</t>
  </si>
  <si>
    <t>TPT7232</t>
  </si>
  <si>
    <t>TPT7233</t>
  </si>
  <si>
    <t>TRI6151</t>
  </si>
  <si>
    <t>TRI6152</t>
  </si>
  <si>
    <t>TRO1631</t>
  </si>
  <si>
    <t>TRO1632</t>
  </si>
  <si>
    <t>TRO1633</t>
  </si>
  <si>
    <t>TRT6181</t>
  </si>
  <si>
    <t>TRT6182</t>
  </si>
  <si>
    <t>TRT6183</t>
  </si>
  <si>
    <t>TSI6671</t>
  </si>
  <si>
    <t>TSI6672</t>
  </si>
  <si>
    <t>TSI6673</t>
  </si>
  <si>
    <t>TSI6674</t>
  </si>
  <si>
    <t>TTA5651</t>
  </si>
  <si>
    <t>TTD5881</t>
  </si>
  <si>
    <t>TTD5882</t>
  </si>
  <si>
    <t>TTD5883</t>
  </si>
  <si>
    <t>TTI51611</t>
  </si>
  <si>
    <t>TUB0561</t>
  </si>
  <si>
    <t>TUB0562</t>
  </si>
  <si>
    <t>TUP3131</t>
  </si>
  <si>
    <t>TUP3132</t>
  </si>
  <si>
    <t>TUU4301</t>
  </si>
  <si>
    <t>TUU4302</t>
  </si>
  <si>
    <t>TUU4303</t>
  </si>
  <si>
    <t>TVT5671</t>
  </si>
  <si>
    <t>TVT5672</t>
  </si>
  <si>
    <t>TWE5631</t>
  </si>
  <si>
    <t>TWE5632</t>
  </si>
  <si>
    <t>UGU4291</t>
  </si>
  <si>
    <t>UGU4292</t>
  </si>
  <si>
    <t>UGU4293</t>
  </si>
  <si>
    <t>ULM0481</t>
  </si>
  <si>
    <t>ULM0482</t>
  </si>
  <si>
    <t>UNC0421</t>
  </si>
  <si>
    <t>UNC0422</t>
  </si>
  <si>
    <t>UNC0423</t>
  </si>
  <si>
    <t>UNI2181</t>
  </si>
  <si>
    <t>UNI2182</t>
  </si>
  <si>
    <t>UNI2183</t>
  </si>
  <si>
    <t>USL7291</t>
  </si>
  <si>
    <t>USL7292</t>
  </si>
  <si>
    <t>USM7811</t>
  </si>
  <si>
    <t>USM7812</t>
  </si>
  <si>
    <t>USP5981</t>
  </si>
  <si>
    <t>USP5982</t>
  </si>
  <si>
    <t>USP5983</t>
  </si>
  <si>
    <t>UTE4131</t>
  </si>
  <si>
    <t>UTE4132</t>
  </si>
  <si>
    <t>UTR0511</t>
  </si>
  <si>
    <t>UTR0512</t>
  </si>
  <si>
    <t>VAC0371</t>
  </si>
  <si>
    <t>VAC0372</t>
  </si>
  <si>
    <t>VAC0373</t>
  </si>
  <si>
    <t>VAO2571</t>
  </si>
  <si>
    <t>VAO2572</t>
  </si>
  <si>
    <t>VAO2573</t>
  </si>
  <si>
    <t>VAV5681</t>
  </si>
  <si>
    <t>VAV5682</t>
  </si>
  <si>
    <t>VAV5683</t>
  </si>
  <si>
    <t>VDC0401</t>
  </si>
  <si>
    <t>VED5701</t>
  </si>
  <si>
    <t>VED5702</t>
  </si>
  <si>
    <t>VEL0411</t>
  </si>
  <si>
    <t>VEL0412</t>
  </si>
  <si>
    <t>VEL0413</t>
  </si>
  <si>
    <t>VGE0671</t>
  </si>
  <si>
    <t>VID4861</t>
  </si>
  <si>
    <t>VID4862</t>
  </si>
  <si>
    <t>VID4863</t>
  </si>
  <si>
    <t>VKO5231</t>
  </si>
  <si>
    <t>VKO5232</t>
  </si>
  <si>
    <t>VMO4451</t>
  </si>
  <si>
    <t>VMO4452</t>
  </si>
  <si>
    <t>VMO4453</t>
  </si>
  <si>
    <t>VOH5831</t>
  </si>
  <si>
    <t>VOH5832</t>
  </si>
  <si>
    <t>VOH5833</t>
  </si>
  <si>
    <t>VTA6491</t>
  </si>
  <si>
    <t>VTA6492</t>
  </si>
  <si>
    <t>VTA6493</t>
  </si>
  <si>
    <t>VUL1831</t>
  </si>
  <si>
    <t>VUL1832</t>
  </si>
  <si>
    <t>WAD7701</t>
  </si>
  <si>
    <t>WAD7702</t>
  </si>
  <si>
    <t>WAH5731</t>
  </si>
  <si>
    <t>WAH5732</t>
  </si>
  <si>
    <t>WAK7451</t>
  </si>
  <si>
    <t>WAK7452</t>
  </si>
  <si>
    <t>WAK7453</t>
  </si>
  <si>
    <t>WAN7171</t>
  </si>
  <si>
    <t>WAR0451</t>
  </si>
  <si>
    <t>WAR0452</t>
  </si>
  <si>
    <t>WAR0453</t>
  </si>
  <si>
    <t>WAY6721</t>
  </si>
  <si>
    <t>WAY6722</t>
  </si>
  <si>
    <t>WDE2581</t>
  </si>
  <si>
    <t>WDE2582</t>
  </si>
  <si>
    <t>WED7251</t>
  </si>
  <si>
    <t>WED7252</t>
  </si>
  <si>
    <t>WEE7241</t>
  </si>
  <si>
    <t>WE</t>
  </si>
  <si>
    <t>WEE7242</t>
  </si>
  <si>
    <t>WEE7243</t>
  </si>
  <si>
    <t>WEP5491</t>
  </si>
  <si>
    <t>WEP_WE</t>
  </si>
  <si>
    <t>WEP5492</t>
  </si>
  <si>
    <t>WEP5493</t>
  </si>
  <si>
    <t>WKN7441</t>
  </si>
  <si>
    <t>WKN7442</t>
  </si>
  <si>
    <t>YAC2161</t>
  </si>
  <si>
    <t>YAC2162</t>
  </si>
  <si>
    <t>YAD5751</t>
  </si>
  <si>
    <t>YAD5752</t>
  </si>
  <si>
    <t>YAM6171</t>
  </si>
  <si>
    <t>YAM6172</t>
  </si>
  <si>
    <t>YAT2151</t>
  </si>
  <si>
    <t>ZIC1811</t>
  </si>
  <si>
    <t>ZIC1812</t>
  </si>
  <si>
    <t>ZIC1813</t>
  </si>
  <si>
    <t>ZIZ1791</t>
  </si>
  <si>
    <t>ZIZ1792</t>
  </si>
  <si>
    <t>ZIZ1793</t>
  </si>
  <si>
    <t>ZOU4771</t>
  </si>
  <si>
    <t>ZOU4772</t>
  </si>
  <si>
    <t>ZOU4773</t>
  </si>
  <si>
    <t>ZPA1421</t>
  </si>
  <si>
    <t>ZPA1422</t>
  </si>
  <si>
    <t>ZPA1423</t>
  </si>
  <si>
    <t>ZTI2091</t>
  </si>
  <si>
    <t>Cluster</t>
  </si>
  <si>
    <t>RBS</t>
  </si>
  <si>
    <t>Cellule</t>
  </si>
  <si>
    <t>Type</t>
  </si>
  <si>
    <t>Arène du Sud</t>
  </si>
  <si>
    <t>PIC MARTIN</t>
  </si>
  <si>
    <t>Concert</t>
  </si>
  <si>
    <t>LOT ZIZAbb</t>
  </si>
  <si>
    <t>ZIZ179C</t>
  </si>
  <si>
    <t>ZIZ179F</t>
  </si>
  <si>
    <t>PIM123B</t>
  </si>
  <si>
    <t>PIM123E</t>
  </si>
  <si>
    <t>ZIZe3</t>
  </si>
  <si>
    <t>PIC MARTINbb</t>
  </si>
  <si>
    <t>PIMe12</t>
  </si>
  <si>
    <t>PIMe2</t>
  </si>
  <si>
    <t>Carnaval de Nouméa</t>
  </si>
  <si>
    <t>GAL015A</t>
  </si>
  <si>
    <t>GAL015D</t>
  </si>
  <si>
    <t>POINT 116</t>
  </si>
  <si>
    <t>116028A</t>
  </si>
  <si>
    <t>116028D</t>
  </si>
  <si>
    <t>116028J</t>
  </si>
  <si>
    <t>TGR038A</t>
  </si>
  <si>
    <t>TGR038D</t>
  </si>
  <si>
    <t>POINT 116bb</t>
  </si>
  <si>
    <t>116e13</t>
  </si>
  <si>
    <t>116e23</t>
  </si>
  <si>
    <t>IMMEUBLE BERARDe</t>
  </si>
  <si>
    <t>BRAe1</t>
  </si>
  <si>
    <t>BRAe11</t>
  </si>
  <si>
    <t>BRAe12</t>
  </si>
  <si>
    <t>BRAe13</t>
  </si>
  <si>
    <t>BRAe2</t>
  </si>
  <si>
    <t>BRAe3</t>
  </si>
  <si>
    <t>IMM CLEMENCEAUbb</t>
  </si>
  <si>
    <t>CLEe1</t>
  </si>
  <si>
    <t>CLEe11</t>
  </si>
  <si>
    <t>CLEe13</t>
  </si>
  <si>
    <t>CLEe3</t>
  </si>
  <si>
    <t>GALe1</t>
  </si>
  <si>
    <t>GALe11</t>
  </si>
  <si>
    <t>REPe1</t>
  </si>
  <si>
    <t>REPe11</t>
  </si>
  <si>
    <t>REPe21</t>
  </si>
  <si>
    <t>TGRe1</t>
  </si>
  <si>
    <t>VD GENIEe</t>
  </si>
  <si>
    <t>VGEe1</t>
  </si>
  <si>
    <t>GALe12</t>
  </si>
  <si>
    <t>GALe13</t>
  </si>
  <si>
    <t>GALe2</t>
  </si>
  <si>
    <t>GALe3</t>
  </si>
  <si>
    <t>TGRe2</t>
  </si>
  <si>
    <t>IMM BERARD</t>
  </si>
  <si>
    <t>CCT</t>
  </si>
  <si>
    <t>GREEN VALLEY (TJIBAOU)</t>
  </si>
  <si>
    <t>TJI058A</t>
  </si>
  <si>
    <t>TJIe1</t>
  </si>
  <si>
    <t>TJIe11</t>
  </si>
  <si>
    <t>Diginova</t>
  </si>
  <si>
    <t>VILLAGE UNC</t>
  </si>
  <si>
    <t>UNC042B</t>
  </si>
  <si>
    <t>UNC042E</t>
  </si>
  <si>
    <t>VILLAGE UNCe</t>
  </si>
  <si>
    <t>UNCe12</t>
  </si>
  <si>
    <t>UNCe2</t>
  </si>
  <si>
    <t>Espace Municipal de Magenta</t>
  </si>
  <si>
    <t>MAGENTA BTbb</t>
  </si>
  <si>
    <t>MAGe2</t>
  </si>
  <si>
    <t>TMAe1</t>
  </si>
  <si>
    <t>TMAe11</t>
  </si>
  <si>
    <t>Fête de l'omelette géante</t>
  </si>
  <si>
    <t>MAIRIE DUMBEAbb</t>
  </si>
  <si>
    <t>DUMe2</t>
  </si>
  <si>
    <t>DZUe12</t>
  </si>
  <si>
    <t>DZUe2</t>
  </si>
  <si>
    <t>DZUe22</t>
  </si>
  <si>
    <t>FAYe12</t>
  </si>
  <si>
    <t>FAYe13</t>
  </si>
  <si>
    <t>FAYe2</t>
  </si>
  <si>
    <t>FAYe3</t>
  </si>
  <si>
    <t>KATe1</t>
  </si>
  <si>
    <t>KATe2</t>
  </si>
  <si>
    <t>ZAC PANDAbb</t>
  </si>
  <si>
    <t>ZPAe1</t>
  </si>
  <si>
    <t>ZPAe11</t>
  </si>
  <si>
    <t>ZPAe21</t>
  </si>
  <si>
    <t>Fête du Boeuf</t>
  </si>
  <si>
    <t>CHAMP DE FOIREe</t>
  </si>
  <si>
    <t>FPTe1</t>
  </si>
  <si>
    <t>FPTe2</t>
  </si>
  <si>
    <t>FPTe3</t>
  </si>
  <si>
    <t>Fête Pascale Jokin 2023</t>
  </si>
  <si>
    <t>JOK713A</t>
  </si>
  <si>
    <t>JOK713B</t>
  </si>
  <si>
    <t>JOKe1</t>
  </si>
  <si>
    <t>JOKe2</t>
  </si>
  <si>
    <t>Fête Avocat Maré</t>
  </si>
  <si>
    <t>NEC773B</t>
  </si>
  <si>
    <t>NECe2</t>
  </si>
  <si>
    <t>Fête de Boulouparis</t>
  </si>
  <si>
    <t>BLP381A</t>
  </si>
  <si>
    <t>MOB097A</t>
  </si>
  <si>
    <t>MOB097B</t>
  </si>
  <si>
    <t>MOB097D</t>
  </si>
  <si>
    <t>MOB097E</t>
  </si>
  <si>
    <t>MOB097G</t>
  </si>
  <si>
    <t>MOB097H</t>
  </si>
  <si>
    <t>MOB097J</t>
  </si>
  <si>
    <t>MOB097K</t>
  </si>
  <si>
    <t>OEN361C</t>
  </si>
  <si>
    <t>OEN361F</t>
  </si>
  <si>
    <t>OUITCHAMBObb (BOULOUPARIS HIPPODROME)</t>
  </si>
  <si>
    <t>BPH383D</t>
  </si>
  <si>
    <t>BLPe1</t>
  </si>
  <si>
    <t>BLPe11</t>
  </si>
  <si>
    <t>OENe13</t>
  </si>
  <si>
    <t>OENe3</t>
  </si>
  <si>
    <t>BPHe7</t>
  </si>
  <si>
    <t>Fête de la Mandarine</t>
  </si>
  <si>
    <t>CAN303A</t>
  </si>
  <si>
    <t>CAN303D</t>
  </si>
  <si>
    <t>KBO306B</t>
  </si>
  <si>
    <t>KBO306E</t>
  </si>
  <si>
    <t>CANe1</t>
  </si>
  <si>
    <t>KOTABOe</t>
  </si>
  <si>
    <t>KBOe2</t>
  </si>
  <si>
    <t>Fête Nationale Nouméa</t>
  </si>
  <si>
    <t>116e3</t>
  </si>
  <si>
    <t>Fête Ver Bancoule</t>
  </si>
  <si>
    <t>FAR351A</t>
  </si>
  <si>
    <t>FAR351B</t>
  </si>
  <si>
    <t>FARe1</t>
  </si>
  <si>
    <t>FARe2</t>
  </si>
  <si>
    <t>Feu Artifice Ste Marie</t>
  </si>
  <si>
    <t>VALLEE DES COLONSe</t>
  </si>
  <si>
    <t>COLe12</t>
  </si>
  <si>
    <t>COLe2</t>
  </si>
  <si>
    <t>DTSIe</t>
  </si>
  <si>
    <t>DTSe12</t>
  </si>
  <si>
    <t>DTSe13</t>
  </si>
  <si>
    <t>DTSe2</t>
  </si>
  <si>
    <t>DTSe3</t>
  </si>
  <si>
    <t>STE MARIE NEAbb</t>
  </si>
  <si>
    <t>SMNe1</t>
  </si>
  <si>
    <t>SMNe11</t>
  </si>
  <si>
    <t>SMNe12</t>
  </si>
  <si>
    <t>SMNe2</t>
  </si>
  <si>
    <t>STE MARIE TDFe</t>
  </si>
  <si>
    <t>SMRe12</t>
  </si>
  <si>
    <t>SMRe2</t>
  </si>
  <si>
    <t>STAe2</t>
  </si>
  <si>
    <t>TUBe1</t>
  </si>
  <si>
    <t>Foire de Bourail</t>
  </si>
  <si>
    <t>TEN471A</t>
  </si>
  <si>
    <t>TEN471B</t>
  </si>
  <si>
    <t>TEN471C</t>
  </si>
  <si>
    <t>TEN471D</t>
  </si>
  <si>
    <t>TEN471E</t>
  </si>
  <si>
    <t>TEN471F</t>
  </si>
  <si>
    <t>TENEe</t>
  </si>
  <si>
    <t>TENe1</t>
  </si>
  <si>
    <t>TENe11</t>
  </si>
  <si>
    <t>TENe12</t>
  </si>
  <si>
    <t>TENe13</t>
  </si>
  <si>
    <t>TENe2</t>
  </si>
  <si>
    <t>TENe3</t>
  </si>
  <si>
    <t>Foire de Koumac</t>
  </si>
  <si>
    <t>RES KOUMAC</t>
  </si>
  <si>
    <t>KOK676B</t>
  </si>
  <si>
    <t>KOK676E</t>
  </si>
  <si>
    <t>KOUMAC OPT</t>
  </si>
  <si>
    <t>KMC656B</t>
  </si>
  <si>
    <t>KMC656E</t>
  </si>
  <si>
    <t>RKC663B</t>
  </si>
  <si>
    <t>RKC663E</t>
  </si>
  <si>
    <t>KOKe12</t>
  </si>
  <si>
    <t>KOKe2</t>
  </si>
  <si>
    <t>KOUMAC OPTe</t>
  </si>
  <si>
    <t>KMCe12</t>
  </si>
  <si>
    <t>KMCe2</t>
  </si>
  <si>
    <t>RES KOUMACbb</t>
  </si>
  <si>
    <t>RKCe12</t>
  </si>
  <si>
    <t>RKCe2</t>
  </si>
  <si>
    <t>RKCe22</t>
  </si>
  <si>
    <t>Foire de Ponerihouen</t>
  </si>
  <si>
    <t>Foire de Ponérihouen</t>
  </si>
  <si>
    <t>AGE401A</t>
  </si>
  <si>
    <t>PONERIHOUEN BTbb</t>
  </si>
  <si>
    <t>PON423A</t>
  </si>
  <si>
    <t>PON423B</t>
  </si>
  <si>
    <t>PON423C</t>
  </si>
  <si>
    <t>AGEe1</t>
  </si>
  <si>
    <t>PONe1</t>
  </si>
  <si>
    <t>PONe2</t>
  </si>
  <si>
    <t>PONe3</t>
  </si>
  <si>
    <t>Foire de Pouembout</t>
  </si>
  <si>
    <t>KOP459B</t>
  </si>
  <si>
    <t>KOP459E</t>
  </si>
  <si>
    <t>PIC310 PAOUTA</t>
  </si>
  <si>
    <t>PPA555C</t>
  </si>
  <si>
    <t>PPA555F</t>
  </si>
  <si>
    <t>RES GREEN ACRE</t>
  </si>
  <si>
    <t>RGA560B</t>
  </si>
  <si>
    <t>RGA560E</t>
  </si>
  <si>
    <t>RES PAIAMBOUE</t>
  </si>
  <si>
    <t>RPB561A</t>
  </si>
  <si>
    <t>RPB561B</t>
  </si>
  <si>
    <t>RPB561D</t>
  </si>
  <si>
    <t>RPB561E</t>
  </si>
  <si>
    <t>KOPe2</t>
  </si>
  <si>
    <t>PIC310 PAOUTAe</t>
  </si>
  <si>
    <t>PPAe3</t>
  </si>
  <si>
    <t>RES GREEN ACREbb</t>
  </si>
  <si>
    <t>RGAe2</t>
  </si>
  <si>
    <t>RES PAIAMBOUEbb</t>
  </si>
  <si>
    <t>RPBe1</t>
  </si>
  <si>
    <t>RPBe2</t>
  </si>
  <si>
    <t>Foire de Thio</t>
  </si>
  <si>
    <t>THIO OPT</t>
  </si>
  <si>
    <t>THI312A</t>
  </si>
  <si>
    <t>THIO OPTe</t>
  </si>
  <si>
    <t>THIe1</t>
  </si>
  <si>
    <t>Foire des Iles</t>
  </si>
  <si>
    <t>LIM736B</t>
  </si>
  <si>
    <t>THU742A</t>
  </si>
  <si>
    <t>Day</t>
  </si>
  <si>
    <t>THU742B</t>
  </si>
  <si>
    <t>Foire des Iles Loyautés 2020</t>
  </si>
  <si>
    <t>THU742C</t>
  </si>
  <si>
    <t>THUe3</t>
  </si>
  <si>
    <t>Foire du Pacifique</t>
  </si>
  <si>
    <t>REPe12</t>
  </si>
  <si>
    <t>REPe13</t>
  </si>
  <si>
    <t>REPe2</t>
  </si>
  <si>
    <t>REPe3</t>
  </si>
  <si>
    <t>Foire Pouembout</t>
  </si>
  <si>
    <t>KOPETO SLN</t>
  </si>
  <si>
    <t>PIC 310</t>
  </si>
  <si>
    <t>Fort Teremba</t>
  </si>
  <si>
    <t>PIC RAILLARD</t>
  </si>
  <si>
    <t>PRA364B</t>
  </si>
  <si>
    <t>PIC RAILLARDbb</t>
  </si>
  <si>
    <t>PRAe2</t>
  </si>
  <si>
    <t>Gigawatt</t>
  </si>
  <si>
    <t>RIV206A</t>
  </si>
  <si>
    <t>RIV206B</t>
  </si>
  <si>
    <t>BARRAGE ENERCAL</t>
  </si>
  <si>
    <t>HC Referendum</t>
  </si>
  <si>
    <t>CLE052A</t>
  </si>
  <si>
    <t>CLEe12</t>
  </si>
  <si>
    <t>CLEe2</t>
  </si>
  <si>
    <t>116e2</t>
  </si>
  <si>
    <t>116e12</t>
  </si>
  <si>
    <t>La Nouméenne</t>
  </si>
  <si>
    <t>IMMEUBLE BOGEYe</t>
  </si>
  <si>
    <t>BGEe1</t>
  </si>
  <si>
    <t>MONTMORENCYe</t>
  </si>
  <si>
    <t>MMRe1</t>
  </si>
  <si>
    <t>PAPOUe</t>
  </si>
  <si>
    <t>PAPe1</t>
  </si>
  <si>
    <t>SMNe3</t>
  </si>
  <si>
    <t>SMRe1</t>
  </si>
  <si>
    <t>VELe1</t>
  </si>
  <si>
    <t>Manifestation du 13/04</t>
  </si>
  <si>
    <t>IMM CLEBB</t>
  </si>
  <si>
    <t>GAL015B</t>
  </si>
  <si>
    <t>GAL015C</t>
  </si>
  <si>
    <t>GAL015E</t>
  </si>
  <si>
    <t>GAL015F</t>
  </si>
  <si>
    <t>CLE052B</t>
  </si>
  <si>
    <t>CLE052K</t>
  </si>
  <si>
    <t>MONT COFFYNbb</t>
  </si>
  <si>
    <t>COF072C</t>
  </si>
  <si>
    <t>COF072L</t>
  </si>
  <si>
    <t>PACIFIC PLAZAbb</t>
  </si>
  <si>
    <t>PLZ073B</t>
  </si>
  <si>
    <t>116028B</t>
  </si>
  <si>
    <t>116028C</t>
  </si>
  <si>
    <t>116028E</t>
  </si>
  <si>
    <t>116028F</t>
  </si>
  <si>
    <t>116028K</t>
  </si>
  <si>
    <t>116028L</t>
  </si>
  <si>
    <t>REP033B</t>
  </si>
  <si>
    <t>REP033C</t>
  </si>
  <si>
    <t>REP033E</t>
  </si>
  <si>
    <t>REP033F</t>
  </si>
  <si>
    <t>REP033K</t>
  </si>
  <si>
    <t>REP033L</t>
  </si>
  <si>
    <t>TGR038B</t>
  </si>
  <si>
    <t>TGR038E</t>
  </si>
  <si>
    <t>116e1</t>
  </si>
  <si>
    <t>116e21</t>
  </si>
  <si>
    <t>116e11</t>
  </si>
  <si>
    <t>116e22</t>
  </si>
  <si>
    <t>COFe13</t>
  </si>
  <si>
    <t>COFe23</t>
  </si>
  <si>
    <t>COFe3</t>
  </si>
  <si>
    <t>PLZe12</t>
  </si>
  <si>
    <t>PLZe2</t>
  </si>
  <si>
    <t>REPe22</t>
  </si>
  <si>
    <t>REPe23</t>
  </si>
  <si>
    <t>Megarando</t>
  </si>
  <si>
    <t>GOUARO ENTREE</t>
  </si>
  <si>
    <t>EGO483B</t>
  </si>
  <si>
    <t>POE469B</t>
  </si>
  <si>
    <t>POE469E</t>
  </si>
  <si>
    <t>ZOU477B</t>
  </si>
  <si>
    <t>GOUARO ENTREEbb</t>
  </si>
  <si>
    <t>EGOe2</t>
  </si>
  <si>
    <t>POEe2</t>
  </si>
  <si>
    <t>ZOUe2</t>
  </si>
  <si>
    <t>Pâques Hapetra</t>
  </si>
  <si>
    <t>HAP769A</t>
  </si>
  <si>
    <t>HAP769B</t>
  </si>
  <si>
    <t>Pâques Wedrumel</t>
  </si>
  <si>
    <t>WED725A</t>
  </si>
  <si>
    <t>WED725B</t>
  </si>
  <si>
    <t>Parc Fayard</t>
  </si>
  <si>
    <t>DZU158A</t>
  </si>
  <si>
    <t>DZU158B</t>
  </si>
  <si>
    <t>DZU158D</t>
  </si>
  <si>
    <t>DZU158E</t>
  </si>
  <si>
    <t>FAY108B</t>
  </si>
  <si>
    <t>FAY108C</t>
  </si>
  <si>
    <t>KGH109A</t>
  </si>
  <si>
    <t>KGH109D</t>
  </si>
  <si>
    <t>MAIRIE DUMBEA</t>
  </si>
  <si>
    <t>DUM115A</t>
  </si>
  <si>
    <t>RESERVOIR TONGHOUE</t>
  </si>
  <si>
    <t>RTG144B</t>
  </si>
  <si>
    <t>RTG144E</t>
  </si>
  <si>
    <t>ZAC PANDA</t>
  </si>
  <si>
    <t>ZPA142A</t>
  </si>
  <si>
    <t>ZPA142C</t>
  </si>
  <si>
    <t>ZPA142D</t>
  </si>
  <si>
    <t>ZPA142F</t>
  </si>
  <si>
    <t>RES TONGH</t>
  </si>
  <si>
    <t>DZUe1</t>
  </si>
  <si>
    <t>DZUe11</t>
  </si>
  <si>
    <t>DZUe21</t>
  </si>
  <si>
    <t>KGHe1</t>
  </si>
  <si>
    <t>KGHe11</t>
  </si>
  <si>
    <t>DUMe1</t>
  </si>
  <si>
    <t>RESERVOIR TONGHOUEe</t>
  </si>
  <si>
    <t>RTGe12</t>
  </si>
  <si>
    <t>RTGe2</t>
  </si>
  <si>
    <t>ZPAe13</t>
  </si>
  <si>
    <t>ZPAe3</t>
  </si>
  <si>
    <t>Régate des Touques</t>
  </si>
  <si>
    <t>LANe1</t>
  </si>
  <si>
    <t>LANe11</t>
  </si>
  <si>
    <t>LANe12</t>
  </si>
  <si>
    <t>LANe13</t>
  </si>
  <si>
    <t>LANe2</t>
  </si>
  <si>
    <t>LANe3</t>
  </si>
  <si>
    <t>MERe12</t>
  </si>
  <si>
    <t>Salon du Jardinage</t>
  </si>
  <si>
    <t>CPT003A</t>
  </si>
  <si>
    <t>CPT003D</t>
  </si>
  <si>
    <t>CPTe1</t>
  </si>
  <si>
    <t>CPTe11</t>
  </si>
  <si>
    <t>Tech&amp;Bio Popidery</t>
  </si>
  <si>
    <t>OUO360C</t>
  </si>
  <si>
    <t>OUATOMe</t>
  </si>
  <si>
    <t>OUOe3</t>
  </si>
  <si>
    <t>Royal Caledonian Show</t>
  </si>
  <si>
    <t>MOBe1</t>
  </si>
  <si>
    <t>MOBe2</t>
  </si>
  <si>
    <t>MOBe3</t>
  </si>
  <si>
    <t>MOBe11</t>
  </si>
  <si>
    <t>MOBe12</t>
  </si>
  <si>
    <t>MOBe13</t>
  </si>
  <si>
    <t>MOBe21</t>
  </si>
  <si>
    <t>MOBe22</t>
  </si>
  <si>
    <t>MOBe23</t>
  </si>
  <si>
    <t>LONGCHAMPe</t>
  </si>
  <si>
    <t>LCHe3</t>
  </si>
  <si>
    <t>LCHe2</t>
  </si>
  <si>
    <t>CSOe2</t>
  </si>
  <si>
    <t>CSOe12</t>
  </si>
  <si>
    <t>LCHe12</t>
  </si>
  <si>
    <t>LCHe13</t>
  </si>
  <si>
    <t>LCHe1</t>
  </si>
  <si>
    <t>LCHe11</t>
  </si>
  <si>
    <t>UTRe11</t>
  </si>
  <si>
    <t>CYU</t>
  </si>
  <si>
    <t>CYIe22</t>
  </si>
  <si>
    <t>MMRe2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</si>
</sst>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#,##0.0000000"/>
    <numFmt numFmtId="166" formatCode="#,##0.00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lightUp"/>
    </fill>
    <fill>
      <patternFill patternType="solid">
        <fgColor rgb="FF0B64A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070C0"/>
        <bgColor rgb="FF000000"/>
      </patternFill>
    </fill>
    <fill>
      <patternFill patternType="solid">
        <fgColor rgb="FFF0F0F4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</fills>
  <borders count="11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/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CAC9D9"/>
      </left>
      <right style="thin">
        <color rgb="FFCAC9D9"/>
      </right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/>
      <bottom/>
      <diagonal/>
    </border>
    <border>
      <left style="thin">
        <color rgb="FFCAC9D9"/>
      </left>
      <right style="thin">
        <color rgb="FFCAC9D9"/>
      </right>
      <top/>
      <bottom style="thin">
        <color rgb="FFCAC9D9"/>
      </bottom>
      <diagonal/>
    </border>
    <border>
      <left/>
      <right style="thin">
        <color rgb="FFCAC9D9"/>
      </right>
      <top/>
      <bottom style="thin">
        <color rgb="FFCAC9D9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/>
      <right style="thin">
        <color rgb="FFEBEBEB"/>
      </right>
      <top/>
      <bottom style="thin">
        <color rgb="FFEBEBEB"/>
      </bottom>
      <diagonal/>
    </border>
  </borders>
  <cellStyleXfs count="2">
    <xf numFmtId="0" fontId="0" fillId="0" borderId="0"/>
    <xf numFmtId="0" fontId="2" fillId="0" borderId="0"/>
  </cellStyleXfs>
  <cellXfs count="88">
    <xf numFmtId="0" fontId="0" fillId="0" borderId="0" xfId="0"/>
    <xf numFmtId="49" fontId="3" fillId="0" borderId="0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1" fontId="3" fillId="0" borderId="0" xfId="1" applyNumberFormat="1" applyFont="1" applyAlignment="1">
      <alignment horizontal="left"/>
    </xf>
    <xf numFmtId="164" fontId="3" fillId="0" borderId="0" xfId="1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3" fillId="0" borderId="0" xfId="0" applyNumberFormat="1" applyFont="1" applyAlignment="1">
      <alignment horizontal="left" wrapText="1"/>
    </xf>
    <xf numFmtId="2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 wrapText="1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/>
    <xf numFmtId="0" fontId="6" fillId="3" borderId="1" xfId="0" applyFont="1" applyFill="1" applyBorder="1"/>
    <xf numFmtId="0" fontId="6" fillId="3" borderId="2" xfId="0" applyFont="1" applyFill="1" applyBorder="1"/>
    <xf numFmtId="0" fontId="6" fillId="5" borderId="0" xfId="0" applyFont="1" applyFill="1"/>
    <xf numFmtId="0" fontId="6" fillId="6" borderId="0" xfId="0" applyFont="1" applyFill="1"/>
    <xf numFmtId="0" fontId="6" fillId="6" borderId="3" xfId="0" applyFont="1" applyFill="1" applyBorder="1"/>
    <xf numFmtId="0" fontId="6" fillId="6" borderId="4" xfId="0" applyFont="1" applyFill="1" applyBorder="1"/>
    <xf numFmtId="0" fontId="6" fillId="6" borderId="5" xfId="0" applyFont="1" applyFill="1" applyBorder="1"/>
    <xf numFmtId="0" fontId="6" fillId="6" borderId="6" xfId="0" applyFont="1" applyFill="1" applyBorder="1"/>
    <xf numFmtId="0" fontId="6" fillId="7" borderId="7" xfId="0" applyFont="1" applyFill="1" applyBorder="1"/>
    <xf numFmtId="0" fontId="6" fillId="7" borderId="8" xfId="0" applyFont="1" applyFill="1" applyBorder="1"/>
    <xf numFmtId="0" fontId="6" fillId="6" borderId="7" xfId="0" applyFont="1" applyFill="1" applyBorder="1"/>
    <xf numFmtId="0" fontId="6" fillId="6" borderId="8" xfId="0" applyFont="1" applyFill="1" applyBorder="1"/>
    <xf numFmtId="0" fontId="6" fillId="8" borderId="7" xfId="0" applyFont="1" applyFill="1" applyBorder="1"/>
    <xf numFmtId="0" fontId="6" fillId="8" borderId="8" xfId="0" applyFont="1" applyFill="1" applyBorder="1"/>
    <xf numFmtId="0" fontId="6" fillId="8" borderId="9" xfId="0" applyFont="1" applyFill="1" applyBorder="1"/>
    <xf numFmtId="0" fontId="6" fillId="8" borderId="10" xfId="0" applyFont="1" applyFill="1" applyBorder="1"/>
    <xf numFmtId="0" fontId="6" fillId="7" borderId="9" xfId="0" applyFont="1" applyFill="1" applyBorder="1"/>
    <xf numFmtId="0" fontId="6" fillId="7" borderId="10" xfId="0" applyFont="1" applyFill="1" applyBorder="1"/>
    <xf numFmtId="0" fontId="6" fillId="6" borderId="10" xfId="0" applyFont="1" applyFill="1" applyBorder="1"/>
    <xf numFmtId="0" fontId="6" fillId="8" borderId="4" xfId="0" applyFont="1" applyFill="1" applyBorder="1"/>
    <xf numFmtId="0" fontId="6" fillId="8" borderId="5" xfId="0" applyFont="1" applyFill="1" applyBorder="1"/>
    <xf numFmtId="0" fontId="6" fillId="7" borderId="0" xfId="0" applyFont="1" applyFill="1"/>
    <xf numFmtId="0" fontId="6" fillId="8" borderId="0" xfId="0" applyFont="1" applyFill="1"/>
    <xf numFmtId="0" fontId="6" fillId="7" borderId="4" xfId="0" applyFont="1" applyFill="1" applyBorder="1"/>
    <xf numFmtId="0" fontId="6" fillId="7" borderId="5" xfId="0" applyFont="1" applyFill="1" applyBorder="1"/>
    <xf numFmtId="0" fontId="6" fillId="6" borderId="9" xfId="0" applyFont="1" applyFill="1" applyBorder="1"/>
    <xf numFmtId="49" fontId="6" fillId="7" borderId="8" xfId="0" applyNumberFormat="1" applyFont="1" applyFill="1" applyBorder="1"/>
    <xf numFmtId="49" fontId="6" fillId="4" borderId="2" xfId="0" applyNumberFormat="1" applyFont="1" applyFill="1" applyBorder="1"/>
    <xf numFmtId="49" fontId="6" fillId="6" borderId="0" xfId="0" applyNumberFormat="1" applyFont="1" applyFill="1"/>
    <xf numFmtId="49" fontId="6" fillId="6" borderId="5" xfId="0" applyNumberFormat="1" applyFont="1" applyFill="1" applyBorder="1"/>
    <xf numFmtId="49" fontId="6" fillId="6" borderId="8" xfId="0" applyNumberFormat="1" applyFont="1" applyFill="1" applyBorder="1"/>
    <xf numFmtId="49" fontId="6" fillId="8" borderId="8" xfId="0" applyNumberFormat="1" applyFont="1" applyFill="1" applyBorder="1"/>
    <xf numFmtId="49" fontId="6" fillId="8" borderId="10" xfId="0" applyNumberFormat="1" applyFont="1" applyFill="1" applyBorder="1"/>
    <xf numFmtId="49" fontId="6" fillId="7" borderId="10" xfId="0" applyNumberFormat="1" applyFont="1" applyFill="1" applyBorder="1"/>
    <xf numFmtId="49" fontId="6" fillId="6" borderId="10" xfId="0" applyNumberFormat="1" applyFont="1" applyFill="1" applyBorder="1"/>
    <xf numFmtId="49" fontId="6" fillId="8" borderId="5" xfId="0" applyNumberFormat="1" applyFont="1" applyFill="1" applyBorder="1"/>
    <xf numFmtId="49" fontId="6" fillId="7" borderId="0" xfId="0" applyNumberFormat="1" applyFont="1" applyFill="1"/>
    <xf numFmtId="49" fontId="6" fillId="8" borderId="0" xfId="0" applyNumberFormat="1" applyFont="1" applyFill="1"/>
    <xf numFmtId="49" fontId="6" fillId="7" borderId="5" xfId="0" applyNumberFormat="1" applyFont="1" applyFill="1" applyBorder="1"/>
    <xf numFmtId="49" fontId="0" fillId="0" borderId="0" xfId="0" applyNumberFormat="1"/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/>
    <xf numFmtId="166" fontId="3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166" fontId="0" fillId="2" borderId="0" xfId="0" applyNumberFormat="1" applyFill="1" applyAlignment="1">
      <alignment horizontal="left"/>
    </xf>
    <xf numFmtId="166" fontId="0" fillId="0" borderId="0" xfId="0" applyNumberFormat="1" applyAlignment="1">
      <alignment horizontal="left" vertical="center"/>
    </xf>
    <xf numFmtId="166" fontId="1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 wrapText="1"/>
    </xf>
    <xf numFmtId="166" fontId="0" fillId="0" borderId="0" xfId="0" applyNumberFormat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E94D5F55-B31A-43FD-9469-2F2527466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DD48-D66E-4AE7-AB74-7776C4B44331}">
  <sheetPr codeName="Feuil8"/>
  <dimension ref="A1:AB589"/>
  <sheetViews>
    <sheetView tabSelected="1" zoomScale="70" zoomScaleNormal="70" workbookViewId="0">
      <pane ySplit="1" topLeftCell="A64" activePane="bottomLeft" state="frozen"/>
      <selection pane="bottomLeft" activeCell="A146" sqref="A146"/>
    </sheetView>
  </sheetViews>
  <sheetFormatPr defaultColWidth="11.42578125" defaultRowHeight="15"/>
  <cols>
    <col min="1" max="1" width="13.140625" style="2" customWidth="1"/>
    <col min="2" max="2" width="16.28515625" style="2" bestFit="1" customWidth="1"/>
    <col min="3" max="3" width="11.5703125" style="2" bestFit="1" customWidth="1"/>
    <col min="4" max="4" width="27.85546875" style="2" bestFit="1" customWidth="1"/>
    <col min="5" max="5" width="21.140625" style="2" bestFit="1" customWidth="1"/>
    <col min="6" max="7" width="28.5703125" style="2" bestFit="1" customWidth="1"/>
    <col min="8" max="8" width="28.42578125" style="2" customWidth="1"/>
    <col min="9" max="9" width="10.7109375" style="2" bestFit="1" customWidth="1"/>
    <col min="10" max="10" width="12.5703125" style="2" bestFit="1" customWidth="1"/>
    <col min="11" max="11" width="11.42578125" style="2" bestFit="1" customWidth="1"/>
    <col min="12" max="12" width="14.7109375" style="2" customWidth="1"/>
    <col min="13" max="13" width="12.140625" style="2" bestFit="1" customWidth="1"/>
    <col min="14" max="14" width="9.28515625" style="2" bestFit="1" customWidth="1"/>
    <col min="15" max="15" width="16.5703125" style="2" bestFit="1" customWidth="1"/>
    <col min="16" max="16" width="12.42578125" style="2" bestFit="1" customWidth="1"/>
    <col min="17" max="17" width="15.5703125" style="2" bestFit="1" customWidth="1"/>
    <col min="18" max="18" width="6.42578125" style="2" bestFit="1" customWidth="1"/>
    <col min="19" max="19" width="12" style="2" bestFit="1" customWidth="1"/>
    <col min="20" max="20" width="6.42578125" style="2" bestFit="1" customWidth="1"/>
    <col min="21" max="21" width="7" style="2" bestFit="1" customWidth="1"/>
    <col min="22" max="22" width="18.140625" style="2" bestFit="1" customWidth="1"/>
    <col min="23" max="23" width="24" style="2" bestFit="1" customWidth="1"/>
    <col min="24" max="24" width="11.42578125" style="2"/>
    <col min="25" max="25" width="49.140625" style="2" bestFit="1" customWidth="1"/>
    <col min="26" max="26" width="11.42578125" style="2"/>
    <col min="27" max="27" width="51.5703125" style="2" bestFit="1" customWidth="1"/>
    <col min="28" max="16384" width="11.42578125" style="2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0" t="s">
        <v>22</v>
      </c>
      <c r="X1" s="2" t="s">
        <v>23</v>
      </c>
      <c r="Y1" s="1" t="s">
        <v>24</v>
      </c>
      <c r="Z1" s="2" t="s">
        <v>25</v>
      </c>
      <c r="AA1" s="3" t="s">
        <v>26</v>
      </c>
      <c r="AB1" s="2" t="s">
        <v>27</v>
      </c>
    </row>
    <row r="2" spans="1:28">
      <c r="A2" s="6" t="s">
        <v>28</v>
      </c>
      <c r="B2" s="6" t="s">
        <v>29</v>
      </c>
      <c r="C2" s="6" t="s">
        <v>30</v>
      </c>
      <c r="D2" s="6" t="s">
        <v>31</v>
      </c>
      <c r="E2" s="6" t="s">
        <v>31</v>
      </c>
      <c r="F2" s="6" t="s">
        <v>31</v>
      </c>
      <c r="G2" s="2" t="s">
        <v>32</v>
      </c>
      <c r="H2" s="2" t="s">
        <v>33</v>
      </c>
      <c r="I2" s="2" t="s">
        <v>34</v>
      </c>
      <c r="J2" s="7">
        <v>445908.86284999998</v>
      </c>
      <c r="K2" s="7">
        <v>214664.56611000001</v>
      </c>
      <c r="L2" s="8">
        <v>166.44544290678601</v>
      </c>
      <c r="M2" s="8">
        <v>-22.2701344132374</v>
      </c>
      <c r="N2" s="2">
        <v>3</v>
      </c>
      <c r="O2" s="2">
        <v>9</v>
      </c>
      <c r="P2" s="2">
        <v>6</v>
      </c>
      <c r="Q2" s="2" t="s">
        <v>35</v>
      </c>
      <c r="R2" s="2" t="s">
        <v>36</v>
      </c>
      <c r="S2" s="2" t="s">
        <v>37</v>
      </c>
      <c r="U2" s="2">
        <f>P2-N2</f>
        <v>3</v>
      </c>
      <c r="V2" s="2" t="s">
        <v>38</v>
      </c>
      <c r="W2" s="30" t="s">
        <v>31</v>
      </c>
      <c r="X2" s="2" t="s">
        <v>39</v>
      </c>
      <c r="Y2" s="6" t="s">
        <v>31</v>
      </c>
      <c r="Z2" s="2" t="s">
        <v>40</v>
      </c>
      <c r="AA2" s="2" t="s">
        <v>32</v>
      </c>
      <c r="AB2" s="2" t="str">
        <f>LEFT(A2,3)</f>
        <v>116</v>
      </c>
    </row>
    <row r="3" spans="1:28">
      <c r="A3" s="6" t="s">
        <v>41</v>
      </c>
      <c r="B3" s="6" t="s">
        <v>42</v>
      </c>
      <c r="C3" s="6" t="s">
        <v>43</v>
      </c>
      <c r="D3" s="6" t="s">
        <v>44</v>
      </c>
      <c r="E3" s="6" t="s">
        <v>44</v>
      </c>
      <c r="F3" s="6" t="s">
        <v>44</v>
      </c>
      <c r="G3" s="2" t="s">
        <v>45</v>
      </c>
      <c r="H3" s="2" t="s">
        <v>44</v>
      </c>
      <c r="I3" s="2" t="s">
        <v>34</v>
      </c>
      <c r="J3" s="7">
        <v>381552.07244999998</v>
      </c>
      <c r="K3" s="7">
        <v>284318.90759999998</v>
      </c>
      <c r="L3" s="8">
        <v>165.82177403411899</v>
      </c>
      <c r="M3" s="8">
        <v>-21.641541505271</v>
      </c>
      <c r="N3" s="2">
        <v>3</v>
      </c>
      <c r="O3" s="2">
        <v>3</v>
      </c>
      <c r="P3" s="2">
        <f>N3</f>
        <v>3</v>
      </c>
      <c r="Q3" s="2" t="s">
        <v>35</v>
      </c>
      <c r="R3" s="2" t="s">
        <v>46</v>
      </c>
      <c r="S3" s="2" t="s">
        <v>47</v>
      </c>
      <c r="U3" s="2">
        <f>P3-N3</f>
        <v>0</v>
      </c>
      <c r="W3" s="30" t="s">
        <v>44</v>
      </c>
      <c r="X3" s="2" t="s">
        <v>39</v>
      </c>
      <c r="Y3" s="6" t="s">
        <v>44</v>
      </c>
      <c r="Z3" s="2" t="s">
        <v>40</v>
      </c>
      <c r="AA3" s="2" t="s">
        <v>45</v>
      </c>
      <c r="AB3" s="2" t="str">
        <f>LEFT(A3,3)</f>
        <v>145</v>
      </c>
    </row>
    <row r="4" spans="1:28">
      <c r="A4" s="6" t="s">
        <v>48</v>
      </c>
      <c r="B4" s="6" t="s">
        <v>49</v>
      </c>
      <c r="C4" s="6" t="s">
        <v>50</v>
      </c>
      <c r="D4" s="6" t="s">
        <v>51</v>
      </c>
      <c r="E4" s="6" t="s">
        <v>52</v>
      </c>
      <c r="F4" s="6" t="s">
        <v>51</v>
      </c>
      <c r="G4" s="6" t="s">
        <v>51</v>
      </c>
      <c r="H4" s="6" t="s">
        <v>51</v>
      </c>
      <c r="I4" s="2" t="s">
        <v>53</v>
      </c>
      <c r="J4" s="7">
        <v>454180</v>
      </c>
      <c r="K4" s="7">
        <v>229034</v>
      </c>
      <c r="L4" s="8">
        <v>166.52522500000001</v>
      </c>
      <c r="M4" s="8">
        <v>-22.140136999999999</v>
      </c>
      <c r="N4" s="2">
        <v>2</v>
      </c>
      <c r="O4" s="2">
        <v>2</v>
      </c>
      <c r="P4" s="2">
        <v>2</v>
      </c>
      <c r="R4" s="2" t="s">
        <v>54</v>
      </c>
      <c r="S4" s="2" t="s">
        <v>47</v>
      </c>
      <c r="U4" s="2">
        <f>P4-N4</f>
        <v>0</v>
      </c>
      <c r="W4" s="30" t="s">
        <v>52</v>
      </c>
      <c r="X4" s="2" t="s">
        <v>52</v>
      </c>
      <c r="Y4" s="6" t="s">
        <v>51</v>
      </c>
      <c r="Z4" s="2" t="s">
        <v>40</v>
      </c>
      <c r="AA4" s="6" t="s">
        <v>51</v>
      </c>
      <c r="AB4" s="2" t="str">
        <f>LEFT(A4,3)</f>
        <v>1RM</v>
      </c>
    </row>
    <row r="5" spans="1:28">
      <c r="A5" s="6" t="s">
        <v>55</v>
      </c>
      <c r="B5" s="6" t="s">
        <v>56</v>
      </c>
      <c r="C5" s="6" t="s">
        <v>50</v>
      </c>
      <c r="D5" s="6" t="s">
        <v>57</v>
      </c>
      <c r="E5" s="30" t="s">
        <v>52</v>
      </c>
      <c r="F5" s="6" t="s">
        <v>58</v>
      </c>
      <c r="G5" s="2" t="s">
        <v>59</v>
      </c>
      <c r="H5" s="2" t="s">
        <v>58</v>
      </c>
      <c r="I5" s="2" t="s">
        <v>34</v>
      </c>
      <c r="J5" s="7">
        <v>441198</v>
      </c>
      <c r="K5" s="7">
        <v>228782</v>
      </c>
      <c r="L5" s="8">
        <v>166.39938358734301</v>
      </c>
      <c r="M5" s="8">
        <v>-22.142759329454702</v>
      </c>
      <c r="N5" s="2">
        <v>1</v>
      </c>
      <c r="O5" s="2">
        <v>1</v>
      </c>
      <c r="P5" s="2">
        <v>1</v>
      </c>
      <c r="Q5" s="2" t="s">
        <v>35</v>
      </c>
      <c r="R5" s="2" t="s">
        <v>60</v>
      </c>
      <c r="S5" s="2" t="s">
        <v>37</v>
      </c>
      <c r="U5" s="2">
        <f>P5-N5</f>
        <v>0</v>
      </c>
      <c r="W5" s="30" t="s">
        <v>52</v>
      </c>
      <c r="X5" s="2" t="s">
        <v>39</v>
      </c>
      <c r="Y5" s="6" t="s">
        <v>58</v>
      </c>
      <c r="Z5" s="2" t="s">
        <v>40</v>
      </c>
      <c r="AA5" s="2" t="s">
        <v>59</v>
      </c>
      <c r="AB5" s="2" t="str">
        <f>LEFT(A5,3)</f>
        <v>3VL</v>
      </c>
    </row>
    <row r="6" spans="1:28">
      <c r="A6" s="6" t="s">
        <v>61</v>
      </c>
      <c r="B6" s="6" t="s">
        <v>56</v>
      </c>
      <c r="C6" s="6" t="s">
        <v>50</v>
      </c>
      <c r="D6" s="6" t="s">
        <v>62</v>
      </c>
      <c r="E6" s="6" t="s">
        <v>52</v>
      </c>
      <c r="F6" s="6" t="s">
        <v>63</v>
      </c>
      <c r="G6" s="2" t="s">
        <v>64</v>
      </c>
      <c r="H6" s="2" t="s">
        <v>58</v>
      </c>
      <c r="I6" s="2" t="s">
        <v>34</v>
      </c>
      <c r="J6" s="7">
        <v>441509</v>
      </c>
      <c r="K6" s="7">
        <v>227962</v>
      </c>
      <c r="L6" s="9">
        <v>166.40242000000001</v>
      </c>
      <c r="M6" s="8">
        <v>-22.15016</v>
      </c>
      <c r="N6" s="2">
        <v>2</v>
      </c>
      <c r="O6" s="2">
        <v>2</v>
      </c>
      <c r="P6" s="2">
        <v>2</v>
      </c>
      <c r="Q6" s="2" t="s">
        <v>35</v>
      </c>
      <c r="R6" s="2" t="s">
        <v>65</v>
      </c>
      <c r="S6" s="2" t="s">
        <v>37</v>
      </c>
      <c r="U6" s="2">
        <f>P6-N6</f>
        <v>0</v>
      </c>
      <c r="W6" s="30" t="s">
        <v>52</v>
      </c>
      <c r="X6" s="6" t="s">
        <v>52</v>
      </c>
      <c r="Y6" s="6" t="s">
        <v>63</v>
      </c>
      <c r="Z6" s="2" t="s">
        <v>40</v>
      </c>
      <c r="AA6" s="2" t="s">
        <v>64</v>
      </c>
      <c r="AB6" s="2" t="str">
        <f>LEFT(A6,3)</f>
        <v>3VL</v>
      </c>
    </row>
    <row r="7" spans="1:28">
      <c r="A7" s="6" t="s">
        <v>66</v>
      </c>
      <c r="B7" s="2" t="s">
        <v>67</v>
      </c>
      <c r="C7" s="6" t="s">
        <v>68</v>
      </c>
      <c r="D7" s="6" t="s">
        <v>69</v>
      </c>
      <c r="E7" s="6" t="s">
        <v>52</v>
      </c>
      <c r="F7" s="1" t="s">
        <v>70</v>
      </c>
      <c r="G7" s="1" t="s">
        <v>70</v>
      </c>
      <c r="H7" s="1" t="s">
        <v>70</v>
      </c>
      <c r="I7" s="2" t="s">
        <v>53</v>
      </c>
      <c r="J7" s="7">
        <v>282252</v>
      </c>
      <c r="K7" s="7">
        <v>346927</v>
      </c>
      <c r="L7" s="8">
        <v>164.86684099999999</v>
      </c>
      <c r="M7" s="8">
        <v>-21.072272999999999</v>
      </c>
      <c r="N7" s="2">
        <v>3</v>
      </c>
      <c r="O7" s="2">
        <v>3</v>
      </c>
      <c r="P7" s="2">
        <v>3</v>
      </c>
      <c r="Q7" s="2" t="s">
        <v>35</v>
      </c>
      <c r="R7" s="2" t="s">
        <v>71</v>
      </c>
      <c r="S7" s="2" t="s">
        <v>37</v>
      </c>
      <c r="U7" s="2">
        <f>P7-N7</f>
        <v>0</v>
      </c>
      <c r="W7" s="30" t="s">
        <v>52</v>
      </c>
      <c r="X7" s="2" t="s">
        <v>52</v>
      </c>
      <c r="Y7" s="1" t="s">
        <v>72</v>
      </c>
      <c r="Z7" s="2" t="s">
        <v>73</v>
      </c>
      <c r="AA7" s="1" t="s">
        <v>72</v>
      </c>
      <c r="AB7" s="2" t="str">
        <f>LEFT(A7,3)</f>
        <v>ACR</v>
      </c>
    </row>
    <row r="8" spans="1:28">
      <c r="A8" s="6" t="s">
        <v>74</v>
      </c>
      <c r="B8" s="2" t="s">
        <v>56</v>
      </c>
      <c r="C8" s="6" t="s">
        <v>50</v>
      </c>
      <c r="D8" s="6" t="s">
        <v>75</v>
      </c>
      <c r="E8" s="30" t="s">
        <v>52</v>
      </c>
      <c r="F8" s="1" t="s">
        <v>52</v>
      </c>
      <c r="G8" s="2" t="s">
        <v>52</v>
      </c>
      <c r="H8" s="2" t="s">
        <v>76</v>
      </c>
      <c r="I8" s="2" t="s">
        <v>34</v>
      </c>
      <c r="J8" s="7">
        <v>437941.59360000002</v>
      </c>
      <c r="K8" s="7">
        <v>228929.25</v>
      </c>
      <c r="L8" s="8">
        <v>166.36781588768</v>
      </c>
      <c r="M8" s="8">
        <v>-22.141503905951499</v>
      </c>
      <c r="N8" s="2">
        <v>1</v>
      </c>
      <c r="O8" s="2">
        <v>1</v>
      </c>
      <c r="P8" s="2">
        <v>0</v>
      </c>
      <c r="Q8" s="2" t="s">
        <v>35</v>
      </c>
      <c r="R8" s="2" t="s">
        <v>77</v>
      </c>
      <c r="S8" s="2" t="s">
        <v>37</v>
      </c>
      <c r="U8" s="2">
        <f>P8-N8</f>
        <v>-1</v>
      </c>
      <c r="W8" s="30" t="s">
        <v>52</v>
      </c>
      <c r="X8" s="2" t="s">
        <v>39</v>
      </c>
      <c r="Y8" s="1" t="s">
        <v>52</v>
      </c>
      <c r="Z8" s="2" t="s">
        <v>52</v>
      </c>
      <c r="AA8" s="2" t="s">
        <v>52</v>
      </c>
      <c r="AB8" s="2" t="str">
        <f>LEFT(A8,3)</f>
        <v>ADS</v>
      </c>
    </row>
    <row r="9" spans="1:28">
      <c r="A9" s="6" t="s">
        <v>78</v>
      </c>
      <c r="B9" s="6" t="s">
        <v>79</v>
      </c>
      <c r="C9" s="6" t="s">
        <v>68</v>
      </c>
      <c r="D9" s="6" t="s">
        <v>79</v>
      </c>
      <c r="E9" s="6" t="s">
        <v>79</v>
      </c>
      <c r="F9" s="6" t="s">
        <v>79</v>
      </c>
      <c r="G9" s="2" t="s">
        <v>80</v>
      </c>
      <c r="H9" s="2" t="s">
        <v>79</v>
      </c>
      <c r="I9" s="2" t="s">
        <v>34</v>
      </c>
      <c r="J9" s="7">
        <v>338090.43200999999</v>
      </c>
      <c r="K9" s="7">
        <v>347230.82345999999</v>
      </c>
      <c r="L9" s="8">
        <v>165.40420710073499</v>
      </c>
      <c r="M9" s="8">
        <v>-21.072315869005301</v>
      </c>
      <c r="N9" s="2">
        <v>1</v>
      </c>
      <c r="O9" s="2">
        <v>1</v>
      </c>
      <c r="P9" s="2">
        <f>N9</f>
        <v>1</v>
      </c>
      <c r="Q9" s="2" t="s">
        <v>35</v>
      </c>
      <c r="R9" s="2" t="s">
        <v>81</v>
      </c>
      <c r="S9" s="2" t="s">
        <v>47</v>
      </c>
      <c r="U9" s="2">
        <f>P9-N9</f>
        <v>0</v>
      </c>
      <c r="W9" s="30" t="s">
        <v>79</v>
      </c>
      <c r="X9" s="2" t="s">
        <v>82</v>
      </c>
      <c r="Y9" s="6" t="s">
        <v>79</v>
      </c>
      <c r="Z9" s="2" t="s">
        <v>73</v>
      </c>
      <c r="AA9" s="2" t="s">
        <v>80</v>
      </c>
      <c r="AB9" s="2" t="str">
        <f>LEFT(A9,3)</f>
        <v>AGE</v>
      </c>
    </row>
    <row r="10" spans="1:28">
      <c r="A10" s="6" t="s">
        <v>83</v>
      </c>
      <c r="B10" s="6" t="s">
        <v>56</v>
      </c>
      <c r="C10" s="6" t="s">
        <v>50</v>
      </c>
      <c r="D10" s="6" t="s">
        <v>84</v>
      </c>
      <c r="E10" s="6" t="s">
        <v>84</v>
      </c>
      <c r="F10" s="6" t="s">
        <v>85</v>
      </c>
      <c r="G10" s="2" t="s">
        <v>85</v>
      </c>
      <c r="H10" s="2" t="s">
        <v>84</v>
      </c>
      <c r="I10" s="2" t="s">
        <v>34</v>
      </c>
      <c r="J10" s="7">
        <v>420253</v>
      </c>
      <c r="K10" s="7">
        <v>235079</v>
      </c>
      <c r="L10" s="8">
        <v>166.19626126888301</v>
      </c>
      <c r="M10" s="8">
        <v>-22.086249943342501</v>
      </c>
      <c r="N10" s="2">
        <v>1</v>
      </c>
      <c r="O10" s="2">
        <v>1</v>
      </c>
      <c r="P10" s="2">
        <v>0</v>
      </c>
      <c r="Q10" s="2" t="s">
        <v>86</v>
      </c>
      <c r="R10" s="2" t="s">
        <v>87</v>
      </c>
      <c r="S10" s="2" t="s">
        <v>47</v>
      </c>
      <c r="U10" s="2">
        <f>P10-N10</f>
        <v>-1</v>
      </c>
      <c r="W10" s="30" t="s">
        <v>84</v>
      </c>
      <c r="X10" s="2" t="s">
        <v>39</v>
      </c>
      <c r="Y10" s="6" t="s">
        <v>85</v>
      </c>
      <c r="Z10" s="2" t="s">
        <v>40</v>
      </c>
      <c r="AA10" s="6" t="s">
        <v>85</v>
      </c>
      <c r="AB10" s="2" t="str">
        <f>LEFT(A10,3)</f>
        <v>AGL</v>
      </c>
    </row>
    <row r="11" spans="1:28">
      <c r="A11" s="6" t="s">
        <v>88</v>
      </c>
      <c r="B11" s="6" t="s">
        <v>29</v>
      </c>
      <c r="C11" s="6" t="s">
        <v>30</v>
      </c>
      <c r="D11" s="6" t="s">
        <v>89</v>
      </c>
      <c r="E11" s="6" t="s">
        <v>52</v>
      </c>
      <c r="F11" s="6" t="s">
        <v>90</v>
      </c>
      <c r="G11" s="6" t="s">
        <v>90</v>
      </c>
      <c r="H11" s="6" t="s">
        <v>90</v>
      </c>
      <c r="I11" s="2" t="s">
        <v>53</v>
      </c>
      <c r="J11" s="7">
        <v>446174</v>
      </c>
      <c r="K11" s="7">
        <v>218433</v>
      </c>
      <c r="L11" s="8">
        <v>166.44790900000001</v>
      </c>
      <c r="M11" s="8">
        <v>-22.236098999999999</v>
      </c>
      <c r="N11" s="2">
        <v>1</v>
      </c>
      <c r="O11" s="2">
        <v>1</v>
      </c>
      <c r="P11" s="2">
        <v>1</v>
      </c>
      <c r="Q11" s="2" t="s">
        <v>35</v>
      </c>
      <c r="R11" s="2" t="s">
        <v>91</v>
      </c>
      <c r="S11" s="2" t="s">
        <v>37</v>
      </c>
      <c r="U11" s="2">
        <f>P11-N11</f>
        <v>0</v>
      </c>
      <c r="W11" s="30" t="s">
        <v>52</v>
      </c>
      <c r="X11" s="2" t="s">
        <v>39</v>
      </c>
      <c r="Y11" s="6" t="s">
        <v>90</v>
      </c>
      <c r="Z11" s="2" t="s">
        <v>40</v>
      </c>
      <c r="AA11" s="6" t="s">
        <v>90</v>
      </c>
      <c r="AB11" s="2" t="str">
        <f>LEFT(A11,3)</f>
        <v>AGT</v>
      </c>
    </row>
    <row r="12" spans="1:28">
      <c r="A12" s="6" t="s">
        <v>92</v>
      </c>
      <c r="B12" s="6" t="s">
        <v>93</v>
      </c>
      <c r="C12" s="6" t="s">
        <v>50</v>
      </c>
      <c r="D12" s="6" t="s">
        <v>94</v>
      </c>
      <c r="E12" s="6" t="s">
        <v>94</v>
      </c>
      <c r="F12" s="6" t="s">
        <v>94</v>
      </c>
      <c r="G12" s="2" t="s">
        <v>95</v>
      </c>
      <c r="H12" s="2" t="s">
        <v>94</v>
      </c>
      <c r="I12" s="2" t="s">
        <v>34</v>
      </c>
      <c r="J12" s="7">
        <v>459297.06169</v>
      </c>
      <c r="K12" s="7">
        <v>214608.11916999999</v>
      </c>
      <c r="L12" s="8">
        <v>166.575344131142</v>
      </c>
      <c r="M12" s="8">
        <v>-22.270254422715499</v>
      </c>
      <c r="N12" s="2">
        <v>3</v>
      </c>
      <c r="O12" s="2">
        <v>6</v>
      </c>
      <c r="P12" s="2">
        <v>9</v>
      </c>
      <c r="Q12" s="2" t="s">
        <v>35</v>
      </c>
      <c r="R12" s="2" t="s">
        <v>96</v>
      </c>
      <c r="S12" s="2" t="s">
        <v>37</v>
      </c>
      <c r="U12" s="2">
        <f>P12-N12</f>
        <v>6</v>
      </c>
      <c r="V12" s="2" t="s">
        <v>38</v>
      </c>
      <c r="W12" s="30" t="s">
        <v>94</v>
      </c>
      <c r="X12" s="2" t="s">
        <v>39</v>
      </c>
      <c r="Y12" s="6" t="s">
        <v>94</v>
      </c>
      <c r="Z12" s="2" t="s">
        <v>40</v>
      </c>
      <c r="AA12" s="2" t="s">
        <v>95</v>
      </c>
      <c r="AB12" s="2" t="str">
        <f>LEFT(A12,3)</f>
        <v>AIG</v>
      </c>
    </row>
    <row r="13" spans="1:28">
      <c r="A13" s="6" t="s">
        <v>97</v>
      </c>
      <c r="B13" s="6" t="s">
        <v>98</v>
      </c>
      <c r="C13" s="6" t="s">
        <v>68</v>
      </c>
      <c r="D13" s="6" t="s">
        <v>99</v>
      </c>
      <c r="E13" s="6" t="s">
        <v>99</v>
      </c>
      <c r="F13" s="6" t="s">
        <v>99</v>
      </c>
      <c r="G13" s="6" t="s">
        <v>100</v>
      </c>
      <c r="H13" s="6" t="s">
        <v>99</v>
      </c>
      <c r="I13" s="2" t="s">
        <v>34</v>
      </c>
      <c r="J13" s="7">
        <v>386806.89253000001</v>
      </c>
      <c r="K13" s="7">
        <v>301198.33171</v>
      </c>
      <c r="L13" s="8">
        <v>165.872675331659</v>
      </c>
      <c r="M13" s="8">
        <v>-21.489130590190399</v>
      </c>
      <c r="N13" s="2">
        <v>3</v>
      </c>
      <c r="O13" s="2">
        <v>3</v>
      </c>
      <c r="P13" s="2">
        <v>3</v>
      </c>
      <c r="Q13" s="2" t="s">
        <v>35</v>
      </c>
      <c r="R13" s="2" t="s">
        <v>101</v>
      </c>
      <c r="S13" s="2" t="s">
        <v>47</v>
      </c>
      <c r="U13" s="2">
        <f>P13-N13</f>
        <v>0</v>
      </c>
      <c r="V13" s="2" t="s">
        <v>102</v>
      </c>
      <c r="W13" s="30" t="s">
        <v>99</v>
      </c>
      <c r="X13" s="2" t="s">
        <v>39</v>
      </c>
      <c r="Y13" s="6" t="s">
        <v>99</v>
      </c>
      <c r="Z13" s="2" t="s">
        <v>40</v>
      </c>
      <c r="AA13" s="6" t="s">
        <v>100</v>
      </c>
      <c r="AB13" s="2" t="str">
        <f>LEFT(A13,3)</f>
        <v>AIU</v>
      </c>
    </row>
    <row r="14" spans="1:28">
      <c r="A14" s="6" t="s">
        <v>103</v>
      </c>
      <c r="B14" s="6" t="s">
        <v>104</v>
      </c>
      <c r="C14" s="6" t="s">
        <v>68</v>
      </c>
      <c r="D14" s="6" t="s">
        <v>105</v>
      </c>
      <c r="E14" s="6" t="s">
        <v>105</v>
      </c>
      <c r="F14" s="6" t="s">
        <v>105</v>
      </c>
      <c r="G14" s="2" t="s">
        <v>106</v>
      </c>
      <c r="H14" s="2" t="s">
        <v>107</v>
      </c>
      <c r="I14" s="2" t="s">
        <v>34</v>
      </c>
      <c r="J14" s="7">
        <v>322098.02175999997</v>
      </c>
      <c r="K14" s="7">
        <v>359548.90840000001</v>
      </c>
      <c r="L14" s="8">
        <v>165.25087774211099</v>
      </c>
      <c r="M14" s="8">
        <v>-20.9604313969276</v>
      </c>
      <c r="N14" s="2">
        <v>2</v>
      </c>
      <c r="O14" s="2">
        <v>2</v>
      </c>
      <c r="P14" s="2">
        <f>N14</f>
        <v>2</v>
      </c>
      <c r="Q14" s="2" t="s">
        <v>35</v>
      </c>
      <c r="R14" s="2" t="s">
        <v>108</v>
      </c>
      <c r="S14" s="2" t="s">
        <v>47</v>
      </c>
      <c r="U14" s="2">
        <f>P14-N14</f>
        <v>0</v>
      </c>
      <c r="W14" s="30" t="s">
        <v>105</v>
      </c>
      <c r="X14" s="2" t="s">
        <v>82</v>
      </c>
      <c r="Y14" s="6" t="s">
        <v>105</v>
      </c>
      <c r="Z14" s="2" t="s">
        <v>73</v>
      </c>
      <c r="AA14" s="2" t="s">
        <v>106</v>
      </c>
      <c r="AB14" s="2" t="str">
        <f>LEFT(A14,3)</f>
        <v>AMO</v>
      </c>
    </row>
    <row r="15" spans="1:28">
      <c r="A15" s="6" t="s">
        <v>109</v>
      </c>
      <c r="B15" s="6" t="s">
        <v>98</v>
      </c>
      <c r="C15" s="6" t="s">
        <v>68</v>
      </c>
      <c r="D15" s="6" t="s">
        <v>110</v>
      </c>
      <c r="E15" s="6" t="s">
        <v>111</v>
      </c>
      <c r="F15" s="6" t="s">
        <v>110</v>
      </c>
      <c r="G15" s="2" t="s">
        <v>110</v>
      </c>
      <c r="H15" s="2" t="s">
        <v>112</v>
      </c>
      <c r="I15" s="2" t="s">
        <v>34</v>
      </c>
      <c r="J15" s="7">
        <v>386637.30411999999</v>
      </c>
      <c r="K15" s="7">
        <v>296820.30712999997</v>
      </c>
      <c r="L15" s="8">
        <v>165.87099980885</v>
      </c>
      <c r="M15" s="8">
        <v>-21.528673336648801</v>
      </c>
      <c r="N15" s="2">
        <v>2</v>
      </c>
      <c r="O15" s="2">
        <v>2</v>
      </c>
      <c r="P15" s="2">
        <v>2</v>
      </c>
      <c r="Q15" s="2" t="s">
        <v>35</v>
      </c>
      <c r="R15" s="2" t="s">
        <v>113</v>
      </c>
      <c r="S15" s="2" t="s">
        <v>47</v>
      </c>
      <c r="U15" s="2">
        <f>P15-N15</f>
        <v>0</v>
      </c>
      <c r="V15" s="2" t="s">
        <v>102</v>
      </c>
      <c r="W15" s="30" t="s">
        <v>111</v>
      </c>
      <c r="X15" s="2" t="s">
        <v>39</v>
      </c>
      <c r="Y15" s="6" t="s">
        <v>110</v>
      </c>
      <c r="Z15" s="2" t="s">
        <v>40</v>
      </c>
      <c r="AA15" s="6" t="s">
        <v>110</v>
      </c>
      <c r="AB15" s="2" t="str">
        <f>LEFT(A15,3)</f>
        <v>AOL</v>
      </c>
    </row>
    <row r="16" spans="1:28">
      <c r="A16" s="6" t="s">
        <v>114</v>
      </c>
      <c r="B16" s="6" t="s">
        <v>79</v>
      </c>
      <c r="C16" s="6" t="s">
        <v>68</v>
      </c>
      <c r="D16" s="6" t="s">
        <v>115</v>
      </c>
      <c r="E16" s="6" t="s">
        <v>115</v>
      </c>
      <c r="F16" s="6" t="s">
        <v>115</v>
      </c>
      <c r="G16" s="2" t="s">
        <v>116</v>
      </c>
      <c r="H16" s="2" t="s">
        <v>115</v>
      </c>
      <c r="I16" s="2" t="s">
        <v>34</v>
      </c>
      <c r="J16" s="7">
        <v>323956.36846000003</v>
      </c>
      <c r="K16" s="7">
        <v>335616.21574000001</v>
      </c>
      <c r="L16" s="8">
        <v>165.26766626141199</v>
      </c>
      <c r="M16" s="8">
        <v>-21.176686923258298</v>
      </c>
      <c r="N16" s="2">
        <v>3</v>
      </c>
      <c r="O16" s="2">
        <v>3</v>
      </c>
      <c r="P16" s="2">
        <f>N16</f>
        <v>3</v>
      </c>
      <c r="Q16" s="2" t="s">
        <v>35</v>
      </c>
      <c r="R16" s="2" t="s">
        <v>117</v>
      </c>
      <c r="S16" s="2" t="s">
        <v>47</v>
      </c>
      <c r="U16" s="2">
        <f>P16-N16</f>
        <v>0</v>
      </c>
      <c r="W16" s="30" t="s">
        <v>115</v>
      </c>
      <c r="X16" s="2" t="s">
        <v>82</v>
      </c>
      <c r="Y16" s="6" t="s">
        <v>115</v>
      </c>
      <c r="Z16" s="2" t="s">
        <v>73</v>
      </c>
      <c r="AA16" s="2" t="s">
        <v>116</v>
      </c>
      <c r="AB16" s="2" t="str">
        <f>LEFT(A16,3)</f>
        <v>AOU</v>
      </c>
    </row>
    <row r="17" spans="1:28">
      <c r="A17" s="2" t="s">
        <v>118</v>
      </c>
      <c r="B17" s="2" t="s">
        <v>49</v>
      </c>
      <c r="C17" s="2" t="s">
        <v>50</v>
      </c>
      <c r="D17" s="6" t="s">
        <v>119</v>
      </c>
      <c r="E17" s="6" t="s">
        <v>52</v>
      </c>
      <c r="F17" s="6" t="s">
        <v>120</v>
      </c>
      <c r="G17" s="6" t="s">
        <v>120</v>
      </c>
      <c r="H17" s="6" t="s">
        <v>120</v>
      </c>
      <c r="I17" s="2" t="s">
        <v>53</v>
      </c>
      <c r="J17" s="7">
        <v>446023</v>
      </c>
      <c r="K17" s="7">
        <v>222672</v>
      </c>
      <c r="L17" s="9">
        <v>166.44632999999999</v>
      </c>
      <c r="M17" s="9">
        <f>-22.19782</f>
        <v>-22.19782</v>
      </c>
      <c r="N17" s="2">
        <v>2</v>
      </c>
      <c r="O17" s="2">
        <v>2</v>
      </c>
      <c r="P17" s="2">
        <v>2</v>
      </c>
      <c r="Q17" s="2" t="s">
        <v>35</v>
      </c>
      <c r="R17" s="2" t="s">
        <v>121</v>
      </c>
      <c r="S17" s="2" t="s">
        <v>37</v>
      </c>
      <c r="U17" s="2">
        <f>P17-N17</f>
        <v>0</v>
      </c>
      <c r="W17" s="30" t="s">
        <v>52</v>
      </c>
      <c r="X17" s="6" t="s">
        <v>52</v>
      </c>
      <c r="Y17" s="6" t="s">
        <v>120</v>
      </c>
      <c r="Z17" s="2" t="s">
        <v>40</v>
      </c>
      <c r="AA17" s="6" t="s">
        <v>120</v>
      </c>
      <c r="AB17" s="2" t="str">
        <f>LEFT(A17,3)</f>
        <v>APO</v>
      </c>
    </row>
    <row r="18" spans="1:28">
      <c r="A18" s="6" t="s">
        <v>122</v>
      </c>
      <c r="B18" s="6" t="s">
        <v>123</v>
      </c>
      <c r="C18" s="6" t="s">
        <v>68</v>
      </c>
      <c r="D18" s="6" t="s">
        <v>124</v>
      </c>
      <c r="E18" s="6" t="s">
        <v>124</v>
      </c>
      <c r="F18" s="6" t="s">
        <v>124</v>
      </c>
      <c r="G18" s="2" t="s">
        <v>125</v>
      </c>
      <c r="H18" s="2" t="s">
        <v>124</v>
      </c>
      <c r="I18" s="2" t="s">
        <v>34</v>
      </c>
      <c r="J18" s="7">
        <v>212423.86767000001</v>
      </c>
      <c r="K18" s="7">
        <v>436883.10973000003</v>
      </c>
      <c r="L18" s="8">
        <v>164.204834495276</v>
      </c>
      <c r="M18" s="8">
        <v>-20.253889349819101</v>
      </c>
      <c r="N18" s="2">
        <v>2</v>
      </c>
      <c r="O18" s="2">
        <v>2</v>
      </c>
      <c r="P18" s="2">
        <f>N18</f>
        <v>2</v>
      </c>
      <c r="Q18" s="2" t="s">
        <v>35</v>
      </c>
      <c r="R18" s="2" t="s">
        <v>126</v>
      </c>
      <c r="S18" s="2" t="s">
        <v>47</v>
      </c>
      <c r="U18" s="2">
        <f>P18-N18</f>
        <v>0</v>
      </c>
      <c r="W18" s="30" t="s">
        <v>124</v>
      </c>
      <c r="X18" s="2" t="s">
        <v>82</v>
      </c>
      <c r="Y18" s="6" t="s">
        <v>124</v>
      </c>
      <c r="Z18" s="2" t="s">
        <v>73</v>
      </c>
      <c r="AA18" s="2" t="s">
        <v>125</v>
      </c>
      <c r="AB18" s="2" t="str">
        <f>LEFT(A18,3)</f>
        <v>ARA</v>
      </c>
    </row>
    <row r="19" spans="1:28">
      <c r="A19" s="6" t="s">
        <v>127</v>
      </c>
      <c r="B19" s="6" t="s">
        <v>128</v>
      </c>
      <c r="C19" s="6" t="s">
        <v>129</v>
      </c>
      <c r="D19" s="6" t="s">
        <v>130</v>
      </c>
      <c r="E19" s="6" t="s">
        <v>130</v>
      </c>
      <c r="F19" s="6" t="s">
        <v>130</v>
      </c>
      <c r="G19" s="6" t="s">
        <v>131</v>
      </c>
      <c r="H19" s="2" t="s">
        <v>130</v>
      </c>
      <c r="I19" s="2" t="s">
        <v>34</v>
      </c>
      <c r="J19" s="7">
        <v>459123.95447</v>
      </c>
      <c r="K19" s="7">
        <v>405200.97746000002</v>
      </c>
      <c r="L19" s="8">
        <v>166.56695869999999</v>
      </c>
      <c r="M19" s="8">
        <v>-20.548798925001499</v>
      </c>
      <c r="N19" s="2">
        <v>2</v>
      </c>
      <c r="O19" s="2">
        <v>2</v>
      </c>
      <c r="P19" s="2">
        <v>2</v>
      </c>
      <c r="Q19" s="2" t="s">
        <v>35</v>
      </c>
      <c r="R19" s="2" t="s">
        <v>132</v>
      </c>
      <c r="S19" s="2" t="s">
        <v>47</v>
      </c>
      <c r="U19" s="2">
        <f>P19-N19</f>
        <v>0</v>
      </c>
      <c r="W19" s="30" t="s">
        <v>130</v>
      </c>
      <c r="X19" s="2" t="s">
        <v>82</v>
      </c>
      <c r="Y19" s="6" t="s">
        <v>130</v>
      </c>
      <c r="Z19" s="2" t="s">
        <v>73</v>
      </c>
      <c r="AA19" s="6" t="s">
        <v>131</v>
      </c>
      <c r="AB19" s="2" t="str">
        <f>LEFT(A19,3)</f>
        <v>ATE</v>
      </c>
    </row>
    <row r="20" spans="1:28">
      <c r="A20" s="6" t="s">
        <v>133</v>
      </c>
      <c r="B20" s="6" t="s">
        <v>29</v>
      </c>
      <c r="C20" s="6" t="s">
        <v>30</v>
      </c>
      <c r="D20" s="6" t="s">
        <v>134</v>
      </c>
      <c r="E20" s="2" t="s">
        <v>52</v>
      </c>
      <c r="F20" s="6" t="s">
        <v>135</v>
      </c>
      <c r="G20" s="6" t="s">
        <v>135</v>
      </c>
      <c r="H20" s="6" t="s">
        <v>135</v>
      </c>
      <c r="I20" s="2" t="s">
        <v>53</v>
      </c>
      <c r="J20" s="7">
        <v>445863</v>
      </c>
      <c r="K20" s="7">
        <v>212414</v>
      </c>
      <c r="L20" s="8">
        <v>166.44505899999999</v>
      </c>
      <c r="M20" s="8">
        <v>-22.290464</v>
      </c>
      <c r="N20" s="2">
        <v>3</v>
      </c>
      <c r="O20" s="2">
        <v>6</v>
      </c>
      <c r="P20" s="2">
        <v>9</v>
      </c>
      <c r="Q20" s="2" t="s">
        <v>35</v>
      </c>
      <c r="R20" s="2" t="s">
        <v>136</v>
      </c>
      <c r="S20" s="2" t="s">
        <v>37</v>
      </c>
      <c r="U20" s="2">
        <f>P20-N20</f>
        <v>6</v>
      </c>
      <c r="W20" s="30" t="s">
        <v>52</v>
      </c>
      <c r="X20" s="30" t="s">
        <v>52</v>
      </c>
      <c r="Y20" s="6" t="s">
        <v>135</v>
      </c>
      <c r="Z20" s="2" t="s">
        <v>40</v>
      </c>
      <c r="AA20" s="6" t="s">
        <v>135</v>
      </c>
      <c r="AB20" s="2" t="str">
        <f>LEFT(A20,3)</f>
        <v>AZU</v>
      </c>
    </row>
    <row r="21" spans="1:28">
      <c r="A21" s="10" t="s">
        <v>137</v>
      </c>
      <c r="B21" s="2" t="s">
        <v>56</v>
      </c>
      <c r="C21" s="2" t="s">
        <v>50</v>
      </c>
      <c r="D21" s="2" t="s">
        <v>138</v>
      </c>
      <c r="E21" s="2" t="s">
        <v>52</v>
      </c>
      <c r="F21" s="2" t="s">
        <v>139</v>
      </c>
      <c r="G21" s="2" t="s">
        <v>139</v>
      </c>
      <c r="H21" s="2" t="s">
        <v>139</v>
      </c>
      <c r="I21" s="2" t="s">
        <v>53</v>
      </c>
      <c r="J21" s="11">
        <v>427450</v>
      </c>
      <c r="K21" s="11">
        <v>240208</v>
      </c>
      <c r="L21" s="10">
        <v>166.265919</v>
      </c>
      <c r="M21" s="12">
        <v>-22.039832000000001</v>
      </c>
      <c r="N21" s="2">
        <v>2</v>
      </c>
      <c r="O21" s="2">
        <v>2</v>
      </c>
      <c r="P21" s="2">
        <v>2</v>
      </c>
      <c r="Q21" s="2" t="s">
        <v>35</v>
      </c>
      <c r="R21" s="2" t="s">
        <v>140</v>
      </c>
      <c r="S21" s="2" t="s">
        <v>47</v>
      </c>
      <c r="U21" s="2">
        <v>0</v>
      </c>
      <c r="W21" s="30" t="s">
        <v>52</v>
      </c>
      <c r="X21" s="6" t="s">
        <v>52</v>
      </c>
      <c r="Y21" s="2" t="s">
        <v>139</v>
      </c>
      <c r="Z21" s="2" t="s">
        <v>40</v>
      </c>
      <c r="AA21" s="2" t="s">
        <v>139</v>
      </c>
      <c r="AB21" s="2" t="str">
        <f>LEFT(A21,3)</f>
        <v>BAN</v>
      </c>
    </row>
    <row r="22" spans="1:28">
      <c r="A22" s="2" t="s">
        <v>141</v>
      </c>
      <c r="B22" s="2" t="s">
        <v>142</v>
      </c>
      <c r="C22" s="2" t="s">
        <v>43</v>
      </c>
      <c r="D22" s="6" t="s">
        <v>143</v>
      </c>
      <c r="E22" s="6" t="s">
        <v>143</v>
      </c>
      <c r="F22" s="6" t="s">
        <v>144</v>
      </c>
      <c r="G22" s="6" t="s">
        <v>144</v>
      </c>
      <c r="H22" s="2" t="s">
        <v>143</v>
      </c>
      <c r="I22" s="2" t="s">
        <v>145</v>
      </c>
      <c r="J22" s="7">
        <v>491060</v>
      </c>
      <c r="K22" s="7">
        <v>227560</v>
      </c>
      <c r="L22" s="2">
        <v>166.88281756683</v>
      </c>
      <c r="M22" s="8">
        <v>-22.151948590061401</v>
      </c>
      <c r="N22" s="2">
        <v>2</v>
      </c>
      <c r="O22" s="2">
        <v>2</v>
      </c>
      <c r="P22" s="2">
        <v>2</v>
      </c>
      <c r="Q22" s="2" t="s">
        <v>35</v>
      </c>
      <c r="R22" s="2" t="s">
        <v>146</v>
      </c>
      <c r="S22" s="2" t="s">
        <v>47</v>
      </c>
      <c r="U22" s="2">
        <f>P22-N22</f>
        <v>0</v>
      </c>
      <c r="V22" s="2" t="s">
        <v>102</v>
      </c>
      <c r="W22" s="30" t="s">
        <v>143</v>
      </c>
      <c r="X22" s="2" t="s">
        <v>39</v>
      </c>
      <c r="Y22" s="6" t="s">
        <v>144</v>
      </c>
      <c r="Z22" s="2" t="s">
        <v>40</v>
      </c>
      <c r="AA22" s="6" t="s">
        <v>144</v>
      </c>
      <c r="AB22" s="2" t="str">
        <f>LEFT(A22,3)</f>
        <v>BAR</v>
      </c>
    </row>
    <row r="23" spans="1:28">
      <c r="A23" s="6" t="s">
        <v>147</v>
      </c>
      <c r="B23" s="6" t="s">
        <v>148</v>
      </c>
      <c r="C23" s="6" t="s">
        <v>68</v>
      </c>
      <c r="D23" s="6" t="s">
        <v>149</v>
      </c>
      <c r="E23" s="6" t="s">
        <v>150</v>
      </c>
      <c r="F23" s="6" t="s">
        <v>149</v>
      </c>
      <c r="G23" s="2" t="s">
        <v>149</v>
      </c>
      <c r="H23" s="2" t="s">
        <v>150</v>
      </c>
      <c r="I23" s="2" t="s">
        <v>34</v>
      </c>
      <c r="J23" s="7">
        <v>318992.08286999998</v>
      </c>
      <c r="K23" s="7">
        <v>307321.15281</v>
      </c>
      <c r="L23" s="8">
        <v>165.218499530603</v>
      </c>
      <c r="M23" s="8">
        <v>-21.432044230025198</v>
      </c>
      <c r="N23" s="2">
        <v>3</v>
      </c>
      <c r="O23" s="2">
        <v>3</v>
      </c>
      <c r="P23" s="2">
        <v>6</v>
      </c>
      <c r="Q23" s="2" t="s">
        <v>151</v>
      </c>
      <c r="R23" s="2" t="s">
        <v>152</v>
      </c>
      <c r="S23" s="2" t="s">
        <v>47</v>
      </c>
      <c r="U23" s="2">
        <f>P23-N23</f>
        <v>3</v>
      </c>
      <c r="W23" s="30" t="s">
        <v>150</v>
      </c>
      <c r="X23" s="2" t="s">
        <v>82</v>
      </c>
      <c r="Y23" s="6" t="s">
        <v>149</v>
      </c>
      <c r="Z23" s="2" t="s">
        <v>73</v>
      </c>
      <c r="AA23" s="2" t="s">
        <v>149</v>
      </c>
      <c r="AB23" s="2" t="str">
        <f>LEFT(A23,3)</f>
        <v>BAU</v>
      </c>
    </row>
    <row r="24" spans="1:28">
      <c r="A24" s="2" t="s">
        <v>153</v>
      </c>
      <c r="B24" s="2" t="s">
        <v>104</v>
      </c>
      <c r="C24" s="2" t="s">
        <v>68</v>
      </c>
      <c r="D24" s="2" t="s">
        <v>154</v>
      </c>
      <c r="E24" s="2" t="s">
        <v>52</v>
      </c>
      <c r="F24" s="2" t="s">
        <v>155</v>
      </c>
      <c r="G24" s="2" t="s">
        <v>155</v>
      </c>
      <c r="H24" s="2" t="s">
        <v>155</v>
      </c>
      <c r="I24" s="2" t="s">
        <v>53</v>
      </c>
      <c r="J24" s="7">
        <v>338279</v>
      </c>
      <c r="K24" s="7">
        <v>360942</v>
      </c>
      <c r="L24" s="2">
        <v>165.406526854015</v>
      </c>
      <c r="M24" s="8">
        <v>-20.948476692243499</v>
      </c>
      <c r="N24" s="2">
        <v>2</v>
      </c>
      <c r="O24" s="2">
        <v>2</v>
      </c>
      <c r="P24" s="2">
        <v>2</v>
      </c>
      <c r="Q24" s="2" t="s">
        <v>35</v>
      </c>
      <c r="R24" s="2" t="s">
        <v>156</v>
      </c>
      <c r="S24" s="2" t="s">
        <v>47</v>
      </c>
      <c r="U24" s="2">
        <f>P24-N24</f>
        <v>0</v>
      </c>
      <c r="W24" s="30" t="s">
        <v>52</v>
      </c>
      <c r="X24" s="6" t="s">
        <v>52</v>
      </c>
      <c r="Y24" s="2" t="s">
        <v>155</v>
      </c>
      <c r="Z24" s="2" t="s">
        <v>73</v>
      </c>
      <c r="AA24" s="2" t="s">
        <v>155</v>
      </c>
      <c r="AB24" s="2" t="str">
        <f>LEFT(A24,3)</f>
        <v>BAY</v>
      </c>
    </row>
    <row r="25" spans="1:28">
      <c r="A25" s="6" t="s">
        <v>157</v>
      </c>
      <c r="B25" s="6" t="s">
        <v>67</v>
      </c>
      <c r="C25" s="6" t="s">
        <v>68</v>
      </c>
      <c r="D25" s="6" t="s">
        <v>158</v>
      </c>
      <c r="E25" s="2" t="s">
        <v>52</v>
      </c>
      <c r="F25" s="6" t="s">
        <v>159</v>
      </c>
      <c r="G25" s="6" t="s">
        <v>159</v>
      </c>
      <c r="H25" s="6" t="s">
        <v>159</v>
      </c>
      <c r="I25" s="2" t="s">
        <v>53</v>
      </c>
      <c r="J25" s="7">
        <v>286672</v>
      </c>
      <c r="K25" s="7">
        <v>348891</v>
      </c>
      <c r="L25" s="8">
        <v>164.90950799999999</v>
      </c>
      <c r="M25" s="8">
        <v>-21.054817</v>
      </c>
      <c r="N25" s="2">
        <v>3</v>
      </c>
      <c r="O25" s="2">
        <v>3</v>
      </c>
      <c r="P25" s="2">
        <v>3</v>
      </c>
      <c r="Q25" s="2" t="s">
        <v>35</v>
      </c>
      <c r="R25" s="2" t="s">
        <v>160</v>
      </c>
      <c r="S25" s="2" t="s">
        <v>47</v>
      </c>
      <c r="U25" s="2">
        <f>P25-N25</f>
        <v>0</v>
      </c>
      <c r="W25" s="30" t="s">
        <v>52</v>
      </c>
      <c r="X25" s="2" t="s">
        <v>52</v>
      </c>
      <c r="Y25" s="6" t="s">
        <v>159</v>
      </c>
      <c r="Z25" s="2" t="s">
        <v>73</v>
      </c>
      <c r="AA25" s="6" t="s">
        <v>159</v>
      </c>
      <c r="AB25" s="2" t="str">
        <f>LEFT(A25,3)</f>
        <v>BCB</v>
      </c>
    </row>
    <row r="26" spans="1:28">
      <c r="A26" s="6" t="s">
        <v>161</v>
      </c>
      <c r="B26" s="6" t="s">
        <v>67</v>
      </c>
      <c r="C26" s="6" t="s">
        <v>68</v>
      </c>
      <c r="D26" s="6" t="s">
        <v>162</v>
      </c>
      <c r="E26" s="6" t="s">
        <v>162</v>
      </c>
      <c r="F26" s="6" t="s">
        <v>162</v>
      </c>
      <c r="G26" s="2" t="s">
        <v>163</v>
      </c>
      <c r="H26" s="2" t="s">
        <v>163</v>
      </c>
      <c r="I26" s="2" t="s">
        <v>53</v>
      </c>
      <c r="J26" s="7">
        <v>287252.93001000001</v>
      </c>
      <c r="K26" s="7">
        <v>349502.99563000002</v>
      </c>
      <c r="L26" s="8">
        <v>164.91513947761101</v>
      </c>
      <c r="M26" s="8">
        <v>-21.049325577074701</v>
      </c>
      <c r="N26" s="2">
        <v>3</v>
      </c>
      <c r="O26" s="2">
        <v>3</v>
      </c>
      <c r="P26" s="2">
        <v>6</v>
      </c>
      <c r="Q26" s="2" t="s">
        <v>35</v>
      </c>
      <c r="R26" s="2" t="s">
        <v>164</v>
      </c>
      <c r="S26" s="2" t="s">
        <v>47</v>
      </c>
      <c r="U26" s="2">
        <f>P26-N26</f>
        <v>3</v>
      </c>
      <c r="W26" s="30" t="s">
        <v>162</v>
      </c>
      <c r="X26" s="2" t="s">
        <v>82</v>
      </c>
      <c r="Y26" s="6" t="s">
        <v>163</v>
      </c>
      <c r="Z26" s="2" t="s">
        <v>73</v>
      </c>
      <c r="AA26" s="2" t="s">
        <v>163</v>
      </c>
      <c r="AB26" s="2" t="str">
        <f>LEFT(A26,3)</f>
        <v>BCR</v>
      </c>
    </row>
    <row r="27" spans="1:28">
      <c r="A27" s="2" t="s">
        <v>165</v>
      </c>
      <c r="B27" s="2" t="s">
        <v>29</v>
      </c>
      <c r="C27" s="2" t="s">
        <v>30</v>
      </c>
      <c r="D27" s="2" t="s">
        <v>166</v>
      </c>
      <c r="E27" s="2" t="s">
        <v>52</v>
      </c>
      <c r="F27" s="2" t="s">
        <v>167</v>
      </c>
      <c r="G27" s="2" t="s">
        <v>167</v>
      </c>
      <c r="H27" s="2" t="s">
        <v>167</v>
      </c>
      <c r="I27" s="2" t="s">
        <v>53</v>
      </c>
      <c r="J27" s="7">
        <v>445293</v>
      </c>
      <c r="K27" s="7">
        <v>211394</v>
      </c>
      <c r="L27" s="9">
        <v>166.43956</v>
      </c>
      <c r="M27" s="9">
        <v>-22.299689999999998</v>
      </c>
      <c r="N27" s="2">
        <v>1</v>
      </c>
      <c r="O27" s="2">
        <v>1</v>
      </c>
      <c r="P27" s="2">
        <v>1</v>
      </c>
      <c r="Q27" s="2" t="s">
        <v>35</v>
      </c>
      <c r="R27" s="2" t="s">
        <v>166</v>
      </c>
      <c r="S27" s="2" t="s">
        <v>37</v>
      </c>
      <c r="U27" s="2">
        <f>P27-N27</f>
        <v>0</v>
      </c>
      <c r="W27" s="30" t="s">
        <v>52</v>
      </c>
      <c r="X27" s="6" t="s">
        <v>52</v>
      </c>
      <c r="Y27" s="2" t="s">
        <v>167</v>
      </c>
      <c r="Z27" s="2" t="s">
        <v>40</v>
      </c>
      <c r="AA27" s="2" t="s">
        <v>167</v>
      </c>
      <c r="AB27" s="2" t="str">
        <f>LEFT(A27,3)</f>
        <v>BDC</v>
      </c>
    </row>
    <row r="28" spans="1:28">
      <c r="A28" s="2" t="s">
        <v>168</v>
      </c>
      <c r="B28" s="2" t="s">
        <v>56</v>
      </c>
      <c r="C28" s="2" t="s">
        <v>50</v>
      </c>
      <c r="D28" s="2" t="s">
        <v>169</v>
      </c>
      <c r="E28" s="6" t="s">
        <v>52</v>
      </c>
      <c r="F28" s="2" t="s">
        <v>170</v>
      </c>
      <c r="G28" s="2" t="s">
        <v>170</v>
      </c>
      <c r="H28" s="2" t="s">
        <v>170</v>
      </c>
      <c r="I28" s="2" t="s">
        <v>53</v>
      </c>
      <c r="J28" s="7">
        <v>434768</v>
      </c>
      <c r="K28" s="7">
        <v>230577</v>
      </c>
      <c r="L28" s="8">
        <v>166.33700999999999</v>
      </c>
      <c r="M28" s="8">
        <v>-22.12669</v>
      </c>
      <c r="N28" s="2">
        <v>1</v>
      </c>
      <c r="O28" s="2">
        <v>1</v>
      </c>
      <c r="P28" s="2">
        <v>1</v>
      </c>
      <c r="Q28" s="2" t="s">
        <v>35</v>
      </c>
      <c r="R28" s="2" t="s">
        <v>171</v>
      </c>
      <c r="S28" s="2" t="s">
        <v>37</v>
      </c>
      <c r="U28" s="2">
        <f>P28-N28</f>
        <v>0</v>
      </c>
      <c r="W28" s="30" t="s">
        <v>52</v>
      </c>
      <c r="X28" s="6" t="s">
        <v>52</v>
      </c>
      <c r="Y28" s="2" t="s">
        <v>170</v>
      </c>
      <c r="Z28" s="2" t="s">
        <v>40</v>
      </c>
      <c r="AA28" s="2" t="s">
        <v>170</v>
      </c>
      <c r="AB28" s="2" t="str">
        <f>LEFT(A28,3)</f>
        <v>BEA</v>
      </c>
    </row>
    <row r="29" spans="1:28">
      <c r="A29" s="6" t="s">
        <v>172</v>
      </c>
      <c r="B29" s="6" t="s">
        <v>173</v>
      </c>
      <c r="C29" s="6" t="s">
        <v>68</v>
      </c>
      <c r="D29" s="6" t="s">
        <v>174</v>
      </c>
      <c r="E29" s="6" t="s">
        <v>175</v>
      </c>
      <c r="F29" s="6" t="s">
        <v>174</v>
      </c>
      <c r="G29" s="2" t="s">
        <v>174</v>
      </c>
      <c r="H29" s="2" t="s">
        <v>123</v>
      </c>
      <c r="I29" s="2" t="s">
        <v>34</v>
      </c>
      <c r="J29" s="7">
        <v>153360.75</v>
      </c>
      <c r="K29" s="7">
        <v>496085.375</v>
      </c>
      <c r="L29" s="8">
        <v>163.648180248632</v>
      </c>
      <c r="M29" s="8">
        <v>-19.712215489677298</v>
      </c>
      <c r="N29" s="2">
        <v>2</v>
      </c>
      <c r="O29" s="2">
        <v>4</v>
      </c>
      <c r="P29" s="2">
        <v>2</v>
      </c>
      <c r="Q29" s="2" t="s">
        <v>35</v>
      </c>
      <c r="R29" s="2" t="s">
        <v>176</v>
      </c>
      <c r="S29" s="2" t="s">
        <v>47</v>
      </c>
      <c r="U29" s="2">
        <f>P29-N29</f>
        <v>0</v>
      </c>
      <c r="W29" s="30" t="s">
        <v>175</v>
      </c>
      <c r="X29" s="2" t="s">
        <v>82</v>
      </c>
      <c r="Y29" s="6" t="s">
        <v>174</v>
      </c>
      <c r="Z29" s="2" t="s">
        <v>73</v>
      </c>
      <c r="AA29" s="2" t="s">
        <v>174</v>
      </c>
      <c r="AB29" s="2" t="str">
        <f>LEFT(A29,3)</f>
        <v>BEL</v>
      </c>
    </row>
    <row r="30" spans="1:28">
      <c r="A30" s="6" t="s">
        <v>177</v>
      </c>
      <c r="B30" s="6" t="s">
        <v>178</v>
      </c>
      <c r="C30" s="6" t="s">
        <v>68</v>
      </c>
      <c r="D30" s="6" t="s">
        <v>179</v>
      </c>
      <c r="E30" s="6" t="s">
        <v>180</v>
      </c>
      <c r="F30" s="6" t="s">
        <v>181</v>
      </c>
      <c r="G30" s="6" t="s">
        <v>181</v>
      </c>
      <c r="H30" s="2" t="s">
        <v>182</v>
      </c>
      <c r="I30" s="2" t="s">
        <v>53</v>
      </c>
      <c r="J30" s="7">
        <v>300122.62128000002</v>
      </c>
      <c r="K30" s="7">
        <v>330473.44559999998</v>
      </c>
      <c r="L30" s="8">
        <v>165.03784532888201</v>
      </c>
      <c r="M30" s="8">
        <v>-21.221974434441599</v>
      </c>
      <c r="N30" s="2">
        <v>1</v>
      </c>
      <c r="O30" s="2">
        <v>1</v>
      </c>
      <c r="P30" s="2">
        <v>1</v>
      </c>
      <c r="Q30" s="2" t="s">
        <v>35</v>
      </c>
      <c r="R30" s="2" t="s">
        <v>183</v>
      </c>
      <c r="S30" s="2" t="s">
        <v>47</v>
      </c>
      <c r="U30" s="2">
        <f>P30-N30</f>
        <v>0</v>
      </c>
      <c r="W30" s="30" t="s">
        <v>180</v>
      </c>
      <c r="X30" s="2" t="s">
        <v>82</v>
      </c>
      <c r="Y30" s="6" t="s">
        <v>181</v>
      </c>
      <c r="Z30" s="2" t="s">
        <v>73</v>
      </c>
      <c r="AA30" s="6" t="s">
        <v>181</v>
      </c>
      <c r="AB30" s="2" t="str">
        <f>LEFT(A30,3)</f>
        <v>BER</v>
      </c>
    </row>
    <row r="31" spans="1:28">
      <c r="A31" s="6" t="s">
        <v>184</v>
      </c>
      <c r="B31" s="6" t="s">
        <v>29</v>
      </c>
      <c r="C31" s="6" t="s">
        <v>30</v>
      </c>
      <c r="D31" s="6" t="s">
        <v>185</v>
      </c>
      <c r="E31" s="30" t="s">
        <v>52</v>
      </c>
      <c r="F31" s="6" t="s">
        <v>186</v>
      </c>
      <c r="G31" s="2" t="s">
        <v>187</v>
      </c>
      <c r="H31" s="2" t="s">
        <v>188</v>
      </c>
      <c r="I31" s="2" t="s">
        <v>34</v>
      </c>
      <c r="J31" s="7">
        <v>446556.24729000003</v>
      </c>
      <c r="K31" s="7">
        <v>214191.84987999999</v>
      </c>
      <c r="L31" s="8">
        <v>166.451733804155</v>
      </c>
      <c r="M31" s="8">
        <v>-22.274389191381299</v>
      </c>
      <c r="N31" s="2">
        <v>1</v>
      </c>
      <c r="O31" s="2">
        <v>2</v>
      </c>
      <c r="P31" s="2">
        <v>2</v>
      </c>
      <c r="Q31" s="2" t="s">
        <v>35</v>
      </c>
      <c r="R31" s="2" t="s">
        <v>189</v>
      </c>
      <c r="S31" s="2" t="s">
        <v>37</v>
      </c>
      <c r="U31" s="2">
        <f>P31-N31</f>
        <v>1</v>
      </c>
      <c r="W31" s="30" t="s">
        <v>52</v>
      </c>
      <c r="X31" s="2" t="s">
        <v>39</v>
      </c>
      <c r="Y31" s="6" t="s">
        <v>186</v>
      </c>
      <c r="Z31" s="2" t="s">
        <v>40</v>
      </c>
      <c r="AA31" s="2" t="s">
        <v>187</v>
      </c>
      <c r="AB31" s="2" t="str">
        <f>LEFT(A31,3)</f>
        <v>BGE</v>
      </c>
    </row>
    <row r="32" spans="1:28">
      <c r="A32" s="6" t="s">
        <v>190</v>
      </c>
      <c r="B32" s="6" t="s">
        <v>191</v>
      </c>
      <c r="C32" s="6" t="s">
        <v>43</v>
      </c>
      <c r="D32" s="6" t="s">
        <v>192</v>
      </c>
      <c r="E32" s="6" t="s">
        <v>193</v>
      </c>
      <c r="F32" s="6" t="s">
        <v>194</v>
      </c>
      <c r="G32" s="6" t="s">
        <v>194</v>
      </c>
      <c r="H32" s="6" t="s">
        <v>194</v>
      </c>
      <c r="I32" s="2" t="s">
        <v>34</v>
      </c>
      <c r="J32" s="7">
        <v>367195.04664999997</v>
      </c>
      <c r="K32" s="7">
        <v>291141.89831000002</v>
      </c>
      <c r="L32" s="8">
        <v>165.68320506058899</v>
      </c>
      <c r="M32" s="8">
        <v>-21.579708792681501</v>
      </c>
      <c r="N32" s="2">
        <v>2</v>
      </c>
      <c r="O32" s="2">
        <v>2</v>
      </c>
      <c r="P32" s="2">
        <v>2</v>
      </c>
      <c r="Q32" s="2" t="s">
        <v>195</v>
      </c>
      <c r="R32" s="2" t="s">
        <v>196</v>
      </c>
      <c r="S32" s="2" t="s">
        <v>47</v>
      </c>
      <c r="U32" s="2">
        <f>P32-N32</f>
        <v>0</v>
      </c>
      <c r="V32" s="2" t="s">
        <v>197</v>
      </c>
      <c r="W32" s="30" t="s">
        <v>193</v>
      </c>
      <c r="X32" s="2" t="s">
        <v>82</v>
      </c>
      <c r="Y32" s="6" t="s">
        <v>194</v>
      </c>
      <c r="Z32" s="2" t="s">
        <v>73</v>
      </c>
      <c r="AA32" s="6" t="s">
        <v>194</v>
      </c>
      <c r="AB32" s="2" t="str">
        <f>LEFT(A32,3)</f>
        <v>BGR</v>
      </c>
    </row>
    <row r="33" spans="1:28">
      <c r="A33" s="6" t="s">
        <v>198</v>
      </c>
      <c r="B33" s="6" t="s">
        <v>29</v>
      </c>
      <c r="C33" s="6" t="s">
        <v>30</v>
      </c>
      <c r="D33" s="6" t="s">
        <v>199</v>
      </c>
      <c r="E33" s="6" t="s">
        <v>200</v>
      </c>
      <c r="F33" s="6" t="s">
        <v>199</v>
      </c>
      <c r="G33" s="2" t="s">
        <v>199</v>
      </c>
      <c r="H33" s="2" t="s">
        <v>200</v>
      </c>
      <c r="I33" s="2" t="s">
        <v>34</v>
      </c>
      <c r="J33" s="7">
        <v>445856.19222999999</v>
      </c>
      <c r="K33" s="7">
        <v>211544.28594999999</v>
      </c>
      <c r="L33" s="8">
        <v>166.44501486903101</v>
      </c>
      <c r="M33" s="8">
        <v>-22.298320627619301</v>
      </c>
      <c r="N33" s="2">
        <v>1</v>
      </c>
      <c r="O33" s="2">
        <v>2</v>
      </c>
      <c r="P33" s="2">
        <f>N33</f>
        <v>1</v>
      </c>
      <c r="Q33" s="2" t="s">
        <v>35</v>
      </c>
      <c r="R33" s="2" t="s">
        <v>201</v>
      </c>
      <c r="S33" s="2" t="s">
        <v>37</v>
      </c>
      <c r="U33" s="2">
        <f>P33-N33</f>
        <v>0</v>
      </c>
      <c r="W33" s="30" t="s">
        <v>52</v>
      </c>
      <c r="X33" s="2" t="s">
        <v>39</v>
      </c>
      <c r="Y33" s="6" t="s">
        <v>199</v>
      </c>
      <c r="Z33" s="2" t="s">
        <v>40</v>
      </c>
      <c r="AA33" s="2" t="s">
        <v>199</v>
      </c>
      <c r="AB33" s="2" t="str">
        <f>LEFT(A33,3)</f>
        <v>BGV</v>
      </c>
    </row>
    <row r="34" spans="1:28">
      <c r="A34" s="6" t="s">
        <v>202</v>
      </c>
      <c r="B34" s="6" t="s">
        <v>29</v>
      </c>
      <c r="C34" s="6" t="s">
        <v>30</v>
      </c>
      <c r="D34" s="6" t="s">
        <v>203</v>
      </c>
      <c r="E34" s="6" t="s">
        <v>203</v>
      </c>
      <c r="F34" s="6" t="s">
        <v>204</v>
      </c>
      <c r="G34" s="2" t="s">
        <v>204</v>
      </c>
      <c r="H34" s="2" t="s">
        <v>204</v>
      </c>
      <c r="I34" s="2" t="s">
        <v>53</v>
      </c>
      <c r="J34" s="7">
        <v>442817.78087999998</v>
      </c>
      <c r="K34" s="7">
        <v>218223.32876</v>
      </c>
      <c r="L34" s="8">
        <v>166.415360170106</v>
      </c>
      <c r="M34" s="8">
        <v>-22.238079641985401</v>
      </c>
      <c r="N34" s="2">
        <v>3</v>
      </c>
      <c r="O34" s="2">
        <v>6</v>
      </c>
      <c r="P34" s="2">
        <f>N34</f>
        <v>3</v>
      </c>
      <c r="Q34" s="2" t="s">
        <v>35</v>
      </c>
      <c r="R34" s="2" t="s">
        <v>203</v>
      </c>
      <c r="S34" s="2" t="s">
        <v>37</v>
      </c>
      <c r="T34" s="2" t="s">
        <v>205</v>
      </c>
      <c r="U34" s="2">
        <f>P34-N34</f>
        <v>0</v>
      </c>
      <c r="W34" s="30" t="s">
        <v>52</v>
      </c>
      <c r="X34" s="2" t="s">
        <v>52</v>
      </c>
      <c r="Y34" s="6" t="s">
        <v>204</v>
      </c>
      <c r="Z34" s="2" t="s">
        <v>40</v>
      </c>
      <c r="AA34" s="6" t="s">
        <v>204</v>
      </c>
      <c r="AB34" s="2" t="str">
        <f>LEFT(A34,3)</f>
        <v>BHP</v>
      </c>
    </row>
    <row r="35" spans="1:28">
      <c r="A35" s="2" t="s">
        <v>206</v>
      </c>
      <c r="B35" s="2" t="s">
        <v>207</v>
      </c>
      <c r="C35" s="2" t="s">
        <v>43</v>
      </c>
      <c r="D35" s="2" t="s">
        <v>207</v>
      </c>
      <c r="E35" s="2" t="s">
        <v>207</v>
      </c>
      <c r="F35" s="2" t="s">
        <v>207</v>
      </c>
      <c r="G35" s="2" t="s">
        <v>208</v>
      </c>
      <c r="H35" s="2" t="s">
        <v>207</v>
      </c>
      <c r="I35" s="2" t="s">
        <v>34</v>
      </c>
      <c r="J35" s="7">
        <v>404959</v>
      </c>
      <c r="K35" s="7">
        <v>259418</v>
      </c>
      <c r="L35" s="8">
        <v>166.04798271471699</v>
      </c>
      <c r="M35" s="8">
        <v>-21.8665374290313</v>
      </c>
      <c r="N35" s="2">
        <v>3</v>
      </c>
      <c r="O35" s="2">
        <v>6</v>
      </c>
      <c r="P35" s="2">
        <v>6</v>
      </c>
      <c r="Q35" s="2" t="s">
        <v>35</v>
      </c>
      <c r="R35" s="2" t="s">
        <v>209</v>
      </c>
      <c r="S35" s="2" t="s">
        <v>47</v>
      </c>
      <c r="U35" s="2">
        <f>P35-N35</f>
        <v>3</v>
      </c>
      <c r="W35" s="30" t="s">
        <v>207</v>
      </c>
      <c r="X35" s="2" t="s">
        <v>39</v>
      </c>
      <c r="Y35" s="2" t="s">
        <v>207</v>
      </c>
      <c r="Z35" s="2" t="s">
        <v>40</v>
      </c>
      <c r="AA35" s="2" t="s">
        <v>208</v>
      </c>
      <c r="AB35" s="2" t="str">
        <f>LEFT(A35,3)</f>
        <v>BLP</v>
      </c>
    </row>
    <row r="36" spans="1:28">
      <c r="A36" s="6" t="s">
        <v>210</v>
      </c>
      <c r="B36" s="6" t="s">
        <v>93</v>
      </c>
      <c r="C36" s="6" t="s">
        <v>50</v>
      </c>
      <c r="D36" s="6" t="s">
        <v>211</v>
      </c>
      <c r="E36" s="6" t="s">
        <v>211</v>
      </c>
      <c r="F36" s="6" t="s">
        <v>211</v>
      </c>
      <c r="G36" s="2" t="s">
        <v>212</v>
      </c>
      <c r="H36" s="2" t="s">
        <v>213</v>
      </c>
      <c r="I36" s="2" t="s">
        <v>34</v>
      </c>
      <c r="J36" s="7">
        <v>454017.56309000001</v>
      </c>
      <c r="K36" s="7">
        <v>219827.56536000001</v>
      </c>
      <c r="L36" s="8">
        <v>166.52395394561501</v>
      </c>
      <c r="M36" s="8">
        <v>-22.223281203979099</v>
      </c>
      <c r="N36" s="2">
        <v>1</v>
      </c>
      <c r="O36" s="2">
        <v>2</v>
      </c>
      <c r="P36" s="2">
        <f>N36</f>
        <v>1</v>
      </c>
      <c r="Q36" s="2" t="s">
        <v>35</v>
      </c>
      <c r="R36" s="2" t="s">
        <v>214</v>
      </c>
      <c r="S36" s="2" t="s">
        <v>37</v>
      </c>
      <c r="U36" s="2">
        <f>P36-N36</f>
        <v>0</v>
      </c>
      <c r="W36" s="30" t="s">
        <v>52</v>
      </c>
      <c r="X36" s="2" t="s">
        <v>39</v>
      </c>
      <c r="Y36" s="6" t="s">
        <v>211</v>
      </c>
      <c r="Z36" s="2" t="s">
        <v>40</v>
      </c>
      <c r="AA36" s="2" t="s">
        <v>212</v>
      </c>
      <c r="AB36" s="2" t="str">
        <f>LEFT(A36,3)</f>
        <v>BLR</v>
      </c>
    </row>
    <row r="37" spans="1:28">
      <c r="A37" s="6" t="s">
        <v>215</v>
      </c>
      <c r="B37" s="6" t="s">
        <v>191</v>
      </c>
      <c r="C37" s="6" t="s">
        <v>43</v>
      </c>
      <c r="D37" s="6" t="s">
        <v>216</v>
      </c>
      <c r="E37" s="6" t="s">
        <v>52</v>
      </c>
      <c r="F37" s="6" t="s">
        <v>217</v>
      </c>
      <c r="G37" s="6" t="s">
        <v>217</v>
      </c>
      <c r="H37" s="6" t="s">
        <v>217</v>
      </c>
      <c r="I37" s="2" t="s">
        <v>53</v>
      </c>
      <c r="J37" s="7">
        <v>349183</v>
      </c>
      <c r="K37" s="7">
        <v>304097</v>
      </c>
      <c r="L37" s="8">
        <v>165.509658</v>
      </c>
      <c r="M37" s="8">
        <v>-21.462274000000001</v>
      </c>
      <c r="N37" s="2">
        <v>3</v>
      </c>
      <c r="O37" s="2">
        <v>3</v>
      </c>
      <c r="P37" s="2">
        <v>3</v>
      </c>
      <c r="Q37" s="2" t="s">
        <v>35</v>
      </c>
      <c r="R37" s="2" t="s">
        <v>218</v>
      </c>
      <c r="S37" s="2" t="s">
        <v>47</v>
      </c>
      <c r="U37" s="2">
        <f>P37-N37</f>
        <v>0</v>
      </c>
      <c r="W37" s="30" t="s">
        <v>52</v>
      </c>
      <c r="X37" s="2" t="s">
        <v>52</v>
      </c>
      <c r="Y37" s="6" t="s">
        <v>217</v>
      </c>
      <c r="Z37" s="2" t="s">
        <v>73</v>
      </c>
      <c r="AA37" s="6" t="s">
        <v>217</v>
      </c>
      <c r="AB37" s="2" t="str">
        <f>LEFT(A37,3)</f>
        <v>BMN</v>
      </c>
    </row>
    <row r="38" spans="1:28">
      <c r="A38" s="6" t="s">
        <v>219</v>
      </c>
      <c r="B38" s="6" t="s">
        <v>93</v>
      </c>
      <c r="C38" s="6" t="s">
        <v>50</v>
      </c>
      <c r="D38" s="6" t="s">
        <v>220</v>
      </c>
      <c r="E38" s="6" t="s">
        <v>220</v>
      </c>
      <c r="F38" s="6" t="s">
        <v>220</v>
      </c>
      <c r="G38" s="2" t="s">
        <v>221</v>
      </c>
      <c r="H38" s="2" t="s">
        <v>220</v>
      </c>
      <c r="I38" s="2" t="s">
        <v>34</v>
      </c>
      <c r="J38" s="7">
        <v>453486.01405</v>
      </c>
      <c r="K38" s="7">
        <v>219277.94727</v>
      </c>
      <c r="L38" s="8">
        <v>166.518811492021</v>
      </c>
      <c r="M38" s="8">
        <v>-22.228264214098999</v>
      </c>
      <c r="N38" s="2">
        <v>3</v>
      </c>
      <c r="O38" s="2">
        <v>6</v>
      </c>
      <c r="P38" s="2">
        <f>N38</f>
        <v>3</v>
      </c>
      <c r="Q38" s="2" t="s">
        <v>35</v>
      </c>
      <c r="R38" s="2" t="s">
        <v>222</v>
      </c>
      <c r="S38" s="2" t="s">
        <v>37</v>
      </c>
      <c r="U38" s="2">
        <f>P38-N38</f>
        <v>0</v>
      </c>
      <c r="W38" s="30" t="s">
        <v>220</v>
      </c>
      <c r="X38" s="2" t="s">
        <v>39</v>
      </c>
      <c r="Y38" s="6" t="s">
        <v>220</v>
      </c>
      <c r="Z38" s="2" t="s">
        <v>40</v>
      </c>
      <c r="AA38" s="2" t="s">
        <v>221</v>
      </c>
      <c r="AB38" s="2" t="str">
        <f>LEFT(A38,3)</f>
        <v>BOE</v>
      </c>
    </row>
    <row r="39" spans="1:28">
      <c r="A39" s="6" t="s">
        <v>223</v>
      </c>
      <c r="B39" s="6" t="s">
        <v>224</v>
      </c>
      <c r="C39" s="6" t="s">
        <v>68</v>
      </c>
      <c r="D39" s="6" t="s">
        <v>225</v>
      </c>
      <c r="E39" s="6" t="s">
        <v>225</v>
      </c>
      <c r="F39" s="6" t="s">
        <v>226</v>
      </c>
      <c r="G39" s="2" t="s">
        <v>227</v>
      </c>
      <c r="H39" s="2" t="s">
        <v>228</v>
      </c>
      <c r="I39" s="2" t="s">
        <v>34</v>
      </c>
      <c r="J39" s="7">
        <v>237530.96265</v>
      </c>
      <c r="K39" s="7">
        <v>418057.63932000002</v>
      </c>
      <c r="L39" s="8">
        <v>164.443305862475</v>
      </c>
      <c r="M39" s="8">
        <v>-20.426334906769899</v>
      </c>
      <c r="N39" s="2">
        <v>3</v>
      </c>
      <c r="O39" s="2">
        <v>3</v>
      </c>
      <c r="P39" s="2">
        <f>N39</f>
        <v>3</v>
      </c>
      <c r="Q39" s="2" t="s">
        <v>35</v>
      </c>
      <c r="R39" s="2" t="s">
        <v>229</v>
      </c>
      <c r="S39" s="2" t="s">
        <v>47</v>
      </c>
      <c r="U39" s="2">
        <f>P39-N39</f>
        <v>0</v>
      </c>
      <c r="W39" s="30" t="s">
        <v>225</v>
      </c>
      <c r="X39" s="2" t="s">
        <v>82</v>
      </c>
      <c r="Y39" s="6" t="s">
        <v>226</v>
      </c>
      <c r="Z39" s="2" t="s">
        <v>73</v>
      </c>
      <c r="AA39" s="2" t="s">
        <v>227</v>
      </c>
      <c r="AB39" s="2" t="str">
        <f>LEFT(A39,3)</f>
        <v>BON</v>
      </c>
    </row>
    <row r="40" spans="1:28">
      <c r="A40" s="6" t="s">
        <v>230</v>
      </c>
      <c r="B40" s="6" t="s">
        <v>67</v>
      </c>
      <c r="C40" s="6" t="s">
        <v>68</v>
      </c>
      <c r="D40" s="6" t="s">
        <v>231</v>
      </c>
      <c r="E40" s="6" t="s">
        <v>231</v>
      </c>
      <c r="F40" s="6" t="s">
        <v>231</v>
      </c>
      <c r="G40" s="2" t="s">
        <v>232</v>
      </c>
      <c r="H40" s="2" t="s">
        <v>231</v>
      </c>
      <c r="I40" s="2" t="s">
        <v>34</v>
      </c>
      <c r="J40" s="7">
        <v>303260.09172000003</v>
      </c>
      <c r="K40" s="7">
        <v>364568.72976999998</v>
      </c>
      <c r="L40" s="8">
        <v>165.070018546939</v>
      </c>
      <c r="M40" s="8">
        <v>-20.914174484194401</v>
      </c>
      <c r="N40" s="2">
        <v>2</v>
      </c>
      <c r="O40" s="2">
        <v>2</v>
      </c>
      <c r="P40" s="2">
        <v>2</v>
      </c>
      <c r="Q40" s="2" t="s">
        <v>35</v>
      </c>
      <c r="R40" s="2" t="s">
        <v>233</v>
      </c>
      <c r="S40" s="2" t="s">
        <v>47</v>
      </c>
      <c r="U40" s="2">
        <f>P40-N40</f>
        <v>0</v>
      </c>
      <c r="W40" s="30" t="s">
        <v>231</v>
      </c>
      <c r="X40" s="2" t="s">
        <v>82</v>
      </c>
      <c r="Y40" s="6" t="s">
        <v>231</v>
      </c>
      <c r="Z40" s="2" t="s">
        <v>73</v>
      </c>
      <c r="AA40" s="2" t="s">
        <v>232</v>
      </c>
      <c r="AB40" s="2" t="str">
        <f>LEFT(A40,3)</f>
        <v>BOP</v>
      </c>
    </row>
    <row r="41" spans="1:28">
      <c r="A41" s="6" t="s">
        <v>234</v>
      </c>
      <c r="B41" s="6" t="s">
        <v>191</v>
      </c>
      <c r="C41" s="6" t="s">
        <v>43</v>
      </c>
      <c r="D41" s="6" t="s">
        <v>235</v>
      </c>
      <c r="E41" s="6" t="s">
        <v>235</v>
      </c>
      <c r="F41" s="6" t="s">
        <v>235</v>
      </c>
      <c r="G41" s="2" t="s">
        <v>236</v>
      </c>
      <c r="H41" s="2" t="s">
        <v>235</v>
      </c>
      <c r="I41" s="2" t="s">
        <v>34</v>
      </c>
      <c r="J41" s="7">
        <v>348707.96882000001</v>
      </c>
      <c r="K41" s="7">
        <v>306116.14143999998</v>
      </c>
      <c r="L41" s="8">
        <v>165.505136490316</v>
      </c>
      <c r="M41" s="8">
        <v>-21.4440240674029</v>
      </c>
      <c r="N41" s="2">
        <v>3</v>
      </c>
      <c r="O41" s="2">
        <v>4</v>
      </c>
      <c r="P41" s="2">
        <v>6</v>
      </c>
      <c r="Q41" s="2" t="s">
        <v>35</v>
      </c>
      <c r="R41" s="2" t="s">
        <v>237</v>
      </c>
      <c r="S41" s="2" t="s">
        <v>47</v>
      </c>
      <c r="U41" s="2">
        <f>P41-N41</f>
        <v>3</v>
      </c>
      <c r="W41" s="30" t="s">
        <v>235</v>
      </c>
      <c r="X41" s="2" t="s">
        <v>82</v>
      </c>
      <c r="Y41" s="6" t="s">
        <v>235</v>
      </c>
      <c r="Z41" s="2" t="s">
        <v>73</v>
      </c>
      <c r="AA41" s="2" t="s">
        <v>238</v>
      </c>
      <c r="AB41" s="2" t="str">
        <f>LEFT(A41,3)</f>
        <v>BOR</v>
      </c>
    </row>
    <row r="42" spans="1:28">
      <c r="A42" s="6" t="s">
        <v>239</v>
      </c>
      <c r="B42" s="6" t="s">
        <v>29</v>
      </c>
      <c r="C42" s="6" t="s">
        <v>30</v>
      </c>
      <c r="D42" s="6" t="s">
        <v>240</v>
      </c>
      <c r="E42" s="6" t="s">
        <v>240</v>
      </c>
      <c r="F42" s="6" t="s">
        <v>241</v>
      </c>
      <c r="G42" s="2" t="s">
        <v>242</v>
      </c>
      <c r="H42" s="2" t="s">
        <v>240</v>
      </c>
      <c r="I42" s="2" t="s">
        <v>34</v>
      </c>
      <c r="J42" s="7">
        <v>447573.01668</v>
      </c>
      <c r="K42" s="7">
        <v>216293.94325000001</v>
      </c>
      <c r="L42" s="8">
        <v>166.46154150207499</v>
      </c>
      <c r="M42" s="8">
        <v>-22.255379679867001</v>
      </c>
      <c r="N42" s="2">
        <v>2</v>
      </c>
      <c r="O42" s="2">
        <v>6</v>
      </c>
      <c r="P42" s="2">
        <v>6</v>
      </c>
      <c r="Q42" s="2" t="s">
        <v>35</v>
      </c>
      <c r="R42" s="2" t="s">
        <v>243</v>
      </c>
      <c r="S42" s="2" t="s">
        <v>37</v>
      </c>
      <c r="U42" s="2">
        <f>P42-N42</f>
        <v>4</v>
      </c>
      <c r="V42" s="2" t="s">
        <v>38</v>
      </c>
      <c r="W42" s="30" t="s">
        <v>240</v>
      </c>
      <c r="X42" s="2" t="s">
        <v>39</v>
      </c>
      <c r="Y42" s="6" t="s">
        <v>241</v>
      </c>
      <c r="Z42" s="2" t="s">
        <v>40</v>
      </c>
      <c r="AA42" s="2" t="s">
        <v>242</v>
      </c>
      <c r="AB42" s="2" t="str">
        <f>LEFT(A42,3)</f>
        <v>BOT</v>
      </c>
    </row>
    <row r="43" spans="1:28">
      <c r="A43" s="2" t="s">
        <v>244</v>
      </c>
      <c r="B43" s="2" t="s">
        <v>93</v>
      </c>
      <c r="C43" s="2" t="s">
        <v>50</v>
      </c>
      <c r="D43" s="2" t="s">
        <v>245</v>
      </c>
      <c r="E43" s="2" t="s">
        <v>52</v>
      </c>
      <c r="F43" s="2" t="s">
        <v>246</v>
      </c>
      <c r="G43" s="2" t="s">
        <v>246</v>
      </c>
      <c r="H43" s="2" t="s">
        <v>246</v>
      </c>
      <c r="I43" s="2" t="s">
        <v>53</v>
      </c>
      <c r="J43" s="7">
        <v>454211</v>
      </c>
      <c r="K43" s="7">
        <v>218990</v>
      </c>
      <c r="L43" s="9">
        <v>166.52584999999999</v>
      </c>
      <c r="M43" s="9">
        <v>-22.230840000000001</v>
      </c>
      <c r="N43" s="2">
        <v>3</v>
      </c>
      <c r="O43" s="2">
        <v>3</v>
      </c>
      <c r="P43" s="2">
        <v>3</v>
      </c>
      <c r="Q43" s="2" t="s">
        <v>35</v>
      </c>
      <c r="R43" s="2" t="s">
        <v>247</v>
      </c>
      <c r="S43" s="2" t="s">
        <v>37</v>
      </c>
      <c r="U43" s="2">
        <f>P43-N43</f>
        <v>0</v>
      </c>
      <c r="W43" s="30" t="s">
        <v>52</v>
      </c>
      <c r="X43" s="6" t="s">
        <v>52</v>
      </c>
      <c r="Y43" s="2" t="s">
        <v>246</v>
      </c>
      <c r="Z43" s="2" t="s">
        <v>40</v>
      </c>
      <c r="AA43" s="2" t="s">
        <v>246</v>
      </c>
      <c r="AB43" s="2" t="str">
        <f>LEFT(A43,3)</f>
        <v>BOU</v>
      </c>
    </row>
    <row r="44" spans="1:28">
      <c r="A44" s="6" t="s">
        <v>248</v>
      </c>
      <c r="B44" s="6" t="s">
        <v>249</v>
      </c>
      <c r="C44" s="6" t="s">
        <v>68</v>
      </c>
      <c r="D44" s="6" t="s">
        <v>250</v>
      </c>
      <c r="E44" s="6" t="s">
        <v>250</v>
      </c>
      <c r="F44" s="6" t="s">
        <v>250</v>
      </c>
      <c r="G44" s="2" t="s">
        <v>251</v>
      </c>
      <c r="H44" s="2" t="s">
        <v>250</v>
      </c>
      <c r="I44" s="2" t="s">
        <v>34</v>
      </c>
      <c r="J44" s="7">
        <v>256485.86725000001</v>
      </c>
      <c r="K44" s="7">
        <v>374006.78480000002</v>
      </c>
      <c r="L44" s="8">
        <v>164.621190247165</v>
      </c>
      <c r="M44" s="8">
        <v>-20.8258073905488</v>
      </c>
      <c r="N44" s="2">
        <v>1</v>
      </c>
      <c r="O44" s="2">
        <v>1</v>
      </c>
      <c r="P44" s="2">
        <f>N44</f>
        <v>1</v>
      </c>
      <c r="Q44" s="2" t="s">
        <v>35</v>
      </c>
      <c r="R44" s="2" t="s">
        <v>252</v>
      </c>
      <c r="S44" s="2" t="s">
        <v>47</v>
      </c>
      <c r="U44" s="2">
        <f>P44-N44</f>
        <v>0</v>
      </c>
      <c r="W44" s="30" t="s">
        <v>250</v>
      </c>
      <c r="X44" s="2" t="s">
        <v>82</v>
      </c>
      <c r="Y44" s="6" t="s">
        <v>250</v>
      </c>
      <c r="Z44" s="2" t="s">
        <v>73</v>
      </c>
      <c r="AA44" s="2" t="s">
        <v>251</v>
      </c>
      <c r="AB44" s="2" t="str">
        <f>LEFT(A44,3)</f>
        <v>BOY</v>
      </c>
    </row>
    <row r="45" spans="1:28">
      <c r="A45" s="6" t="s">
        <v>253</v>
      </c>
      <c r="B45" s="6" t="s">
        <v>224</v>
      </c>
      <c r="C45" s="6" t="s">
        <v>68</v>
      </c>
      <c r="D45" s="6" t="s">
        <v>254</v>
      </c>
      <c r="E45" s="6" t="s">
        <v>255</v>
      </c>
      <c r="F45" s="6" t="s">
        <v>254</v>
      </c>
      <c r="G45" s="6" t="s">
        <v>254</v>
      </c>
      <c r="H45" s="2" t="s">
        <v>256</v>
      </c>
      <c r="I45" s="2" t="s">
        <v>34</v>
      </c>
      <c r="J45" s="7">
        <v>249968</v>
      </c>
      <c r="K45" s="7">
        <v>407350</v>
      </c>
      <c r="L45" s="8">
        <v>164.56151971560399</v>
      </c>
      <c r="M45" s="8">
        <v>-20.524122300748701</v>
      </c>
      <c r="N45" s="2">
        <v>3</v>
      </c>
      <c r="O45" s="2">
        <v>3</v>
      </c>
      <c r="P45" s="2">
        <v>3</v>
      </c>
      <c r="Q45" s="2" t="s">
        <v>195</v>
      </c>
      <c r="R45" s="2" t="s">
        <v>257</v>
      </c>
      <c r="S45" s="2" t="s">
        <v>47</v>
      </c>
      <c r="U45" s="2">
        <f>P45-N45</f>
        <v>0</v>
      </c>
      <c r="W45" s="30" t="s">
        <v>258</v>
      </c>
      <c r="X45" s="2" t="s">
        <v>82</v>
      </c>
      <c r="Y45" s="6" t="s">
        <v>254</v>
      </c>
      <c r="Z45" s="2" t="s">
        <v>73</v>
      </c>
      <c r="AA45" s="6" t="s">
        <v>254</v>
      </c>
      <c r="AB45" s="2" t="str">
        <f>LEFT(A45,3)</f>
        <v>BPA</v>
      </c>
    </row>
    <row r="46" spans="1:28">
      <c r="A46" s="6" t="s">
        <v>259</v>
      </c>
      <c r="B46" s="6" t="s">
        <v>207</v>
      </c>
      <c r="C46" s="6" t="s">
        <v>43</v>
      </c>
      <c r="D46" s="13" t="s">
        <v>260</v>
      </c>
      <c r="E46" s="6" t="s">
        <v>52</v>
      </c>
      <c r="F46" s="6" t="s">
        <v>261</v>
      </c>
      <c r="G46" s="6" t="s">
        <v>261</v>
      </c>
      <c r="H46" s="6" t="s">
        <v>261</v>
      </c>
      <c r="I46" s="2" t="s">
        <v>53</v>
      </c>
      <c r="J46" s="7">
        <v>406726</v>
      </c>
      <c r="K46" s="7">
        <v>258507</v>
      </c>
      <c r="L46" s="8">
        <v>166.06508400000001</v>
      </c>
      <c r="M46" s="8">
        <v>-21.874759999999998</v>
      </c>
      <c r="N46" s="2">
        <v>3</v>
      </c>
      <c r="O46" s="2">
        <v>3</v>
      </c>
      <c r="P46" s="2">
        <v>6</v>
      </c>
      <c r="Q46" s="2" t="s">
        <v>35</v>
      </c>
      <c r="R46" s="2" t="s">
        <v>262</v>
      </c>
      <c r="S46" s="2" t="s">
        <v>47</v>
      </c>
      <c r="U46" s="2">
        <f>P46-N46</f>
        <v>3</v>
      </c>
      <c r="W46" s="30" t="s">
        <v>52</v>
      </c>
      <c r="X46" s="2" t="s">
        <v>52</v>
      </c>
      <c r="Y46" s="6" t="s">
        <v>263</v>
      </c>
      <c r="Z46" s="2" t="s">
        <v>73</v>
      </c>
      <c r="AA46" s="6" t="s">
        <v>263</v>
      </c>
      <c r="AB46" s="2" t="str">
        <f>LEFT(A46,3)</f>
        <v>BPH</v>
      </c>
    </row>
    <row r="47" spans="1:28">
      <c r="A47" s="6" t="s">
        <v>264</v>
      </c>
      <c r="B47" s="6" t="s">
        <v>29</v>
      </c>
      <c r="C47" s="6" t="s">
        <v>30</v>
      </c>
      <c r="D47" s="6" t="s">
        <v>265</v>
      </c>
      <c r="E47" s="6" t="s">
        <v>265</v>
      </c>
      <c r="F47" s="6" t="s">
        <v>266</v>
      </c>
      <c r="G47" s="2" t="s">
        <v>267</v>
      </c>
      <c r="H47" s="2" t="s">
        <v>265</v>
      </c>
      <c r="I47" s="2" t="s">
        <v>34</v>
      </c>
      <c r="J47" s="7">
        <v>445901.02779000002</v>
      </c>
      <c r="K47" s="7">
        <v>214071.93423000001</v>
      </c>
      <c r="L47" s="8">
        <v>166.44538167794499</v>
      </c>
      <c r="M47" s="8">
        <v>-22.275489853119801</v>
      </c>
      <c r="N47" s="2">
        <v>3</v>
      </c>
      <c r="O47" s="2">
        <v>6</v>
      </c>
      <c r="P47" s="2">
        <v>6</v>
      </c>
      <c r="Q47" s="2" t="s">
        <v>35</v>
      </c>
      <c r="R47" s="2" t="s">
        <v>268</v>
      </c>
      <c r="S47" s="2" t="s">
        <v>37</v>
      </c>
      <c r="U47" s="2">
        <f>P47-N47</f>
        <v>3</v>
      </c>
      <c r="V47" s="2" t="s">
        <v>38</v>
      </c>
      <c r="W47" s="30" t="s">
        <v>265</v>
      </c>
      <c r="X47" s="2" t="s">
        <v>39</v>
      </c>
      <c r="Y47" s="6" t="s">
        <v>266</v>
      </c>
      <c r="Z47" s="2" t="s">
        <v>40</v>
      </c>
      <c r="AA47" s="2" t="s">
        <v>267</v>
      </c>
      <c r="AB47" s="2" t="str">
        <f>LEFT(A47,3)</f>
        <v>BRA</v>
      </c>
    </row>
    <row r="48" spans="1:28">
      <c r="A48" s="6" t="s">
        <v>269</v>
      </c>
      <c r="B48" s="6" t="s">
        <v>123</v>
      </c>
      <c r="C48" s="6" t="s">
        <v>68</v>
      </c>
      <c r="D48" s="6" t="s">
        <v>270</v>
      </c>
      <c r="E48" s="6" t="s">
        <v>52</v>
      </c>
      <c r="F48" s="6" t="s">
        <v>271</v>
      </c>
      <c r="G48" s="6" t="s">
        <v>271</v>
      </c>
      <c r="H48" s="6" t="s">
        <v>271</v>
      </c>
      <c r="I48" s="2" t="s">
        <v>53</v>
      </c>
      <c r="J48" s="7">
        <v>207764</v>
      </c>
      <c r="K48" s="7">
        <v>432089</v>
      </c>
      <c r="L48" s="8">
        <v>164.15970100000001</v>
      </c>
      <c r="M48" s="8">
        <v>-20.296695</v>
      </c>
      <c r="N48" s="2">
        <v>3</v>
      </c>
      <c r="O48" s="2">
        <v>3</v>
      </c>
      <c r="P48" s="2">
        <f>N48</f>
        <v>3</v>
      </c>
      <c r="Q48" s="2" t="s">
        <v>35</v>
      </c>
      <c r="R48" s="2" t="s">
        <v>272</v>
      </c>
      <c r="S48" s="2" t="s">
        <v>47</v>
      </c>
      <c r="U48" s="2">
        <f>P48-N48</f>
        <v>0</v>
      </c>
      <c r="W48" s="30" t="s">
        <v>52</v>
      </c>
      <c r="X48" s="2" t="s">
        <v>52</v>
      </c>
      <c r="Y48" s="6" t="s">
        <v>271</v>
      </c>
      <c r="Z48" s="2" t="s">
        <v>73</v>
      </c>
      <c r="AA48" s="6" t="s">
        <v>271</v>
      </c>
      <c r="AB48" s="2" t="str">
        <f>LEFT(A48,3)</f>
        <v>BRB</v>
      </c>
    </row>
    <row r="49" spans="1:28">
      <c r="A49" s="6" t="s">
        <v>273</v>
      </c>
      <c r="B49" s="6" t="s">
        <v>207</v>
      </c>
      <c r="C49" s="6" t="s">
        <v>43</v>
      </c>
      <c r="D49" s="6" t="s">
        <v>274</v>
      </c>
      <c r="E49" s="6" t="s">
        <v>52</v>
      </c>
      <c r="F49" s="6" t="s">
        <v>275</v>
      </c>
      <c r="G49" s="2" t="s">
        <v>275</v>
      </c>
      <c r="H49" s="2" t="s">
        <v>275</v>
      </c>
      <c r="I49" s="2" t="s">
        <v>53</v>
      </c>
      <c r="J49" s="7">
        <v>400363</v>
      </c>
      <c r="K49" s="7">
        <v>250720</v>
      </c>
      <c r="L49" s="8">
        <v>166.003514</v>
      </c>
      <c r="M49" s="8">
        <v>-21.945103</v>
      </c>
      <c r="N49" s="2">
        <v>3</v>
      </c>
      <c r="O49" s="2">
        <v>3</v>
      </c>
      <c r="P49" s="2">
        <v>6</v>
      </c>
      <c r="Q49" s="2" t="s">
        <v>35</v>
      </c>
      <c r="R49" s="2" t="s">
        <v>276</v>
      </c>
      <c r="S49" s="2" t="s">
        <v>47</v>
      </c>
      <c r="U49" s="2">
        <v>3</v>
      </c>
      <c r="W49" s="30" t="s">
        <v>52</v>
      </c>
      <c r="X49" s="2" t="s">
        <v>52</v>
      </c>
      <c r="Y49" s="6" t="s">
        <v>275</v>
      </c>
      <c r="Z49" s="2" t="s">
        <v>40</v>
      </c>
      <c r="AA49" s="2" t="s">
        <v>275</v>
      </c>
      <c r="AB49" s="2" t="s">
        <v>276</v>
      </c>
    </row>
    <row r="50" spans="1:28">
      <c r="A50" s="6" t="s">
        <v>277</v>
      </c>
      <c r="B50" s="6" t="s">
        <v>191</v>
      </c>
      <c r="C50" s="6" t="s">
        <v>43</v>
      </c>
      <c r="D50" s="6" t="s">
        <v>191</v>
      </c>
      <c r="E50" s="6" t="s">
        <v>191</v>
      </c>
      <c r="F50" s="6" t="s">
        <v>191</v>
      </c>
      <c r="G50" s="2" t="s">
        <v>278</v>
      </c>
      <c r="H50" s="2" t="s">
        <v>191</v>
      </c>
      <c r="I50" s="2" t="s">
        <v>34</v>
      </c>
      <c r="J50" s="7">
        <v>347997.32604999997</v>
      </c>
      <c r="K50" s="7">
        <v>292338.70828000002</v>
      </c>
      <c r="L50" s="8">
        <v>165.49784986903501</v>
      </c>
      <c r="M50" s="8">
        <v>-21.568442887981998</v>
      </c>
      <c r="N50" s="2">
        <v>3</v>
      </c>
      <c r="O50" s="2">
        <v>6</v>
      </c>
      <c r="P50" s="2">
        <f>N50</f>
        <v>3</v>
      </c>
      <c r="Q50" s="2" t="s">
        <v>35</v>
      </c>
      <c r="R50" s="2" t="s">
        <v>279</v>
      </c>
      <c r="S50" s="2" t="s">
        <v>37</v>
      </c>
      <c r="U50" s="2">
        <f>P50-N50</f>
        <v>0</v>
      </c>
      <c r="W50" s="30" t="s">
        <v>191</v>
      </c>
      <c r="X50" s="2" t="s">
        <v>82</v>
      </c>
      <c r="Y50" s="6" t="s">
        <v>191</v>
      </c>
      <c r="Z50" s="2" t="s">
        <v>73</v>
      </c>
      <c r="AA50" s="2" t="s">
        <v>278</v>
      </c>
      <c r="AB50" s="2" t="str">
        <f>LEFT(A50,3)</f>
        <v>BRL</v>
      </c>
    </row>
    <row r="51" spans="1:28">
      <c r="A51" s="2" t="s">
        <v>280</v>
      </c>
      <c r="B51" s="2" t="s">
        <v>191</v>
      </c>
      <c r="C51" s="2" t="s">
        <v>43</v>
      </c>
      <c r="D51" s="2" t="s">
        <v>281</v>
      </c>
      <c r="E51" s="2" t="s">
        <v>52</v>
      </c>
      <c r="F51" s="2" t="s">
        <v>282</v>
      </c>
      <c r="G51" s="2" t="s">
        <v>282</v>
      </c>
      <c r="H51" s="2" t="s">
        <v>282</v>
      </c>
      <c r="I51" s="2" t="s">
        <v>53</v>
      </c>
      <c r="J51" s="2">
        <v>329965</v>
      </c>
      <c r="K51" s="2">
        <v>292359</v>
      </c>
      <c r="L51" s="2">
        <v>165.32373200000001</v>
      </c>
      <c r="M51" s="8">
        <v>-21.567647999999998</v>
      </c>
      <c r="N51" s="2">
        <v>3</v>
      </c>
      <c r="O51" s="2">
        <v>3</v>
      </c>
      <c r="P51" s="2">
        <v>3</v>
      </c>
      <c r="Q51" s="2" t="s">
        <v>35</v>
      </c>
      <c r="R51" s="2" t="s">
        <v>283</v>
      </c>
      <c r="S51" s="2" t="s">
        <v>47</v>
      </c>
      <c r="U51" s="2">
        <f>P51-N51</f>
        <v>0</v>
      </c>
      <c r="W51" s="30" t="s">
        <v>52</v>
      </c>
      <c r="X51" s="6" t="s">
        <v>52</v>
      </c>
      <c r="Y51" s="2" t="s">
        <v>282</v>
      </c>
      <c r="Z51" s="2" t="s">
        <v>73</v>
      </c>
      <c r="AA51" s="2" t="s">
        <v>282</v>
      </c>
      <c r="AB51" s="2" t="str">
        <f>LEFT(A51,3)</f>
        <v>BTD</v>
      </c>
    </row>
    <row r="52" spans="1:28">
      <c r="A52" s="2" t="s">
        <v>284</v>
      </c>
      <c r="B52" s="2" t="s">
        <v>191</v>
      </c>
      <c r="C52" s="2" t="s">
        <v>43</v>
      </c>
      <c r="D52" s="2" t="s">
        <v>285</v>
      </c>
      <c r="E52" s="2" t="s">
        <v>52</v>
      </c>
      <c r="F52" s="2" t="s">
        <v>286</v>
      </c>
      <c r="G52" s="2" t="s">
        <v>286</v>
      </c>
      <c r="H52" s="2" t="s">
        <v>286</v>
      </c>
      <c r="I52" s="2" t="s">
        <v>53</v>
      </c>
      <c r="J52" s="2">
        <v>350939</v>
      </c>
      <c r="K52" s="2">
        <v>292801</v>
      </c>
      <c r="L52" s="2">
        <v>165.52627000000001</v>
      </c>
      <c r="M52" s="8">
        <v>-21.564350000000001</v>
      </c>
      <c r="N52" s="2">
        <v>1</v>
      </c>
      <c r="O52" s="2">
        <v>1</v>
      </c>
      <c r="P52" s="2">
        <v>1</v>
      </c>
      <c r="Q52" s="2" t="s">
        <v>35</v>
      </c>
      <c r="R52" s="2" t="s">
        <v>287</v>
      </c>
      <c r="S52" s="2" t="s">
        <v>47</v>
      </c>
      <c r="U52" s="2">
        <f>P52-N52</f>
        <v>0</v>
      </c>
      <c r="W52" s="30" t="s">
        <v>52</v>
      </c>
      <c r="X52" s="6" t="s">
        <v>52</v>
      </c>
      <c r="Y52" s="2" t="s">
        <v>286</v>
      </c>
      <c r="Z52" s="2" t="s">
        <v>73</v>
      </c>
      <c r="AA52" s="2" t="s">
        <v>286</v>
      </c>
      <c r="AB52" s="2" t="str">
        <f>LEFT(A52,3)</f>
        <v>BTK</v>
      </c>
    </row>
    <row r="53" spans="1:28">
      <c r="A53" s="2" t="s">
        <v>288</v>
      </c>
      <c r="B53" s="2" t="s">
        <v>49</v>
      </c>
      <c r="C53" s="2" t="s">
        <v>50</v>
      </c>
      <c r="D53" s="2" t="s">
        <v>289</v>
      </c>
      <c r="E53" s="2" t="s">
        <v>52</v>
      </c>
      <c r="F53" s="2" t="s">
        <v>290</v>
      </c>
      <c r="G53" s="2" t="s">
        <v>290</v>
      </c>
      <c r="H53" s="2" t="s">
        <v>290</v>
      </c>
      <c r="I53" s="2" t="s">
        <v>53</v>
      </c>
      <c r="J53" s="7">
        <v>447468</v>
      </c>
      <c r="K53" s="7">
        <v>222247</v>
      </c>
      <c r="L53" s="8">
        <v>166.46035000000001</v>
      </c>
      <c r="M53" s="8">
        <v>-22.201619999999998</v>
      </c>
      <c r="N53" s="2">
        <v>2</v>
      </c>
      <c r="O53" s="2">
        <v>2</v>
      </c>
      <c r="P53" s="2">
        <v>2</v>
      </c>
      <c r="Q53" s="2" t="s">
        <v>35</v>
      </c>
      <c r="R53" s="2" t="s">
        <v>291</v>
      </c>
      <c r="S53" s="2" t="s">
        <v>37</v>
      </c>
      <c r="U53" s="2">
        <f>P53-N53</f>
        <v>0</v>
      </c>
      <c r="W53" s="30" t="s">
        <v>52</v>
      </c>
      <c r="X53" s="6" t="s">
        <v>52</v>
      </c>
      <c r="Y53" s="2" t="s">
        <v>290</v>
      </c>
      <c r="Z53" s="2" t="s">
        <v>40</v>
      </c>
      <c r="AA53" s="2" t="s">
        <v>290</v>
      </c>
      <c r="AB53" s="2" t="str">
        <f>LEFT(A53,3)</f>
        <v>BUT</v>
      </c>
    </row>
    <row r="54" spans="1:28">
      <c r="A54" s="6" t="s">
        <v>292</v>
      </c>
      <c r="B54" s="6" t="s">
        <v>93</v>
      </c>
      <c r="C54" s="6" t="s">
        <v>50</v>
      </c>
      <c r="D54" s="6" t="s">
        <v>293</v>
      </c>
      <c r="E54" s="6" t="s">
        <v>293</v>
      </c>
      <c r="F54" s="6" t="s">
        <v>293</v>
      </c>
      <c r="G54" s="2" t="s">
        <v>294</v>
      </c>
      <c r="H54" s="2" t="s">
        <v>294</v>
      </c>
      <c r="I54" s="2" t="s">
        <v>53</v>
      </c>
      <c r="J54" s="7">
        <v>493102.47885000001</v>
      </c>
      <c r="K54" s="7">
        <v>209851.04879999999</v>
      </c>
      <c r="L54" s="8">
        <v>166.90360650171999</v>
      </c>
      <c r="M54" s="8">
        <v>-22.3117690391149</v>
      </c>
      <c r="N54" s="2">
        <v>1</v>
      </c>
      <c r="O54" s="2">
        <v>2</v>
      </c>
      <c r="P54" s="2">
        <v>2</v>
      </c>
      <c r="Q54" s="2" t="s">
        <v>35</v>
      </c>
      <c r="R54" s="2" t="s">
        <v>295</v>
      </c>
      <c r="S54" s="2" t="s">
        <v>37</v>
      </c>
      <c r="U54" s="2">
        <v>1</v>
      </c>
      <c r="W54" s="30" t="s">
        <v>293</v>
      </c>
      <c r="X54" s="2" t="s">
        <v>39</v>
      </c>
      <c r="Y54" s="6" t="s">
        <v>293</v>
      </c>
      <c r="Z54" s="2" t="s">
        <v>40</v>
      </c>
      <c r="AA54" s="2" t="s">
        <v>294</v>
      </c>
      <c r="AB54" s="2" t="str">
        <f>LEFT(A54,3)</f>
        <v>BVI</v>
      </c>
    </row>
    <row r="55" spans="1:28">
      <c r="A55" s="6" t="s">
        <v>296</v>
      </c>
      <c r="B55" s="6" t="s">
        <v>297</v>
      </c>
      <c r="C55" s="6" t="s">
        <v>68</v>
      </c>
      <c r="D55" s="6" t="s">
        <v>298</v>
      </c>
      <c r="E55" s="6" t="s">
        <v>298</v>
      </c>
      <c r="F55" s="6" t="s">
        <v>299</v>
      </c>
      <c r="G55" s="2" t="s">
        <v>299</v>
      </c>
      <c r="H55" s="2" t="s">
        <v>298</v>
      </c>
      <c r="I55" s="2" t="s">
        <v>34</v>
      </c>
      <c r="J55" s="7">
        <v>431822.821</v>
      </c>
      <c r="K55" s="7">
        <v>236791.27729999999</v>
      </c>
      <c r="L55" s="8">
        <v>164.43753421210801</v>
      </c>
      <c r="M55" s="8">
        <v>-20.301950510542699</v>
      </c>
      <c r="N55" s="2">
        <v>3</v>
      </c>
      <c r="O55" s="2">
        <v>4</v>
      </c>
      <c r="P55" s="2">
        <v>3</v>
      </c>
      <c r="Q55" s="2" t="s">
        <v>151</v>
      </c>
      <c r="R55" s="2" t="s">
        <v>300</v>
      </c>
      <c r="S55" s="2" t="s">
        <v>47</v>
      </c>
      <c r="U55" s="2">
        <f>P55-N55</f>
        <v>0</v>
      </c>
      <c r="W55" s="30" t="s">
        <v>301</v>
      </c>
      <c r="X55" s="2" t="s">
        <v>82</v>
      </c>
      <c r="Y55" s="6" t="s">
        <v>299</v>
      </c>
      <c r="Z55" s="2" t="s">
        <v>73</v>
      </c>
      <c r="AA55" s="6" t="s">
        <v>299</v>
      </c>
      <c r="AB55" s="2" t="str">
        <f>LEFT(A55,3)</f>
        <v>BWA</v>
      </c>
    </row>
    <row r="56" spans="1:28">
      <c r="A56" s="6" t="s">
        <v>302</v>
      </c>
      <c r="B56" s="6" t="s">
        <v>224</v>
      </c>
      <c r="C56" s="6" t="s">
        <v>68</v>
      </c>
      <c r="D56" s="6" t="s">
        <v>303</v>
      </c>
      <c r="E56" s="6" t="s">
        <v>303</v>
      </c>
      <c r="F56" s="6" t="s">
        <v>304</v>
      </c>
      <c r="G56" s="6" t="s">
        <v>304</v>
      </c>
      <c r="H56" s="2" t="s">
        <v>256</v>
      </c>
      <c r="I56" s="2" t="s">
        <v>34</v>
      </c>
      <c r="J56" s="7">
        <v>247327.03959999999</v>
      </c>
      <c r="K56" s="7">
        <v>407381.03586</v>
      </c>
      <c r="L56" s="8">
        <v>164.53620252496501</v>
      </c>
      <c r="M56" s="8">
        <v>-20.523620887303199</v>
      </c>
      <c r="N56" s="2">
        <v>2</v>
      </c>
      <c r="O56" s="2">
        <v>2</v>
      </c>
      <c r="P56" s="2">
        <v>2</v>
      </c>
      <c r="Q56" s="2" t="s">
        <v>195</v>
      </c>
      <c r="R56" s="2" t="s">
        <v>305</v>
      </c>
      <c r="S56" s="2" t="s">
        <v>47</v>
      </c>
      <c r="U56" s="2">
        <f>P56-N56</f>
        <v>0</v>
      </c>
      <c r="V56" s="2" t="s">
        <v>102</v>
      </c>
      <c r="W56" s="30" t="s">
        <v>306</v>
      </c>
      <c r="X56" s="2" t="s">
        <v>82</v>
      </c>
      <c r="Y56" s="6" t="s">
        <v>304</v>
      </c>
      <c r="Z56" s="2" t="s">
        <v>73</v>
      </c>
      <c r="AA56" s="6" t="s">
        <v>304</v>
      </c>
      <c r="AB56" s="2" t="str">
        <f>LEFT(A56,3)</f>
        <v>BWP</v>
      </c>
    </row>
    <row r="57" spans="1:28">
      <c r="A57" s="6" t="s">
        <v>307</v>
      </c>
      <c r="B57" s="6" t="s">
        <v>56</v>
      </c>
      <c r="C57" s="6" t="s">
        <v>50</v>
      </c>
      <c r="D57" s="6" t="s">
        <v>308</v>
      </c>
      <c r="E57" s="6" t="s">
        <v>308</v>
      </c>
      <c r="F57" s="6" t="s">
        <v>309</v>
      </c>
      <c r="G57" s="2" t="s">
        <v>310</v>
      </c>
      <c r="H57" s="2" t="s">
        <v>308</v>
      </c>
      <c r="I57" s="2" t="s">
        <v>34</v>
      </c>
      <c r="J57" s="7">
        <v>425124.35110000003</v>
      </c>
      <c r="K57" s="7">
        <v>239025.91495000001</v>
      </c>
      <c r="L57" s="8">
        <v>166.24340396901101</v>
      </c>
      <c r="M57" s="8">
        <v>-22.0505412302292</v>
      </c>
      <c r="N57" s="2">
        <v>2</v>
      </c>
      <c r="O57" s="2">
        <v>2</v>
      </c>
      <c r="P57" s="2">
        <f>N57</f>
        <v>2</v>
      </c>
      <c r="Q57" s="2" t="s">
        <v>35</v>
      </c>
      <c r="R57" s="2" t="s">
        <v>311</v>
      </c>
      <c r="S57" s="2" t="s">
        <v>47</v>
      </c>
      <c r="U57" s="2">
        <f>P57-N57</f>
        <v>0</v>
      </c>
      <c r="W57" s="30" t="s">
        <v>308</v>
      </c>
      <c r="X57" s="2" t="s">
        <v>39</v>
      </c>
      <c r="Y57" s="6" t="s">
        <v>309</v>
      </c>
      <c r="Z57" s="2" t="s">
        <v>40</v>
      </c>
      <c r="AA57" s="6" t="s">
        <v>310</v>
      </c>
      <c r="AB57" s="2" t="str">
        <f>LEFT(A57,3)</f>
        <v>C48</v>
      </c>
    </row>
    <row r="58" spans="1:28">
      <c r="A58" s="6" t="s">
        <v>312</v>
      </c>
      <c r="B58" s="6" t="s">
        <v>98</v>
      </c>
      <c r="C58" s="6" t="s">
        <v>68</v>
      </c>
      <c r="D58" s="6" t="s">
        <v>98</v>
      </c>
      <c r="E58" s="6" t="s">
        <v>98</v>
      </c>
      <c r="F58" s="6" t="s">
        <v>98</v>
      </c>
      <c r="G58" s="2" t="s">
        <v>313</v>
      </c>
      <c r="H58" s="2" t="s">
        <v>98</v>
      </c>
      <c r="I58" s="2" t="s">
        <v>34</v>
      </c>
      <c r="J58" s="7">
        <v>396132.20111999998</v>
      </c>
      <c r="K58" s="7">
        <v>297880.81057999999</v>
      </c>
      <c r="L58" s="8">
        <v>165.96266256433</v>
      </c>
      <c r="M58" s="8">
        <v>-21.519135565016501</v>
      </c>
      <c r="N58" s="2">
        <v>2</v>
      </c>
      <c r="O58" s="2">
        <v>2</v>
      </c>
      <c r="P58" s="2">
        <f>N58</f>
        <v>2</v>
      </c>
      <c r="Q58" s="2" t="s">
        <v>35</v>
      </c>
      <c r="R58" s="2" t="s">
        <v>314</v>
      </c>
      <c r="S58" s="2" t="s">
        <v>47</v>
      </c>
      <c r="U58" s="2">
        <f>P58-N58</f>
        <v>0</v>
      </c>
      <c r="W58" s="30" t="s">
        <v>98</v>
      </c>
      <c r="X58" s="2" t="s">
        <v>39</v>
      </c>
      <c r="Y58" s="6" t="s">
        <v>98</v>
      </c>
      <c r="Z58" s="2" t="s">
        <v>40</v>
      </c>
      <c r="AA58" s="2" t="s">
        <v>313</v>
      </c>
      <c r="AB58" s="2" t="str">
        <f>LEFT(A58,3)</f>
        <v>CAN</v>
      </c>
    </row>
    <row r="59" spans="1:28">
      <c r="A59" s="6" t="s">
        <v>315</v>
      </c>
      <c r="B59" s="6" t="s">
        <v>191</v>
      </c>
      <c r="C59" s="6" t="s">
        <v>43</v>
      </c>
      <c r="D59" s="6" t="s">
        <v>316</v>
      </c>
      <c r="E59" s="6" t="s">
        <v>52</v>
      </c>
      <c r="F59" s="6" t="s">
        <v>316</v>
      </c>
      <c r="G59" s="2" t="s">
        <v>316</v>
      </c>
      <c r="H59" s="2" t="s">
        <v>316</v>
      </c>
      <c r="I59" s="2" t="s">
        <v>53</v>
      </c>
      <c r="J59" s="7">
        <v>335290</v>
      </c>
      <c r="K59" s="7">
        <v>302046</v>
      </c>
      <c r="L59" s="8">
        <v>165.37552400000001</v>
      </c>
      <c r="M59" s="8">
        <v>-21.480352</v>
      </c>
      <c r="N59" s="2">
        <v>3</v>
      </c>
      <c r="O59" s="2">
        <v>3</v>
      </c>
      <c r="P59" s="2">
        <f>N59</f>
        <v>3</v>
      </c>
      <c r="Q59" s="2" t="s">
        <v>35</v>
      </c>
      <c r="R59" s="2" t="s">
        <v>317</v>
      </c>
      <c r="S59" s="2" t="s">
        <v>47</v>
      </c>
      <c r="U59" s="2">
        <f>P59-N59</f>
        <v>0</v>
      </c>
      <c r="W59" s="30" t="s">
        <v>52</v>
      </c>
      <c r="X59" s="2" t="s">
        <v>52</v>
      </c>
      <c r="Y59" s="6" t="s">
        <v>316</v>
      </c>
      <c r="Z59" s="2" t="s">
        <v>73</v>
      </c>
      <c r="AA59" s="6" t="s">
        <v>316</v>
      </c>
      <c r="AB59" s="2" t="str">
        <f>LEFT(A59,3)</f>
        <v>CAP</v>
      </c>
    </row>
    <row r="60" spans="1:28">
      <c r="A60" s="6" t="s">
        <v>318</v>
      </c>
      <c r="B60" s="6" t="s">
        <v>67</v>
      </c>
      <c r="C60" s="6" t="s">
        <v>68</v>
      </c>
      <c r="D60" s="6" t="s">
        <v>319</v>
      </c>
      <c r="E60" s="6" t="s">
        <v>52</v>
      </c>
      <c r="F60" s="6" t="s">
        <v>319</v>
      </c>
      <c r="G60" s="6" t="s">
        <v>319</v>
      </c>
      <c r="H60" s="6" t="s">
        <v>319</v>
      </c>
      <c r="I60" s="2" t="s">
        <v>53</v>
      </c>
      <c r="J60" s="7">
        <v>283898</v>
      </c>
      <c r="K60" s="7">
        <v>344630</v>
      </c>
      <c r="L60" s="8">
        <v>164.88252299999999</v>
      </c>
      <c r="M60" s="8">
        <v>-21.093126999999999</v>
      </c>
      <c r="N60" s="2">
        <v>3</v>
      </c>
      <c r="O60" s="2">
        <v>3</v>
      </c>
      <c r="P60" s="2">
        <v>6</v>
      </c>
      <c r="Q60" s="2" t="s">
        <v>35</v>
      </c>
      <c r="R60" s="2" t="s">
        <v>320</v>
      </c>
      <c r="S60" s="2" t="s">
        <v>37</v>
      </c>
      <c r="U60" s="2">
        <f>P60-N60</f>
        <v>3</v>
      </c>
      <c r="W60" s="30" t="s">
        <v>52</v>
      </c>
      <c r="X60" s="2" t="s">
        <v>52</v>
      </c>
      <c r="Y60" s="6" t="s">
        <v>319</v>
      </c>
      <c r="Z60" s="2" t="s">
        <v>73</v>
      </c>
      <c r="AA60" s="6" t="s">
        <v>319</v>
      </c>
      <c r="AB60" s="2" t="str">
        <f>LEFT(A60,3)</f>
        <v>CAS</v>
      </c>
    </row>
    <row r="61" spans="1:28">
      <c r="A61" s="6" t="s">
        <v>321</v>
      </c>
      <c r="B61" s="6" t="s">
        <v>29</v>
      </c>
      <c r="C61" s="6" t="s">
        <v>30</v>
      </c>
      <c r="D61" s="6" t="s">
        <v>322</v>
      </c>
      <c r="E61" s="6" t="s">
        <v>322</v>
      </c>
      <c r="F61" s="6" t="s">
        <v>322</v>
      </c>
      <c r="G61" s="2" t="s">
        <v>323</v>
      </c>
      <c r="H61" s="2" t="s">
        <v>322</v>
      </c>
      <c r="I61" s="2" t="s">
        <v>34</v>
      </c>
      <c r="J61" s="7">
        <v>446109.80971</v>
      </c>
      <c r="K61" s="7">
        <v>217742.31229</v>
      </c>
      <c r="L61" s="8">
        <v>166.44730771905199</v>
      </c>
      <c r="M61" s="8">
        <v>-22.242341453345102</v>
      </c>
      <c r="N61" s="2">
        <v>3</v>
      </c>
      <c r="O61" s="2">
        <v>6</v>
      </c>
      <c r="P61" s="2">
        <v>6</v>
      </c>
      <c r="Q61" s="2" t="s">
        <v>35</v>
      </c>
      <c r="R61" s="2" t="s">
        <v>324</v>
      </c>
      <c r="S61" s="2" t="s">
        <v>37</v>
      </c>
      <c r="U61" s="2">
        <f>P61-N61</f>
        <v>3</v>
      </c>
      <c r="W61" s="30" t="s">
        <v>52</v>
      </c>
      <c r="X61" s="2" t="s">
        <v>39</v>
      </c>
      <c r="Y61" s="6" t="s">
        <v>322</v>
      </c>
      <c r="Z61" s="2" t="s">
        <v>40</v>
      </c>
      <c r="AA61" s="2" t="s">
        <v>323</v>
      </c>
      <c r="AB61" s="2" t="str">
        <f>LEFT(A61,3)</f>
        <v>CAT</v>
      </c>
    </row>
    <row r="62" spans="1:28">
      <c r="A62" s="6" t="s">
        <v>325</v>
      </c>
      <c r="B62" s="6" t="s">
        <v>56</v>
      </c>
      <c r="C62" s="6" t="s">
        <v>50</v>
      </c>
      <c r="D62" s="6" t="s">
        <v>326</v>
      </c>
      <c r="E62" s="6" t="s">
        <v>52</v>
      </c>
      <c r="F62" s="6" t="s">
        <v>327</v>
      </c>
      <c r="G62" s="6" t="s">
        <v>327</v>
      </c>
      <c r="H62" s="2" t="s">
        <v>327</v>
      </c>
      <c r="I62" s="2" t="s">
        <v>53</v>
      </c>
      <c r="J62" s="7">
        <v>435220</v>
      </c>
      <c r="K62" s="7">
        <v>234750</v>
      </c>
      <c r="L62" s="14">
        <v>166.34130500000001</v>
      </c>
      <c r="M62" s="14">
        <v>-22.088989000000002</v>
      </c>
      <c r="N62" s="2">
        <v>3</v>
      </c>
      <c r="O62" s="2">
        <v>3</v>
      </c>
      <c r="P62" s="2">
        <v>3</v>
      </c>
      <c r="Q62" s="2" t="s">
        <v>35</v>
      </c>
      <c r="R62" s="2" t="s">
        <v>328</v>
      </c>
      <c r="S62" s="2" t="s">
        <v>47</v>
      </c>
      <c r="U62" s="2">
        <f>P62-N62</f>
        <v>0</v>
      </c>
      <c r="W62" s="30" t="s">
        <v>52</v>
      </c>
      <c r="X62" s="2" t="s">
        <v>52</v>
      </c>
      <c r="Y62" s="6" t="s">
        <v>329</v>
      </c>
      <c r="Z62" s="2" t="s">
        <v>40</v>
      </c>
      <c r="AA62" s="6" t="s">
        <v>329</v>
      </c>
      <c r="AB62" s="2" t="str">
        <f>LEFT(A62,3)</f>
        <v>CBD</v>
      </c>
    </row>
    <row r="63" spans="1:28">
      <c r="A63" s="6" t="s">
        <v>330</v>
      </c>
      <c r="B63" s="6" t="s">
        <v>331</v>
      </c>
      <c r="C63" s="6" t="s">
        <v>43</v>
      </c>
      <c r="D63" s="6" t="s">
        <v>332</v>
      </c>
      <c r="E63" s="6" t="s">
        <v>52</v>
      </c>
      <c r="F63" s="6" t="s">
        <v>333</v>
      </c>
      <c r="G63" s="6" t="s">
        <v>333</v>
      </c>
      <c r="H63" s="2" t="s">
        <v>333</v>
      </c>
      <c r="I63" s="2" t="s">
        <v>53</v>
      </c>
      <c r="J63" s="7">
        <v>546931</v>
      </c>
      <c r="K63" s="7">
        <v>174046</v>
      </c>
      <c r="L63" s="8">
        <v>167.42920000000001</v>
      </c>
      <c r="M63" s="8">
        <v>-22.631456</v>
      </c>
      <c r="N63" s="2">
        <v>3</v>
      </c>
      <c r="O63" s="2">
        <v>3</v>
      </c>
      <c r="P63" s="2">
        <v>3</v>
      </c>
      <c r="Q63" s="2" t="s">
        <v>35</v>
      </c>
      <c r="R63" s="2" t="s">
        <v>334</v>
      </c>
      <c r="S63" s="2" t="s">
        <v>47</v>
      </c>
      <c r="U63" s="2">
        <f>P63-N63</f>
        <v>0</v>
      </c>
      <c r="W63" s="30" t="s">
        <v>52</v>
      </c>
      <c r="X63" s="2" t="s">
        <v>52</v>
      </c>
      <c r="Y63" s="6" t="s">
        <v>333</v>
      </c>
      <c r="Z63" s="2" t="s">
        <v>40</v>
      </c>
      <c r="AA63" s="6" t="s">
        <v>333</v>
      </c>
      <c r="AB63" s="2" t="str">
        <f>LEFT(A63,3)</f>
        <v>CBE</v>
      </c>
    </row>
    <row r="64" spans="1:28">
      <c r="A64" s="6" t="s">
        <v>335</v>
      </c>
      <c r="B64" s="6" t="s">
        <v>191</v>
      </c>
      <c r="C64" s="6" t="s">
        <v>43</v>
      </c>
      <c r="D64" s="6" t="s">
        <v>336</v>
      </c>
      <c r="E64" s="6" t="s">
        <v>337</v>
      </c>
      <c r="F64" s="6" t="s">
        <v>338</v>
      </c>
      <c r="G64" s="6" t="s">
        <v>338</v>
      </c>
      <c r="H64" s="2" t="s">
        <v>339</v>
      </c>
      <c r="I64" s="2" t="s">
        <v>34</v>
      </c>
      <c r="J64" s="7">
        <v>362200.18910999998</v>
      </c>
      <c r="K64" s="7">
        <v>286776.22966000001</v>
      </c>
      <c r="L64" s="8">
        <v>165.63487048049799</v>
      </c>
      <c r="M64" s="8">
        <v>-21.619045440087</v>
      </c>
      <c r="N64" s="2">
        <v>3</v>
      </c>
      <c r="O64" s="2">
        <v>3</v>
      </c>
      <c r="P64" s="2">
        <v>3</v>
      </c>
      <c r="Q64" s="2" t="s">
        <v>195</v>
      </c>
      <c r="R64" s="2" t="s">
        <v>340</v>
      </c>
      <c r="S64" s="2" t="s">
        <v>47</v>
      </c>
      <c r="U64" s="2">
        <f>P64-N64</f>
        <v>0</v>
      </c>
      <c r="V64" s="2" t="s">
        <v>197</v>
      </c>
      <c r="W64" s="30" t="s">
        <v>337</v>
      </c>
      <c r="X64" s="2" t="s">
        <v>82</v>
      </c>
      <c r="Y64" s="6" t="s">
        <v>338</v>
      </c>
      <c r="Z64" s="2" t="s">
        <v>73</v>
      </c>
      <c r="AA64" s="6" t="s">
        <v>338</v>
      </c>
      <c r="AB64" s="2" t="str">
        <f>LEFT(A64,3)</f>
        <v>CBO</v>
      </c>
    </row>
    <row r="65" spans="1:28">
      <c r="A65" s="6" t="s">
        <v>341</v>
      </c>
      <c r="B65" s="6" t="s">
        <v>191</v>
      </c>
      <c r="C65" s="6" t="s">
        <v>43</v>
      </c>
      <c r="D65" s="6" t="s">
        <v>342</v>
      </c>
      <c r="E65" s="6" t="s">
        <v>342</v>
      </c>
      <c r="F65" s="6" t="s">
        <v>342</v>
      </c>
      <c r="G65" s="2" t="s">
        <v>343</v>
      </c>
      <c r="H65" s="2" t="s">
        <v>342</v>
      </c>
      <c r="I65" s="2" t="s">
        <v>34</v>
      </c>
      <c r="J65" s="7">
        <v>350467.90217999998</v>
      </c>
      <c r="K65" s="7">
        <v>306703.04624</v>
      </c>
      <c r="L65" s="8">
        <v>165.52213411609401</v>
      </c>
      <c r="M65" s="8">
        <v>-21.438771470794599</v>
      </c>
      <c r="N65" s="2">
        <v>2</v>
      </c>
      <c r="O65" s="2">
        <v>3</v>
      </c>
      <c r="P65" s="2">
        <f>N65</f>
        <v>2</v>
      </c>
      <c r="Q65" s="2" t="s">
        <v>35</v>
      </c>
      <c r="R65" s="2" t="s">
        <v>344</v>
      </c>
      <c r="S65" s="2" t="s">
        <v>47</v>
      </c>
      <c r="U65" s="2">
        <f>P65-N65</f>
        <v>0</v>
      </c>
      <c r="W65" s="30" t="s">
        <v>342</v>
      </c>
      <c r="X65" s="2" t="s">
        <v>82</v>
      </c>
      <c r="Y65" s="6" t="s">
        <v>342</v>
      </c>
      <c r="Z65" s="2" t="s">
        <v>73</v>
      </c>
      <c r="AA65" s="2" t="s">
        <v>343</v>
      </c>
      <c r="AB65" s="2" t="str">
        <f>LEFT(A65,3)</f>
        <v>CBU</v>
      </c>
    </row>
    <row r="66" spans="1:28">
      <c r="A66" s="2" t="s">
        <v>345</v>
      </c>
      <c r="B66" s="2" t="s">
        <v>148</v>
      </c>
      <c r="C66" s="2" t="s">
        <v>68</v>
      </c>
      <c r="D66" s="6" t="s">
        <v>346</v>
      </c>
      <c r="E66" s="6" t="s">
        <v>347</v>
      </c>
      <c r="F66" s="6" t="s">
        <v>348</v>
      </c>
      <c r="G66" s="6" t="s">
        <v>348</v>
      </c>
      <c r="H66" s="6" t="s">
        <v>348</v>
      </c>
      <c r="I66" s="2" t="s">
        <v>53</v>
      </c>
      <c r="J66" s="7">
        <v>328604</v>
      </c>
      <c r="K66" s="7">
        <v>307306</v>
      </c>
      <c r="L66" s="9">
        <v>165.311227</v>
      </c>
      <c r="M66" s="8">
        <v>-21.432587999999999</v>
      </c>
      <c r="N66" s="2">
        <v>2</v>
      </c>
      <c r="O66" s="2">
        <v>2</v>
      </c>
      <c r="P66" s="2">
        <v>2</v>
      </c>
      <c r="Q66" s="2" t="s">
        <v>195</v>
      </c>
      <c r="R66" s="2" t="s">
        <v>349</v>
      </c>
      <c r="S66" s="2" t="s">
        <v>47</v>
      </c>
      <c r="U66" s="2">
        <f>P66-N66</f>
        <v>0</v>
      </c>
      <c r="V66" s="2" t="s">
        <v>102</v>
      </c>
      <c r="W66" s="30" t="s">
        <v>347</v>
      </c>
      <c r="X66" s="2" t="s">
        <v>82</v>
      </c>
      <c r="Y66" s="6" t="s">
        <v>348</v>
      </c>
      <c r="Z66" s="2" t="s">
        <v>73</v>
      </c>
      <c r="AA66" s="6" t="s">
        <v>348</v>
      </c>
      <c r="AB66" s="2" t="str">
        <f>LEFT(A66,3)</f>
        <v>CCI</v>
      </c>
    </row>
    <row r="67" spans="1:28">
      <c r="A67" s="6" t="s">
        <v>350</v>
      </c>
      <c r="B67" s="6" t="s">
        <v>351</v>
      </c>
      <c r="C67" s="6" t="s">
        <v>129</v>
      </c>
      <c r="D67" s="6" t="s">
        <v>352</v>
      </c>
      <c r="E67" s="6" t="s">
        <v>352</v>
      </c>
      <c r="F67" s="6" t="s">
        <v>352</v>
      </c>
      <c r="G67" s="2" t="s">
        <v>353</v>
      </c>
      <c r="H67" s="2" t="s">
        <v>352</v>
      </c>
      <c r="I67" s="2" t="s">
        <v>34</v>
      </c>
      <c r="J67" s="7">
        <v>596635.8075</v>
      </c>
      <c r="K67" s="7">
        <v>288993.85904000001</v>
      </c>
      <c r="L67" s="8">
        <v>167.89905737216799</v>
      </c>
      <c r="M67" s="8">
        <v>-21.588622393413601</v>
      </c>
      <c r="N67" s="2">
        <v>1</v>
      </c>
      <c r="O67" s="2">
        <v>1</v>
      </c>
      <c r="P67" s="2">
        <f>N67</f>
        <v>1</v>
      </c>
      <c r="Q67" s="2" t="s">
        <v>35</v>
      </c>
      <c r="R67" s="2" t="s">
        <v>354</v>
      </c>
      <c r="S67" s="2" t="s">
        <v>47</v>
      </c>
      <c r="U67" s="2">
        <f>P67-N67</f>
        <v>0</v>
      </c>
      <c r="W67" s="30" t="s">
        <v>352</v>
      </c>
      <c r="X67" s="2" t="s">
        <v>82</v>
      </c>
      <c r="Y67" s="6" t="s">
        <v>352</v>
      </c>
      <c r="Z67" s="2" t="s">
        <v>73</v>
      </c>
      <c r="AA67" s="2" t="s">
        <v>353</v>
      </c>
      <c r="AB67" s="2" t="str">
        <f>LEFT(A67,3)</f>
        <v>CEN</v>
      </c>
    </row>
    <row r="68" spans="1:28">
      <c r="A68" s="6" t="s">
        <v>355</v>
      </c>
      <c r="B68" s="6" t="s">
        <v>67</v>
      </c>
      <c r="C68" s="6" t="s">
        <v>68</v>
      </c>
      <c r="D68" s="6" t="s">
        <v>356</v>
      </c>
      <c r="E68" s="6" t="s">
        <v>356</v>
      </c>
      <c r="F68" s="6" t="s">
        <v>356</v>
      </c>
      <c r="G68" s="2" t="s">
        <v>357</v>
      </c>
      <c r="H68" s="2" t="s">
        <v>356</v>
      </c>
      <c r="I68" s="2" t="s">
        <v>34</v>
      </c>
      <c r="J68" s="7">
        <v>278848.56777999998</v>
      </c>
      <c r="K68" s="7">
        <v>348855.39500000002</v>
      </c>
      <c r="L68" s="8">
        <v>164.834231924818</v>
      </c>
      <c r="M68" s="8">
        <v>-21.054632148453699</v>
      </c>
      <c r="N68" s="2">
        <v>3</v>
      </c>
      <c r="O68" s="2">
        <v>6</v>
      </c>
      <c r="P68" s="2">
        <v>6</v>
      </c>
      <c r="Q68" s="2" t="s">
        <v>35</v>
      </c>
      <c r="R68" s="2" t="s">
        <v>358</v>
      </c>
      <c r="S68" s="2" t="s">
        <v>37</v>
      </c>
      <c r="U68" s="2">
        <f>P68-N68</f>
        <v>3</v>
      </c>
      <c r="W68" s="30" t="s">
        <v>52</v>
      </c>
      <c r="X68" s="2" t="s">
        <v>82</v>
      </c>
      <c r="Y68" s="6" t="s">
        <v>356</v>
      </c>
      <c r="Z68" s="2" t="s">
        <v>73</v>
      </c>
      <c r="AA68" s="2" t="s">
        <v>357</v>
      </c>
      <c r="AB68" s="2" t="str">
        <f>LEFT(A68,3)</f>
        <v>CET</v>
      </c>
    </row>
    <row r="69" spans="1:28">
      <c r="A69" s="6" t="s">
        <v>359</v>
      </c>
      <c r="B69" s="6" t="s">
        <v>29</v>
      </c>
      <c r="C69" s="6" t="s">
        <v>30</v>
      </c>
      <c r="D69" s="6" t="s">
        <v>360</v>
      </c>
      <c r="E69" s="6" t="s">
        <v>360</v>
      </c>
      <c r="F69" s="6" t="s">
        <v>360</v>
      </c>
      <c r="G69" s="2" t="s">
        <v>361</v>
      </c>
      <c r="H69" s="2" t="s">
        <v>360</v>
      </c>
      <c r="I69" s="2" t="s">
        <v>53</v>
      </c>
      <c r="J69" s="7">
        <v>446380</v>
      </c>
      <c r="K69" s="7">
        <v>218238</v>
      </c>
      <c r="L69" s="9">
        <v>166.44990999999999</v>
      </c>
      <c r="M69" s="8">
        <v>-22.237860000000001</v>
      </c>
      <c r="N69" s="2">
        <v>3</v>
      </c>
      <c r="O69" s="2">
        <v>9</v>
      </c>
      <c r="P69" s="2">
        <v>9</v>
      </c>
      <c r="Q69" s="2" t="s">
        <v>35</v>
      </c>
      <c r="R69" s="2" t="s">
        <v>362</v>
      </c>
      <c r="S69" s="2" t="s">
        <v>37</v>
      </c>
      <c r="U69" s="2">
        <f>P69-N69</f>
        <v>6</v>
      </c>
      <c r="W69" s="30" t="s">
        <v>360</v>
      </c>
      <c r="X69" s="2" t="s">
        <v>39</v>
      </c>
      <c r="Y69" s="6" t="s">
        <v>360</v>
      </c>
      <c r="Z69" s="2" t="s">
        <v>40</v>
      </c>
      <c r="AA69" s="2" t="s">
        <v>361</v>
      </c>
      <c r="AB69" s="2" t="str">
        <f>LEFT(A69,3)</f>
        <v>CGC</v>
      </c>
    </row>
    <row r="70" spans="1:28">
      <c r="A70" s="2" t="s">
        <v>363</v>
      </c>
      <c r="B70" s="2" t="s">
        <v>191</v>
      </c>
      <c r="C70" s="2" t="s">
        <v>43</v>
      </c>
      <c r="D70" s="2" t="s">
        <v>364</v>
      </c>
      <c r="E70" s="2" t="s">
        <v>52</v>
      </c>
      <c r="F70" s="2" t="s">
        <v>365</v>
      </c>
      <c r="G70" s="2" t="s">
        <v>365</v>
      </c>
      <c r="H70" s="2" t="s">
        <v>365</v>
      </c>
      <c r="I70" s="2" t="s">
        <v>53</v>
      </c>
      <c r="J70" s="15">
        <v>323330</v>
      </c>
      <c r="K70" s="7">
        <v>299630</v>
      </c>
      <c r="L70" s="8">
        <v>165.26</v>
      </c>
      <c r="M70" s="8">
        <v>-21.5017</v>
      </c>
      <c r="N70" s="2">
        <v>3</v>
      </c>
      <c r="O70" s="2">
        <v>3</v>
      </c>
      <c r="P70" s="2">
        <f>N70</f>
        <v>3</v>
      </c>
      <c r="Q70" s="2" t="s">
        <v>35</v>
      </c>
      <c r="R70" s="2" t="s">
        <v>366</v>
      </c>
      <c r="S70" s="2" t="s">
        <v>47</v>
      </c>
      <c r="U70" s="2">
        <f>P70-N70</f>
        <v>0</v>
      </c>
      <c r="W70" s="30" t="s">
        <v>52</v>
      </c>
      <c r="X70" s="6" t="s">
        <v>52</v>
      </c>
      <c r="Y70" s="2" t="s">
        <v>365</v>
      </c>
      <c r="Z70" s="2" t="s">
        <v>73</v>
      </c>
      <c r="AA70" s="2" t="s">
        <v>365</v>
      </c>
      <c r="AB70" s="2" t="str">
        <f>LEFT(A70,3)</f>
        <v>CGO</v>
      </c>
    </row>
    <row r="71" spans="1:28">
      <c r="A71" s="6" t="s">
        <v>367</v>
      </c>
      <c r="B71" s="6" t="s">
        <v>368</v>
      </c>
      <c r="C71" s="6" t="s">
        <v>68</v>
      </c>
      <c r="D71" s="6" t="s">
        <v>369</v>
      </c>
      <c r="E71" s="6" t="s">
        <v>369</v>
      </c>
      <c r="F71" s="6" t="s">
        <v>369</v>
      </c>
      <c r="G71" s="2" t="s">
        <v>370</v>
      </c>
      <c r="H71" s="2" t="s">
        <v>369</v>
      </c>
      <c r="I71" s="2" t="s">
        <v>34</v>
      </c>
      <c r="J71" s="7">
        <v>218168.17415000001</v>
      </c>
      <c r="K71" s="7">
        <v>409983.70980999997</v>
      </c>
      <c r="L71" s="8">
        <v>164.25693158295499</v>
      </c>
      <c r="M71" s="8">
        <v>-20.497410082353401</v>
      </c>
      <c r="N71" s="2">
        <v>2</v>
      </c>
      <c r="O71" s="2">
        <v>2</v>
      </c>
      <c r="P71" s="2">
        <v>4</v>
      </c>
      <c r="Q71" s="2" t="s">
        <v>35</v>
      </c>
      <c r="R71" s="2" t="s">
        <v>371</v>
      </c>
      <c r="S71" s="2" t="s">
        <v>47</v>
      </c>
      <c r="U71" s="2">
        <f>P71-N71</f>
        <v>2</v>
      </c>
      <c r="W71" s="30" t="s">
        <v>369</v>
      </c>
      <c r="X71" s="2" t="s">
        <v>82</v>
      </c>
      <c r="Y71" s="6" t="s">
        <v>369</v>
      </c>
      <c r="Z71" s="2" t="s">
        <v>73</v>
      </c>
      <c r="AA71" s="2" t="s">
        <v>370</v>
      </c>
      <c r="AB71" s="2" t="str">
        <f>LEFT(A71,3)</f>
        <v>CHA</v>
      </c>
    </row>
    <row r="72" spans="1:28">
      <c r="A72" s="6" t="s">
        <v>372</v>
      </c>
      <c r="B72" s="6" t="s">
        <v>373</v>
      </c>
      <c r="C72" s="6" t="s">
        <v>129</v>
      </c>
      <c r="D72" s="6" t="s">
        <v>374</v>
      </c>
      <c r="E72" s="6" t="s">
        <v>374</v>
      </c>
      <c r="F72" s="6" t="s">
        <v>374</v>
      </c>
      <c r="G72" s="2" t="s">
        <v>375</v>
      </c>
      <c r="H72" s="2" t="s">
        <v>374</v>
      </c>
      <c r="I72" s="2" t="s">
        <v>34</v>
      </c>
      <c r="J72" s="7">
        <v>519350.28373999998</v>
      </c>
      <c r="K72" s="7">
        <v>379127.84609000001</v>
      </c>
      <c r="L72" s="8">
        <v>167.14630269328001</v>
      </c>
      <c r="M72" s="8">
        <v>-20.781316070600699</v>
      </c>
      <c r="N72" s="2">
        <v>2</v>
      </c>
      <c r="O72" s="2">
        <v>4</v>
      </c>
      <c r="P72" s="2">
        <f>N72</f>
        <v>2</v>
      </c>
      <c r="Q72" s="2" t="s">
        <v>35</v>
      </c>
      <c r="R72" s="2" t="s">
        <v>376</v>
      </c>
      <c r="S72" s="2" t="s">
        <v>47</v>
      </c>
      <c r="U72" s="2">
        <f>P72-N72</f>
        <v>0</v>
      </c>
      <c r="W72" s="30" t="s">
        <v>374</v>
      </c>
      <c r="X72" s="2" t="s">
        <v>82</v>
      </c>
      <c r="Y72" s="6" t="s">
        <v>374</v>
      </c>
      <c r="Z72" s="2" t="s">
        <v>73</v>
      </c>
      <c r="AA72" s="2" t="s">
        <v>375</v>
      </c>
      <c r="AB72" s="2" t="str">
        <f>LEFT(A72,3)</f>
        <v>CHE</v>
      </c>
    </row>
    <row r="73" spans="1:28">
      <c r="A73" s="6" t="s">
        <v>377</v>
      </c>
      <c r="B73" s="6" t="s">
        <v>29</v>
      </c>
      <c r="C73" s="6" t="s">
        <v>30</v>
      </c>
      <c r="D73" s="6" t="s">
        <v>378</v>
      </c>
      <c r="E73" s="6" t="s">
        <v>378</v>
      </c>
      <c r="F73" s="6" t="s">
        <v>378</v>
      </c>
      <c r="G73" s="2" t="s">
        <v>379</v>
      </c>
      <c r="H73" s="2" t="s">
        <v>378</v>
      </c>
      <c r="I73" s="2" t="s">
        <v>34</v>
      </c>
      <c r="J73" s="7">
        <v>446073.59681000002</v>
      </c>
      <c r="K73" s="7">
        <v>215815.823</v>
      </c>
      <c r="L73" s="8">
        <v>166.44701191532201</v>
      </c>
      <c r="M73" s="8">
        <v>-22.259735738981899</v>
      </c>
      <c r="N73" s="2">
        <v>2</v>
      </c>
      <c r="O73" s="2">
        <v>4</v>
      </c>
      <c r="P73" s="2">
        <f>N73</f>
        <v>2</v>
      </c>
      <c r="Q73" s="2" t="s">
        <v>35</v>
      </c>
      <c r="R73" s="2" t="s">
        <v>380</v>
      </c>
      <c r="S73" s="2" t="s">
        <v>37</v>
      </c>
      <c r="U73" s="2">
        <f>P73-N73</f>
        <v>0</v>
      </c>
      <c r="W73" s="30" t="s">
        <v>52</v>
      </c>
      <c r="X73" s="2" t="s">
        <v>39</v>
      </c>
      <c r="Y73" s="6" t="s">
        <v>378</v>
      </c>
      <c r="Z73" s="2" t="s">
        <v>40</v>
      </c>
      <c r="AA73" s="2" t="s">
        <v>379</v>
      </c>
      <c r="AB73" s="2" t="str">
        <f>LEFT(A73,3)</f>
        <v>CHP</v>
      </c>
    </row>
    <row r="74" spans="1:28">
      <c r="A74" s="6" t="s">
        <v>381</v>
      </c>
      <c r="B74" s="6" t="s">
        <v>49</v>
      </c>
      <c r="C74" s="6" t="s">
        <v>50</v>
      </c>
      <c r="D74" s="6" t="s">
        <v>382</v>
      </c>
      <c r="E74" s="6" t="s">
        <v>52</v>
      </c>
      <c r="F74" s="6" t="s">
        <v>52</v>
      </c>
      <c r="G74" s="2" t="s">
        <v>382</v>
      </c>
      <c r="H74" s="2" t="s">
        <v>382</v>
      </c>
      <c r="I74" s="2" t="s">
        <v>34</v>
      </c>
      <c r="J74" s="7">
        <v>446668</v>
      </c>
      <c r="K74" s="7">
        <v>221345</v>
      </c>
      <c r="L74" s="8">
        <v>166.45088999999999</v>
      </c>
      <c r="M74" s="8">
        <v>-22.208891999999999</v>
      </c>
      <c r="N74" s="2">
        <v>2</v>
      </c>
      <c r="O74" s="2">
        <v>0</v>
      </c>
      <c r="P74" s="2">
        <f>N74</f>
        <v>2</v>
      </c>
      <c r="Q74" s="2" t="s">
        <v>35</v>
      </c>
      <c r="R74" s="2" t="s">
        <v>383</v>
      </c>
      <c r="S74" s="2" t="s">
        <v>37</v>
      </c>
      <c r="U74" s="2">
        <f>P74-N74</f>
        <v>0</v>
      </c>
      <c r="W74" s="30" t="s">
        <v>52</v>
      </c>
      <c r="X74" s="2" t="s">
        <v>52</v>
      </c>
      <c r="Y74" s="6" t="s">
        <v>52</v>
      </c>
      <c r="Z74" s="2" t="s">
        <v>52</v>
      </c>
      <c r="AA74" s="2" t="s">
        <v>382</v>
      </c>
      <c r="AB74" s="2" t="str">
        <f>LEFT(A74,3)</f>
        <v>CHT</v>
      </c>
    </row>
    <row r="75" spans="1:28">
      <c r="A75" s="6" t="s">
        <v>384</v>
      </c>
      <c r="B75" s="6" t="s">
        <v>49</v>
      </c>
      <c r="C75" s="6" t="s">
        <v>50</v>
      </c>
      <c r="D75" s="6" t="s">
        <v>385</v>
      </c>
      <c r="E75" s="6" t="s">
        <v>52</v>
      </c>
      <c r="F75" s="6" t="s">
        <v>385</v>
      </c>
      <c r="G75" s="2" t="s">
        <v>52</v>
      </c>
      <c r="H75" s="2" t="s">
        <v>385</v>
      </c>
      <c r="I75" s="2" t="s">
        <v>34</v>
      </c>
      <c r="J75" s="7">
        <v>446668</v>
      </c>
      <c r="K75" s="7">
        <v>221345</v>
      </c>
      <c r="L75" s="8">
        <v>166.45088999999999</v>
      </c>
      <c r="M75" s="8">
        <v>-22.208891999999999</v>
      </c>
      <c r="N75" s="2">
        <v>1</v>
      </c>
      <c r="O75" s="2">
        <v>1</v>
      </c>
      <c r="P75" s="2">
        <v>0</v>
      </c>
      <c r="Q75" s="2" t="s">
        <v>35</v>
      </c>
      <c r="R75" s="2" t="s">
        <v>383</v>
      </c>
      <c r="S75" s="2" t="s">
        <v>37</v>
      </c>
      <c r="U75" s="2">
        <f>P75-N75</f>
        <v>-1</v>
      </c>
      <c r="W75" s="30" t="s">
        <v>52</v>
      </c>
      <c r="X75" s="2" t="s">
        <v>52</v>
      </c>
      <c r="Y75" s="6" t="s">
        <v>385</v>
      </c>
      <c r="Z75" s="2" t="s">
        <v>40</v>
      </c>
      <c r="AA75" s="2" t="s">
        <v>52</v>
      </c>
      <c r="AB75" s="2" t="str">
        <f>LEFT(A75,3)</f>
        <v>CHT</v>
      </c>
    </row>
    <row r="76" spans="1:28">
      <c r="A76" s="6" t="s">
        <v>386</v>
      </c>
      <c r="B76" s="6" t="s">
        <v>49</v>
      </c>
      <c r="C76" s="6" t="s">
        <v>50</v>
      </c>
      <c r="D76" s="6" t="s">
        <v>387</v>
      </c>
      <c r="E76" s="6" t="s">
        <v>52</v>
      </c>
      <c r="F76" s="6" t="s">
        <v>387</v>
      </c>
      <c r="G76" s="2" t="s">
        <v>52</v>
      </c>
      <c r="H76" s="6" t="s">
        <v>387</v>
      </c>
      <c r="I76" s="2" t="s">
        <v>34</v>
      </c>
      <c r="J76" s="7">
        <v>446668</v>
      </c>
      <c r="K76" s="7">
        <v>221345</v>
      </c>
      <c r="L76" s="8">
        <v>166.45088999999999</v>
      </c>
      <c r="M76" s="8">
        <v>-22.208891999999999</v>
      </c>
      <c r="N76" s="2">
        <v>1</v>
      </c>
      <c r="O76" s="2">
        <v>1</v>
      </c>
      <c r="P76" s="2">
        <v>0</v>
      </c>
      <c r="Q76" s="2" t="s">
        <v>35</v>
      </c>
      <c r="R76" s="2" t="s">
        <v>383</v>
      </c>
      <c r="S76" s="2" t="s">
        <v>37</v>
      </c>
      <c r="U76" s="2">
        <f>P76-N76</f>
        <v>-1</v>
      </c>
      <c r="W76" s="30" t="s">
        <v>52</v>
      </c>
      <c r="X76" s="2" t="s">
        <v>52</v>
      </c>
      <c r="Y76" s="6" t="s">
        <v>387</v>
      </c>
      <c r="Z76" s="2" t="s">
        <v>40</v>
      </c>
      <c r="AA76" s="2" t="s">
        <v>52</v>
      </c>
      <c r="AB76" s="2" t="str">
        <f>LEFT(A76,3)</f>
        <v>CHT</v>
      </c>
    </row>
    <row r="77" spans="1:28">
      <c r="A77" s="2" t="s">
        <v>388</v>
      </c>
      <c r="B77" s="2" t="s">
        <v>351</v>
      </c>
      <c r="C77" s="2" t="s">
        <v>129</v>
      </c>
      <c r="D77" s="2" t="s">
        <v>389</v>
      </c>
      <c r="E77" s="2" t="s">
        <v>52</v>
      </c>
      <c r="F77" s="2" t="s">
        <v>390</v>
      </c>
      <c r="G77" s="2" t="s">
        <v>390</v>
      </c>
      <c r="H77" s="2" t="s">
        <v>390</v>
      </c>
      <c r="I77" s="2" t="s">
        <v>53</v>
      </c>
      <c r="J77" s="2">
        <v>525522</v>
      </c>
      <c r="K77" s="2">
        <v>374410</v>
      </c>
      <c r="L77" s="2">
        <v>167.20593</v>
      </c>
      <c r="M77" s="2">
        <v>-20.823509999999999</v>
      </c>
      <c r="N77" s="2">
        <v>1</v>
      </c>
      <c r="O77" s="2">
        <v>1</v>
      </c>
      <c r="P77" s="2">
        <v>1</v>
      </c>
      <c r="Q77" s="2" t="s">
        <v>35</v>
      </c>
      <c r="R77" s="2" t="s">
        <v>391</v>
      </c>
      <c r="S77" s="2" t="s">
        <v>47</v>
      </c>
      <c r="U77" s="2">
        <f>P77-N77</f>
        <v>0</v>
      </c>
      <c r="W77" s="30" t="s">
        <v>52</v>
      </c>
      <c r="X77" s="6" t="s">
        <v>52</v>
      </c>
      <c r="Y77" s="2" t="s">
        <v>392</v>
      </c>
      <c r="Z77" s="2" t="s">
        <v>73</v>
      </c>
      <c r="AA77" s="2" t="s">
        <v>392</v>
      </c>
      <c r="AB77" s="2" t="str">
        <f>LEFT(A77,3)</f>
        <v>CIL</v>
      </c>
    </row>
    <row r="78" spans="1:28">
      <c r="A78" s="6" t="s">
        <v>393</v>
      </c>
      <c r="B78" s="6" t="s">
        <v>29</v>
      </c>
      <c r="C78" s="6" t="s">
        <v>30</v>
      </c>
      <c r="D78" s="6" t="s">
        <v>394</v>
      </c>
      <c r="E78" s="6" t="s">
        <v>394</v>
      </c>
      <c r="F78" s="6" t="s">
        <v>394</v>
      </c>
      <c r="G78" s="2" t="s">
        <v>395</v>
      </c>
      <c r="H78" s="2" t="s">
        <v>394</v>
      </c>
      <c r="I78" s="2" t="s">
        <v>34</v>
      </c>
      <c r="J78" s="7">
        <v>442382.51734999998</v>
      </c>
      <c r="K78" s="7">
        <v>214866.43947000001</v>
      </c>
      <c r="L78" s="8">
        <v>166.411226093815</v>
      </c>
      <c r="M78" s="8">
        <v>-22.268406478649801</v>
      </c>
      <c r="N78" s="2">
        <v>2</v>
      </c>
      <c r="O78" s="2">
        <v>4</v>
      </c>
      <c r="P78" s="2">
        <f>N78</f>
        <v>2</v>
      </c>
      <c r="Q78" s="2" t="s">
        <v>35</v>
      </c>
      <c r="R78" s="2" t="s">
        <v>396</v>
      </c>
      <c r="S78" s="2" t="s">
        <v>37</v>
      </c>
      <c r="U78" s="2">
        <f>P78-N78</f>
        <v>0</v>
      </c>
      <c r="W78" s="30" t="s">
        <v>52</v>
      </c>
      <c r="X78" s="2" t="s">
        <v>39</v>
      </c>
      <c r="Y78" s="6" t="s">
        <v>394</v>
      </c>
      <c r="Z78" s="2" t="s">
        <v>40</v>
      </c>
      <c r="AA78" s="2" t="s">
        <v>395</v>
      </c>
      <c r="AB78" s="2" t="str">
        <f>LEFT(A78,3)</f>
        <v>CIT</v>
      </c>
    </row>
    <row r="79" spans="1:28">
      <c r="A79" s="2" t="s">
        <v>397</v>
      </c>
      <c r="B79" s="2" t="s">
        <v>49</v>
      </c>
      <c r="C79" s="2" t="s">
        <v>50</v>
      </c>
      <c r="D79" s="6" t="s">
        <v>398</v>
      </c>
      <c r="E79" s="6" t="s">
        <v>398</v>
      </c>
      <c r="F79" s="6" t="s">
        <v>398</v>
      </c>
      <c r="G79" s="2" t="s">
        <v>399</v>
      </c>
      <c r="H79" s="2" t="s">
        <v>398</v>
      </c>
      <c r="I79" s="2" t="s">
        <v>34</v>
      </c>
      <c r="J79" s="7">
        <v>448590</v>
      </c>
      <c r="K79" s="7">
        <v>221255</v>
      </c>
      <c r="L79" s="9">
        <v>166.47126299999999</v>
      </c>
      <c r="M79" s="8">
        <v>-22.210550000000001</v>
      </c>
      <c r="N79" s="2">
        <v>3</v>
      </c>
      <c r="O79" s="2">
        <v>6</v>
      </c>
      <c r="P79" s="2">
        <v>6</v>
      </c>
      <c r="Q79" s="2" t="s">
        <v>35</v>
      </c>
      <c r="R79" s="2" t="s">
        <v>400</v>
      </c>
      <c r="S79" s="2" t="s">
        <v>37</v>
      </c>
      <c r="U79" s="2">
        <f>P79-N79</f>
        <v>3</v>
      </c>
      <c r="W79" s="30" t="s">
        <v>52</v>
      </c>
      <c r="X79" s="2" t="s">
        <v>39</v>
      </c>
      <c r="Y79" s="6" t="s">
        <v>398</v>
      </c>
      <c r="Z79" s="2" t="s">
        <v>40</v>
      </c>
      <c r="AA79" s="2" t="s">
        <v>399</v>
      </c>
      <c r="AB79" s="2" t="str">
        <f>LEFT(A79,3)</f>
        <v>CKO</v>
      </c>
    </row>
    <row r="80" spans="1:28">
      <c r="A80" s="2" t="s">
        <v>401</v>
      </c>
      <c r="B80" s="2" t="s">
        <v>402</v>
      </c>
      <c r="C80" s="2" t="s">
        <v>68</v>
      </c>
      <c r="D80" s="2" t="s">
        <v>403</v>
      </c>
      <c r="E80" s="2" t="s">
        <v>52</v>
      </c>
      <c r="F80" s="2" t="s">
        <v>404</v>
      </c>
      <c r="G80" s="2" t="s">
        <v>404</v>
      </c>
      <c r="H80" s="2" t="s">
        <v>404</v>
      </c>
      <c r="I80" s="2" t="s">
        <v>53</v>
      </c>
      <c r="J80" s="2">
        <v>342380</v>
      </c>
      <c r="K80" s="2">
        <v>318276</v>
      </c>
      <c r="L80" s="2">
        <v>165.44450000000001</v>
      </c>
      <c r="M80" s="2">
        <v>-21.334</v>
      </c>
      <c r="N80" s="2">
        <v>2</v>
      </c>
      <c r="O80" s="2">
        <v>2</v>
      </c>
      <c r="P80" s="2">
        <v>2</v>
      </c>
      <c r="Q80" s="2" t="s">
        <v>35</v>
      </c>
      <c r="R80" s="2" t="s">
        <v>405</v>
      </c>
      <c r="S80" s="2" t="s">
        <v>47</v>
      </c>
      <c r="U80" s="2">
        <f>P80-N80</f>
        <v>0</v>
      </c>
      <c r="W80" s="30" t="s">
        <v>52</v>
      </c>
      <c r="X80" s="6" t="s">
        <v>52</v>
      </c>
      <c r="Y80" s="2" t="s">
        <v>404</v>
      </c>
      <c r="Z80" s="2" t="s">
        <v>73</v>
      </c>
      <c r="AA80" s="2" t="s">
        <v>404</v>
      </c>
      <c r="AB80" s="2" t="str">
        <f>LEFT(A80,3)</f>
        <v>CLA</v>
      </c>
    </row>
    <row r="81" spans="1:28">
      <c r="A81" s="6" t="s">
        <v>406</v>
      </c>
      <c r="B81" s="6" t="s">
        <v>29</v>
      </c>
      <c r="C81" s="6" t="s">
        <v>30</v>
      </c>
      <c r="D81" s="6" t="s">
        <v>407</v>
      </c>
      <c r="E81" s="6" t="s">
        <v>408</v>
      </c>
      <c r="F81" s="6" t="s">
        <v>409</v>
      </c>
      <c r="G81" s="6" t="s">
        <v>409</v>
      </c>
      <c r="H81" s="2" t="s">
        <v>410</v>
      </c>
      <c r="I81" s="2" t="s">
        <v>34</v>
      </c>
      <c r="J81" s="7">
        <v>445450.78136999998</v>
      </c>
      <c r="K81" s="7">
        <v>214770.00581</v>
      </c>
      <c r="L81" s="8">
        <v>166.44099620340299</v>
      </c>
      <c r="M81" s="8">
        <v>-22.269197910277502</v>
      </c>
      <c r="N81" s="2">
        <v>3</v>
      </c>
      <c r="O81" s="2">
        <v>9</v>
      </c>
      <c r="P81" s="2">
        <v>6</v>
      </c>
      <c r="Q81" s="2" t="s">
        <v>35</v>
      </c>
      <c r="R81" s="2" t="s">
        <v>411</v>
      </c>
      <c r="S81" s="2" t="s">
        <v>37</v>
      </c>
      <c r="U81" s="2">
        <f>P81-N81</f>
        <v>3</v>
      </c>
      <c r="W81" s="30" t="s">
        <v>408</v>
      </c>
      <c r="X81" s="2" t="s">
        <v>39</v>
      </c>
      <c r="Y81" s="6" t="s">
        <v>409</v>
      </c>
      <c r="Z81" s="2" t="s">
        <v>40</v>
      </c>
      <c r="AA81" s="6" t="s">
        <v>409</v>
      </c>
      <c r="AB81" s="2" t="str">
        <f>LEFT(A81,3)</f>
        <v>CLE</v>
      </c>
    </row>
    <row r="82" spans="1:28">
      <c r="A82" s="6" t="s">
        <v>412</v>
      </c>
      <c r="B82" s="6" t="s">
        <v>297</v>
      </c>
      <c r="C82" s="6" t="s">
        <v>68</v>
      </c>
      <c r="D82" s="6" t="s">
        <v>413</v>
      </c>
      <c r="E82" s="6" t="s">
        <v>413</v>
      </c>
      <c r="F82" s="6" t="s">
        <v>413</v>
      </c>
      <c r="G82" s="2" t="s">
        <v>414</v>
      </c>
      <c r="H82" s="2" t="s">
        <v>413</v>
      </c>
      <c r="I82" s="2" t="s">
        <v>34</v>
      </c>
      <c r="J82" s="7">
        <v>268694.58000999998</v>
      </c>
      <c r="K82" s="7">
        <v>412096.45984000002</v>
      </c>
      <c r="L82" s="8">
        <v>164.74142890587601</v>
      </c>
      <c r="M82" s="8">
        <v>-20.482716403248801</v>
      </c>
      <c r="N82" s="2">
        <v>3</v>
      </c>
      <c r="O82" s="2">
        <v>3</v>
      </c>
      <c r="P82" s="2">
        <v>3</v>
      </c>
      <c r="Q82" s="2" t="s">
        <v>35</v>
      </c>
      <c r="R82" s="2" t="s">
        <v>415</v>
      </c>
      <c r="S82" s="2" t="s">
        <v>47</v>
      </c>
      <c r="U82" s="2">
        <f>P82-N82</f>
        <v>0</v>
      </c>
      <c r="W82" s="30" t="s">
        <v>413</v>
      </c>
      <c r="X82" s="2" t="s">
        <v>82</v>
      </c>
      <c r="Y82" s="6" t="s">
        <v>413</v>
      </c>
      <c r="Z82" s="2" t="s">
        <v>73</v>
      </c>
      <c r="AA82" s="2" t="s">
        <v>414</v>
      </c>
      <c r="AB82" s="2" t="str">
        <f>LEFT(A82,3)</f>
        <v>CLT</v>
      </c>
    </row>
    <row r="83" spans="1:28">
      <c r="A83" s="6" t="s">
        <v>416</v>
      </c>
      <c r="B83" s="6" t="s">
        <v>93</v>
      </c>
      <c r="C83" s="6" t="s">
        <v>50</v>
      </c>
      <c r="D83" s="6" t="s">
        <v>417</v>
      </c>
      <c r="E83" s="6" t="s">
        <v>417</v>
      </c>
      <c r="F83" s="6" t="s">
        <v>417</v>
      </c>
      <c r="G83" s="2" t="s">
        <v>418</v>
      </c>
      <c r="H83" s="2" t="s">
        <v>417</v>
      </c>
      <c r="I83" s="2" t="s">
        <v>34</v>
      </c>
      <c r="J83" s="7">
        <v>460345.83347000001</v>
      </c>
      <c r="K83" s="7">
        <v>218161.45293999999</v>
      </c>
      <c r="L83" s="8">
        <v>166.585393130998</v>
      </c>
      <c r="M83" s="8">
        <v>-22.2381328814356</v>
      </c>
      <c r="N83" s="2">
        <v>3</v>
      </c>
      <c r="O83" s="2">
        <v>6</v>
      </c>
      <c r="P83" s="2">
        <f>N83</f>
        <v>3</v>
      </c>
      <c r="Q83" s="2" t="s">
        <v>35</v>
      </c>
      <c r="R83" s="2" t="s">
        <v>419</v>
      </c>
      <c r="S83" s="2" t="s">
        <v>37</v>
      </c>
      <c r="U83" s="2">
        <f>P83-N83</f>
        <v>0</v>
      </c>
      <c r="W83" s="30" t="s">
        <v>417</v>
      </c>
      <c r="X83" s="2" t="s">
        <v>39</v>
      </c>
      <c r="Y83" s="6" t="s">
        <v>417</v>
      </c>
      <c r="Z83" s="2" t="s">
        <v>40</v>
      </c>
      <c r="AA83" s="2" t="s">
        <v>418</v>
      </c>
      <c r="AB83" s="2" t="str">
        <f>LEFT(A83,3)</f>
        <v>CMD</v>
      </c>
    </row>
    <row r="84" spans="1:28">
      <c r="A84" s="6" t="s">
        <v>420</v>
      </c>
      <c r="B84" s="6" t="s">
        <v>421</v>
      </c>
      <c r="C84" s="6" t="s">
        <v>43</v>
      </c>
      <c r="D84" s="6" t="s">
        <v>422</v>
      </c>
      <c r="E84" s="6" t="s">
        <v>422</v>
      </c>
      <c r="F84" s="6" t="s">
        <v>422</v>
      </c>
      <c r="G84" s="2" t="s">
        <v>423</v>
      </c>
      <c r="H84" s="2" t="s">
        <v>422</v>
      </c>
      <c r="I84" s="2" t="s">
        <v>34</v>
      </c>
      <c r="J84" s="7">
        <v>363462.00345999998</v>
      </c>
      <c r="K84" s="7">
        <v>281425.91834999999</v>
      </c>
      <c r="L84" s="8">
        <v>165.64694402808399</v>
      </c>
      <c r="M84" s="8">
        <v>-21.667394118650101</v>
      </c>
      <c r="N84" s="2">
        <v>3</v>
      </c>
      <c r="O84" s="2">
        <v>3</v>
      </c>
      <c r="P84" s="2">
        <f>N84</f>
        <v>3</v>
      </c>
      <c r="Q84" s="2" t="s">
        <v>35</v>
      </c>
      <c r="R84" s="2" t="s">
        <v>424</v>
      </c>
      <c r="S84" s="2" t="s">
        <v>47</v>
      </c>
      <c r="U84" s="2">
        <f>P84-N84</f>
        <v>0</v>
      </c>
      <c r="W84" s="30" t="s">
        <v>422</v>
      </c>
      <c r="X84" s="2" t="s">
        <v>39</v>
      </c>
      <c r="Y84" s="6" t="s">
        <v>422</v>
      </c>
      <c r="Z84" s="2" t="s">
        <v>40</v>
      </c>
      <c r="AA84" s="2" t="s">
        <v>423</v>
      </c>
      <c r="AB84" s="2" t="str">
        <f>LEFT(A84,3)</f>
        <v>CMO</v>
      </c>
    </row>
    <row r="85" spans="1:28">
      <c r="A85" s="6" t="s">
        <v>425</v>
      </c>
      <c r="B85" s="6" t="s">
        <v>148</v>
      </c>
      <c r="C85" s="6" t="s">
        <v>68</v>
      </c>
      <c r="D85" s="6" t="s">
        <v>426</v>
      </c>
      <c r="E85" s="6" t="s">
        <v>427</v>
      </c>
      <c r="F85" s="6" t="s">
        <v>428</v>
      </c>
      <c r="G85" s="6" t="s">
        <v>428</v>
      </c>
      <c r="H85" s="2" t="s">
        <v>182</v>
      </c>
      <c r="I85" s="2" t="s">
        <v>34</v>
      </c>
      <c r="J85" s="7">
        <v>297636.91206</v>
      </c>
      <c r="K85" s="7">
        <v>322309.90795999998</v>
      </c>
      <c r="L85" s="8">
        <v>165.013401048231</v>
      </c>
      <c r="M85" s="8">
        <v>-21.295566382083098</v>
      </c>
      <c r="N85" s="2">
        <v>3</v>
      </c>
      <c r="O85" s="2">
        <v>3</v>
      </c>
      <c r="P85" s="2">
        <v>3</v>
      </c>
      <c r="Q85" s="2" t="s">
        <v>151</v>
      </c>
      <c r="R85" s="2" t="s">
        <v>429</v>
      </c>
      <c r="S85" s="2" t="s">
        <v>47</v>
      </c>
      <c r="U85" s="2">
        <f>P85-N85</f>
        <v>0</v>
      </c>
      <c r="V85" s="2" t="s">
        <v>197</v>
      </c>
      <c r="W85" s="30" t="s">
        <v>427</v>
      </c>
      <c r="X85" s="2" t="s">
        <v>82</v>
      </c>
      <c r="Y85" s="6" t="s">
        <v>428</v>
      </c>
      <c r="Z85" s="2" t="s">
        <v>73</v>
      </c>
      <c r="AA85" s="6" t="s">
        <v>428</v>
      </c>
      <c r="AB85" s="2" t="str">
        <f>LEFT(A85,3)</f>
        <v>CMU</v>
      </c>
    </row>
    <row r="86" spans="1:28">
      <c r="A86" s="6" t="s">
        <v>430</v>
      </c>
      <c r="B86" s="6" t="s">
        <v>93</v>
      </c>
      <c r="C86" s="6" t="s">
        <v>50</v>
      </c>
      <c r="D86" s="6" t="s">
        <v>431</v>
      </c>
      <c r="E86" s="6" t="s">
        <v>432</v>
      </c>
      <c r="F86" s="6" t="s">
        <v>433</v>
      </c>
      <c r="G86" s="6" t="s">
        <v>433</v>
      </c>
      <c r="H86" s="2" t="s">
        <v>434</v>
      </c>
      <c r="I86" s="2" t="s">
        <v>34</v>
      </c>
      <c r="J86" s="7">
        <v>495186.58922999998</v>
      </c>
      <c r="K86" s="7">
        <v>201074.80329000001</v>
      </c>
      <c r="L86" s="8">
        <v>166.92434574958699</v>
      </c>
      <c r="M86" s="8">
        <v>-22.390909468163699</v>
      </c>
      <c r="N86" s="2">
        <v>2</v>
      </c>
      <c r="O86" s="2">
        <v>3</v>
      </c>
      <c r="P86" s="2">
        <v>3</v>
      </c>
      <c r="Q86" s="2" t="s">
        <v>195</v>
      </c>
      <c r="R86" s="2" t="s">
        <v>435</v>
      </c>
      <c r="S86" s="2" t="s">
        <v>47</v>
      </c>
      <c r="U86" s="2">
        <f>P86-N86</f>
        <v>1</v>
      </c>
      <c r="V86" s="2" t="s">
        <v>197</v>
      </c>
      <c r="W86" s="30" t="s">
        <v>432</v>
      </c>
      <c r="X86" s="2" t="s">
        <v>39</v>
      </c>
      <c r="Y86" s="6" t="s">
        <v>433</v>
      </c>
      <c r="Z86" s="2" t="s">
        <v>40</v>
      </c>
      <c r="AA86" s="6" t="s">
        <v>433</v>
      </c>
      <c r="AB86" s="2" t="str">
        <f>LEFT(A86,3)</f>
        <v>CND</v>
      </c>
    </row>
    <row r="87" spans="1:28">
      <c r="A87" s="6" t="s">
        <v>436</v>
      </c>
      <c r="B87" s="6" t="s">
        <v>437</v>
      </c>
      <c r="C87" s="6" t="s">
        <v>68</v>
      </c>
      <c r="D87" s="6" t="s">
        <v>438</v>
      </c>
      <c r="E87" s="6" t="s">
        <v>438</v>
      </c>
      <c r="F87" s="6" t="s">
        <v>438</v>
      </c>
      <c r="G87" s="2" t="s">
        <v>439</v>
      </c>
      <c r="H87" s="2" t="s">
        <v>438</v>
      </c>
      <c r="I87" s="2" t="s">
        <v>34</v>
      </c>
      <c r="J87" s="7">
        <v>229954.84080000001</v>
      </c>
      <c r="K87" s="7">
        <v>392387.98732000001</v>
      </c>
      <c r="L87" s="8">
        <v>164.36815430479999</v>
      </c>
      <c r="M87" s="8">
        <v>-20.657481705377698</v>
      </c>
      <c r="N87" s="2">
        <v>2</v>
      </c>
      <c r="O87" s="2">
        <v>2</v>
      </c>
      <c r="P87" s="2">
        <f>N87</f>
        <v>2</v>
      </c>
      <c r="Q87" s="2" t="s">
        <v>35</v>
      </c>
      <c r="R87" s="2" t="s">
        <v>440</v>
      </c>
      <c r="S87" s="2" t="s">
        <v>47</v>
      </c>
      <c r="U87" s="2">
        <f>P87-N87</f>
        <v>0</v>
      </c>
      <c r="W87" s="30" t="s">
        <v>438</v>
      </c>
      <c r="X87" s="2" t="s">
        <v>82</v>
      </c>
      <c r="Y87" s="6" t="s">
        <v>438</v>
      </c>
      <c r="Z87" s="2" t="s">
        <v>73</v>
      </c>
      <c r="AA87" s="2" t="s">
        <v>439</v>
      </c>
      <c r="AB87" s="2" t="str">
        <f>LEFT(A87,3)</f>
        <v>CNG</v>
      </c>
    </row>
    <row r="88" spans="1:28">
      <c r="A88" s="6" t="s">
        <v>441</v>
      </c>
      <c r="B88" s="6" t="s">
        <v>98</v>
      </c>
      <c r="C88" s="6" t="s">
        <v>68</v>
      </c>
      <c r="D88" s="6" t="s">
        <v>442</v>
      </c>
      <c r="E88" s="6" t="s">
        <v>52</v>
      </c>
      <c r="F88" s="6" t="s">
        <v>443</v>
      </c>
      <c r="G88" s="6" t="s">
        <v>443</v>
      </c>
      <c r="H88" s="6" t="s">
        <v>443</v>
      </c>
      <c r="I88" s="2" t="s">
        <v>53</v>
      </c>
      <c r="J88" s="7">
        <v>396804</v>
      </c>
      <c r="K88" s="7">
        <v>297166</v>
      </c>
      <c r="L88" s="8">
        <v>165.96914799999999</v>
      </c>
      <c r="M88" s="8">
        <v>-21.525594999999999</v>
      </c>
      <c r="N88" s="2">
        <v>1</v>
      </c>
      <c r="O88" s="2">
        <v>1</v>
      </c>
      <c r="P88" s="2">
        <v>1</v>
      </c>
      <c r="Q88" s="2" t="s">
        <v>35</v>
      </c>
      <c r="R88" s="2" t="s">
        <v>444</v>
      </c>
      <c r="S88" s="2" t="s">
        <v>47</v>
      </c>
      <c r="U88" s="2">
        <f>P88-N88</f>
        <v>0</v>
      </c>
      <c r="W88" s="30" t="s">
        <v>52</v>
      </c>
      <c r="X88" s="2" t="s">
        <v>52</v>
      </c>
      <c r="Y88" s="6" t="s">
        <v>443</v>
      </c>
      <c r="Z88" s="2" t="s">
        <v>40</v>
      </c>
      <c r="AA88" s="6" t="s">
        <v>443</v>
      </c>
      <c r="AB88" s="2" t="str">
        <f>LEFT(A88,3)</f>
        <v>CNL</v>
      </c>
    </row>
    <row r="89" spans="1:28">
      <c r="A89" s="2" t="s">
        <v>445</v>
      </c>
      <c r="B89" s="2" t="s">
        <v>29</v>
      </c>
      <c r="C89" s="2" t="s">
        <v>30</v>
      </c>
      <c r="D89" s="2" t="s">
        <v>446</v>
      </c>
      <c r="E89" s="2" t="s">
        <v>52</v>
      </c>
      <c r="F89" s="2" t="s">
        <v>447</v>
      </c>
      <c r="G89" s="2" t="s">
        <v>447</v>
      </c>
      <c r="H89" s="2" t="s">
        <v>447</v>
      </c>
      <c r="I89" s="2" t="s">
        <v>53</v>
      </c>
      <c r="J89" s="2">
        <v>446042</v>
      </c>
      <c r="K89" s="2">
        <v>213786</v>
      </c>
      <c r="L89" s="2">
        <v>166.44676000000001</v>
      </c>
      <c r="M89" s="8">
        <v>-22.27807</v>
      </c>
      <c r="N89" s="2">
        <v>3</v>
      </c>
      <c r="O89" s="2">
        <v>9</v>
      </c>
      <c r="P89" s="2">
        <v>9</v>
      </c>
      <c r="Q89" s="2" t="s">
        <v>86</v>
      </c>
      <c r="R89" s="2" t="s">
        <v>448</v>
      </c>
      <c r="S89" s="2" t="s">
        <v>37</v>
      </c>
      <c r="U89" s="2">
        <f>P89-N89</f>
        <v>6</v>
      </c>
      <c r="W89" s="30" t="s">
        <v>52</v>
      </c>
      <c r="X89" s="6" t="s">
        <v>52</v>
      </c>
      <c r="Y89" s="2" t="s">
        <v>447</v>
      </c>
      <c r="Z89" s="2" t="s">
        <v>40</v>
      </c>
      <c r="AA89" s="2" t="s">
        <v>447</v>
      </c>
      <c r="AB89" s="2" t="str">
        <f>LEFT(A89,3)</f>
        <v>COF</v>
      </c>
    </row>
    <row r="90" spans="1:28">
      <c r="A90" s="6" t="s">
        <v>449</v>
      </c>
      <c r="B90" s="6" t="s">
        <v>29</v>
      </c>
      <c r="C90" s="6" t="s">
        <v>30</v>
      </c>
      <c r="D90" s="6" t="s">
        <v>188</v>
      </c>
      <c r="E90" s="6" t="s">
        <v>188</v>
      </c>
      <c r="F90" s="6" t="s">
        <v>450</v>
      </c>
      <c r="G90" s="2" t="s">
        <v>451</v>
      </c>
      <c r="H90" s="2" t="s">
        <v>188</v>
      </c>
      <c r="I90" s="2" t="s">
        <v>34</v>
      </c>
      <c r="J90" s="7">
        <v>446717.39253999997</v>
      </c>
      <c r="K90" s="7">
        <v>214675.99530000001</v>
      </c>
      <c r="L90" s="8">
        <v>166.45328236443399</v>
      </c>
      <c r="M90" s="8">
        <v>-22.270014099902401</v>
      </c>
      <c r="N90" s="2">
        <v>3</v>
      </c>
      <c r="O90" s="2">
        <v>9</v>
      </c>
      <c r="P90" s="2">
        <v>6</v>
      </c>
      <c r="Q90" s="2" t="s">
        <v>35</v>
      </c>
      <c r="R90" s="2" t="s">
        <v>452</v>
      </c>
      <c r="S90" s="2" t="s">
        <v>37</v>
      </c>
      <c r="U90" s="2">
        <f>P90-N90</f>
        <v>3</v>
      </c>
      <c r="W90" s="30" t="s">
        <v>188</v>
      </c>
      <c r="X90" s="2" t="s">
        <v>39</v>
      </c>
      <c r="Y90" s="6" t="s">
        <v>450</v>
      </c>
      <c r="Z90" s="2" t="s">
        <v>40</v>
      </c>
      <c r="AA90" s="2" t="s">
        <v>451</v>
      </c>
      <c r="AB90" s="2" t="str">
        <f>LEFT(A90,3)</f>
        <v>COL</v>
      </c>
    </row>
    <row r="91" spans="1:28">
      <c r="A91" s="6" t="s">
        <v>453</v>
      </c>
      <c r="B91" s="6" t="s">
        <v>29</v>
      </c>
      <c r="C91" s="6" t="s">
        <v>30</v>
      </c>
      <c r="D91" s="6" t="s">
        <v>454</v>
      </c>
      <c r="E91" s="6" t="s">
        <v>454</v>
      </c>
      <c r="F91" s="6" t="s">
        <v>454</v>
      </c>
      <c r="G91" s="2" t="s">
        <v>455</v>
      </c>
      <c r="H91" s="2" t="s">
        <v>456</v>
      </c>
      <c r="I91" s="2" t="s">
        <v>34</v>
      </c>
      <c r="J91" s="7">
        <v>445267.10372999997</v>
      </c>
      <c r="K91" s="7">
        <v>214299.20931000001</v>
      </c>
      <c r="L91" s="8">
        <v>166.43922376094699</v>
      </c>
      <c r="M91" s="8">
        <v>-22.273456073760201</v>
      </c>
      <c r="N91" s="2">
        <v>1</v>
      </c>
      <c r="O91" s="2">
        <v>2</v>
      </c>
      <c r="P91" s="2">
        <f>N91</f>
        <v>1</v>
      </c>
      <c r="Q91" s="2" t="s">
        <v>35</v>
      </c>
      <c r="R91" s="2" t="s">
        <v>457</v>
      </c>
      <c r="S91" s="2" t="s">
        <v>37</v>
      </c>
      <c r="U91" s="2">
        <f>P91-N91</f>
        <v>0</v>
      </c>
      <c r="V91" s="16"/>
      <c r="W91" s="30"/>
      <c r="X91" s="2" t="s">
        <v>39</v>
      </c>
      <c r="Y91" s="6" t="s">
        <v>454</v>
      </c>
      <c r="Z91" s="2" t="s">
        <v>40</v>
      </c>
      <c r="AA91" s="2" t="s">
        <v>455</v>
      </c>
      <c r="AB91" s="2" t="str">
        <f>LEFT(A91,3)</f>
        <v>CON</v>
      </c>
    </row>
    <row r="92" spans="1:28">
      <c r="A92" s="2" t="s">
        <v>458</v>
      </c>
      <c r="B92" s="2" t="s">
        <v>93</v>
      </c>
      <c r="C92" s="2" t="s">
        <v>50</v>
      </c>
      <c r="D92" s="6" t="s">
        <v>459</v>
      </c>
      <c r="E92" s="6" t="s">
        <v>52</v>
      </c>
      <c r="F92" s="6" t="s">
        <v>460</v>
      </c>
      <c r="G92" s="6" t="s">
        <v>460</v>
      </c>
      <c r="H92" s="6" t="s">
        <v>460</v>
      </c>
      <c r="I92" s="2" t="s">
        <v>53</v>
      </c>
      <c r="J92" s="7">
        <v>462565</v>
      </c>
      <c r="K92" s="7">
        <v>212409</v>
      </c>
      <c r="L92" s="9">
        <v>166.60713999999999</v>
      </c>
      <c r="M92" s="9">
        <v>-22.29</v>
      </c>
      <c r="N92" s="2">
        <v>2</v>
      </c>
      <c r="O92" s="2">
        <v>2</v>
      </c>
      <c r="P92" s="2">
        <v>2</v>
      </c>
      <c r="Q92" s="2" t="s">
        <v>35</v>
      </c>
      <c r="R92" s="2" t="s">
        <v>461</v>
      </c>
      <c r="S92" s="2" t="s">
        <v>37</v>
      </c>
      <c r="U92" s="2">
        <f>P92-N92</f>
        <v>0</v>
      </c>
      <c r="W92" s="30" t="s">
        <v>52</v>
      </c>
      <c r="X92" s="6" t="s">
        <v>52</v>
      </c>
      <c r="Y92" s="6" t="s">
        <v>460</v>
      </c>
      <c r="Z92" s="2" t="s">
        <v>40</v>
      </c>
      <c r="AA92" s="6" t="s">
        <v>460</v>
      </c>
      <c r="AB92" s="2" t="str">
        <f>LEFT(A92,3)</f>
        <v>COR</v>
      </c>
    </row>
    <row r="93" spans="1:28">
      <c r="A93" s="6" t="s">
        <v>462</v>
      </c>
      <c r="B93" s="6" t="s">
        <v>93</v>
      </c>
      <c r="C93" s="6" t="s">
        <v>50</v>
      </c>
      <c r="D93" s="6" t="s">
        <v>463</v>
      </c>
      <c r="E93" s="6" t="s">
        <v>463</v>
      </c>
      <c r="F93" s="6" t="s">
        <v>463</v>
      </c>
      <c r="G93" s="2" t="s">
        <v>464</v>
      </c>
      <c r="H93" s="2" t="s">
        <v>463</v>
      </c>
      <c r="I93" s="2" t="s">
        <v>34</v>
      </c>
      <c r="J93" s="7">
        <v>462370.97155999998</v>
      </c>
      <c r="K93" s="7">
        <v>218021.57626999999</v>
      </c>
      <c r="L93" s="8">
        <v>166.60504189602599</v>
      </c>
      <c r="M93" s="8">
        <v>-22.239318536189302</v>
      </c>
      <c r="N93" s="2">
        <v>3</v>
      </c>
      <c r="O93" s="2">
        <v>6</v>
      </c>
      <c r="P93" s="2">
        <f>N93</f>
        <v>3</v>
      </c>
      <c r="Q93" s="2" t="s">
        <v>35</v>
      </c>
      <c r="R93" s="2" t="s">
        <v>465</v>
      </c>
      <c r="S93" s="2" t="s">
        <v>37</v>
      </c>
      <c r="U93" s="2">
        <f>P93-N93</f>
        <v>0</v>
      </c>
      <c r="W93" s="30"/>
      <c r="X93" s="2" t="s">
        <v>39</v>
      </c>
      <c r="Y93" s="6" t="s">
        <v>463</v>
      </c>
      <c r="Z93" s="2" t="s">
        <v>40</v>
      </c>
      <c r="AA93" s="2" t="s">
        <v>464</v>
      </c>
      <c r="AB93" s="2" t="str">
        <f>LEFT(A93,3)</f>
        <v>COS</v>
      </c>
    </row>
    <row r="94" spans="1:28">
      <c r="A94" s="6" t="s">
        <v>466</v>
      </c>
      <c r="B94" s="6" t="s">
        <v>42</v>
      </c>
      <c r="C94" s="6" t="s">
        <v>43</v>
      </c>
      <c r="D94" s="6" t="s">
        <v>467</v>
      </c>
      <c r="E94" s="6" t="s">
        <v>468</v>
      </c>
      <c r="F94" s="6" t="s">
        <v>469</v>
      </c>
      <c r="G94" s="6" t="s">
        <v>469</v>
      </c>
      <c r="H94" s="6" t="s">
        <v>469</v>
      </c>
      <c r="I94" s="2" t="s">
        <v>53</v>
      </c>
      <c r="J94" s="7">
        <v>382442</v>
      </c>
      <c r="K94" s="7">
        <v>283251</v>
      </c>
      <c r="L94" s="8">
        <v>165.83036100000001</v>
      </c>
      <c r="M94" s="8">
        <v>-21.651197</v>
      </c>
      <c r="N94" s="2">
        <v>3</v>
      </c>
      <c r="O94" s="2">
        <v>3</v>
      </c>
      <c r="P94" s="2">
        <v>3</v>
      </c>
      <c r="Q94" s="2" t="s">
        <v>35</v>
      </c>
      <c r="R94" s="2" t="s">
        <v>470</v>
      </c>
      <c r="S94" s="2" t="s">
        <v>47</v>
      </c>
      <c r="U94" s="2">
        <f>P94-N94</f>
        <v>0</v>
      </c>
      <c r="W94" s="30" t="s">
        <v>52</v>
      </c>
      <c r="X94" s="2" t="s">
        <v>52</v>
      </c>
      <c r="Y94" s="6" t="s">
        <v>471</v>
      </c>
      <c r="Z94" s="2" t="s">
        <v>40</v>
      </c>
      <c r="AA94" s="6" t="s">
        <v>471</v>
      </c>
      <c r="AB94" s="2" t="str">
        <f>LEFT(A94,3)</f>
        <v>COU</v>
      </c>
    </row>
    <row r="95" spans="1:28">
      <c r="A95" s="6" t="s">
        <v>472</v>
      </c>
      <c r="B95" s="6" t="s">
        <v>249</v>
      </c>
      <c r="C95" s="6" t="s">
        <v>68</v>
      </c>
      <c r="D95" s="6" t="s">
        <v>473</v>
      </c>
      <c r="E95" s="6" t="s">
        <v>474</v>
      </c>
      <c r="F95" s="6" t="s">
        <v>475</v>
      </c>
      <c r="G95" s="6" t="s">
        <v>475</v>
      </c>
      <c r="H95" s="2" t="s">
        <v>476</v>
      </c>
      <c r="I95" s="2" t="s">
        <v>34</v>
      </c>
      <c r="J95" s="7">
        <v>265122.99294999999</v>
      </c>
      <c r="K95" s="7">
        <v>373633.93502999999</v>
      </c>
      <c r="L95" s="8">
        <v>164.70413653596299</v>
      </c>
      <c r="M95" s="8">
        <v>-20.8298437936723</v>
      </c>
      <c r="N95" s="2">
        <v>2</v>
      </c>
      <c r="O95" s="2">
        <v>2</v>
      </c>
      <c r="P95" s="2">
        <v>2</v>
      </c>
      <c r="Q95" s="2" t="s">
        <v>195</v>
      </c>
      <c r="R95" s="2" t="s">
        <v>477</v>
      </c>
      <c r="S95" s="2" t="s">
        <v>47</v>
      </c>
      <c r="U95" s="2">
        <f>P95-N95</f>
        <v>0</v>
      </c>
      <c r="V95" s="2" t="s">
        <v>102</v>
      </c>
      <c r="W95" s="30" t="s">
        <v>478</v>
      </c>
      <c r="X95" s="2" t="s">
        <v>82</v>
      </c>
      <c r="Y95" s="6" t="s">
        <v>475</v>
      </c>
      <c r="Z95" s="2" t="s">
        <v>73</v>
      </c>
      <c r="AA95" s="6" t="s">
        <v>475</v>
      </c>
      <c r="AB95" s="2" t="str">
        <f>LEFT(A95,3)</f>
        <v>CPN</v>
      </c>
    </row>
    <row r="96" spans="1:28">
      <c r="A96" s="6" t="s">
        <v>479</v>
      </c>
      <c r="B96" s="6" t="s">
        <v>29</v>
      </c>
      <c r="C96" s="6" t="s">
        <v>30</v>
      </c>
      <c r="D96" s="6" t="s">
        <v>480</v>
      </c>
      <c r="E96" s="6" t="s">
        <v>480</v>
      </c>
      <c r="F96" s="6" t="s">
        <v>480</v>
      </c>
      <c r="G96" s="2" t="s">
        <v>481</v>
      </c>
      <c r="H96" s="2" t="s">
        <v>480</v>
      </c>
      <c r="I96" s="2" t="s">
        <v>34</v>
      </c>
      <c r="J96" s="7">
        <v>444079.80855999998</v>
      </c>
      <c r="K96" s="7">
        <v>214998.83939000001</v>
      </c>
      <c r="L96" s="8">
        <v>166.427687826897</v>
      </c>
      <c r="M96" s="8">
        <v>-22.2671642653685</v>
      </c>
      <c r="N96" s="2">
        <v>3</v>
      </c>
      <c r="O96" s="2">
        <v>6</v>
      </c>
      <c r="P96" s="2">
        <f>N96</f>
        <v>3</v>
      </c>
      <c r="Q96" s="2" t="s">
        <v>35</v>
      </c>
      <c r="R96" s="2" t="s">
        <v>482</v>
      </c>
      <c r="S96" s="2" t="s">
        <v>37</v>
      </c>
      <c r="U96" s="2">
        <f>P96-N96</f>
        <v>0</v>
      </c>
      <c r="W96" s="30" t="s">
        <v>52</v>
      </c>
      <c r="X96" s="2" t="s">
        <v>39</v>
      </c>
      <c r="Y96" s="6" t="s">
        <v>480</v>
      </c>
      <c r="Z96" s="2" t="s">
        <v>40</v>
      </c>
      <c r="AA96" s="2" t="s">
        <v>481</v>
      </c>
      <c r="AB96" s="2" t="str">
        <f>LEFT(A96,3)</f>
        <v>CPT</v>
      </c>
    </row>
    <row r="97" spans="1:28">
      <c r="A97" s="6" t="s">
        <v>483</v>
      </c>
      <c r="B97" s="6" t="s">
        <v>191</v>
      </c>
      <c r="C97" s="6" t="s">
        <v>43</v>
      </c>
      <c r="D97" s="6" t="s">
        <v>484</v>
      </c>
      <c r="E97" s="6" t="s">
        <v>485</v>
      </c>
      <c r="F97" s="6" t="s">
        <v>486</v>
      </c>
      <c r="G97" s="2" t="s">
        <v>486</v>
      </c>
      <c r="H97" s="2" t="s">
        <v>115</v>
      </c>
      <c r="I97" s="2" t="s">
        <v>34</v>
      </c>
      <c r="J97" s="7">
        <v>342637.13624000002</v>
      </c>
      <c r="K97" s="7">
        <v>309654.88867000001</v>
      </c>
      <c r="L97" s="8">
        <v>165.446685000141</v>
      </c>
      <c r="M97" s="8">
        <v>-21.411874319397299</v>
      </c>
      <c r="N97" s="2">
        <v>2</v>
      </c>
      <c r="O97" s="2">
        <v>2</v>
      </c>
      <c r="P97" s="2">
        <v>2</v>
      </c>
      <c r="Q97" s="2" t="s">
        <v>195</v>
      </c>
      <c r="R97" s="2" t="s">
        <v>487</v>
      </c>
      <c r="S97" s="2" t="s">
        <v>47</v>
      </c>
      <c r="U97" s="2">
        <f>P97-N97</f>
        <v>0</v>
      </c>
      <c r="V97" s="2" t="s">
        <v>102</v>
      </c>
      <c r="W97" s="30" t="s">
        <v>488</v>
      </c>
      <c r="X97" s="2" t="s">
        <v>82</v>
      </c>
      <c r="Y97" s="6" t="s">
        <v>486</v>
      </c>
      <c r="Z97" s="2" t="s">
        <v>73</v>
      </c>
      <c r="AA97" s="2" t="s">
        <v>486</v>
      </c>
      <c r="AB97" s="2" t="str">
        <f>LEFT(A97,3)</f>
        <v>CRT</v>
      </c>
    </row>
    <row r="98" spans="1:28">
      <c r="A98" s="2" t="s">
        <v>489</v>
      </c>
      <c r="B98" s="2" t="s">
        <v>29</v>
      </c>
      <c r="C98" s="2" t="s">
        <v>30</v>
      </c>
      <c r="D98" s="2" t="s">
        <v>490</v>
      </c>
      <c r="E98" s="2" t="s">
        <v>52</v>
      </c>
      <c r="F98" s="2" t="s">
        <v>491</v>
      </c>
      <c r="G98" s="2" t="s">
        <v>491</v>
      </c>
      <c r="H98" s="2" t="s">
        <v>491</v>
      </c>
      <c r="I98" s="2" t="s">
        <v>53</v>
      </c>
      <c r="J98" s="7">
        <v>445216</v>
      </c>
      <c r="K98" s="7">
        <v>211248</v>
      </c>
      <c r="L98" s="8">
        <v>166.43880999999999</v>
      </c>
      <c r="M98" s="8">
        <v>-22.301010000000002</v>
      </c>
      <c r="N98" s="2">
        <v>3</v>
      </c>
      <c r="O98" s="2">
        <v>9</v>
      </c>
      <c r="P98" s="2">
        <v>9</v>
      </c>
      <c r="Q98" s="2" t="s">
        <v>35</v>
      </c>
      <c r="R98" s="2" t="s">
        <v>492</v>
      </c>
      <c r="S98" s="2" t="s">
        <v>37</v>
      </c>
      <c r="U98" s="2">
        <f>P98-N98</f>
        <v>6</v>
      </c>
      <c r="W98" s="30" t="s">
        <v>52</v>
      </c>
      <c r="X98" s="6" t="s">
        <v>52</v>
      </c>
      <c r="Y98" s="2" t="s">
        <v>491</v>
      </c>
      <c r="Z98" s="2" t="s">
        <v>40</v>
      </c>
      <c r="AA98" s="2" t="s">
        <v>491</v>
      </c>
      <c r="AB98" s="2" t="str">
        <f>LEFT(A98,3)</f>
        <v>CSO</v>
      </c>
    </row>
    <row r="99" spans="1:28">
      <c r="A99" s="6" t="s">
        <v>493</v>
      </c>
      <c r="B99" s="6" t="s">
        <v>29</v>
      </c>
      <c r="C99" s="6" t="s">
        <v>30</v>
      </c>
      <c r="D99" s="6" t="s">
        <v>494</v>
      </c>
      <c r="E99" s="6" t="s">
        <v>495</v>
      </c>
      <c r="F99" s="6" t="s">
        <v>496</v>
      </c>
      <c r="G99" s="2" t="s">
        <v>497</v>
      </c>
      <c r="H99" s="2" t="s">
        <v>496</v>
      </c>
      <c r="I99" s="2" t="s">
        <v>34</v>
      </c>
      <c r="J99" s="7">
        <v>449627</v>
      </c>
      <c r="K99" s="7">
        <v>219316</v>
      </c>
      <c r="L99" s="8">
        <v>166.48137849819901</v>
      </c>
      <c r="M99" s="8">
        <v>-22.228032528430699</v>
      </c>
      <c r="N99" s="2">
        <v>1</v>
      </c>
      <c r="O99" s="2">
        <v>1</v>
      </c>
      <c r="P99" s="2">
        <f>N99</f>
        <v>1</v>
      </c>
      <c r="Q99" s="2" t="s">
        <v>35</v>
      </c>
      <c r="R99" s="2" t="s">
        <v>494</v>
      </c>
      <c r="S99" s="2" t="s">
        <v>37</v>
      </c>
      <c r="U99" s="2">
        <f>P99-N99</f>
        <v>0</v>
      </c>
      <c r="W99" s="30" t="s">
        <v>498</v>
      </c>
      <c r="X99" s="2" t="s">
        <v>39</v>
      </c>
      <c r="Y99" s="6" t="s">
        <v>499</v>
      </c>
      <c r="Z99" s="2" t="s">
        <v>40</v>
      </c>
      <c r="AA99" s="2" t="s">
        <v>497</v>
      </c>
      <c r="AB99" s="2" t="str">
        <f>LEFT(A99,3)</f>
        <v>CTA</v>
      </c>
    </row>
    <row r="100" spans="1:28">
      <c r="A100" s="6" t="s">
        <v>500</v>
      </c>
      <c r="B100" s="6" t="s">
        <v>351</v>
      </c>
      <c r="C100" s="6" t="s">
        <v>129</v>
      </c>
      <c r="D100" s="6" t="s">
        <v>501</v>
      </c>
      <c r="E100" s="6" t="s">
        <v>52</v>
      </c>
      <c r="F100" s="6" t="s">
        <v>502</v>
      </c>
      <c r="G100" s="2" t="s">
        <v>503</v>
      </c>
      <c r="H100" s="2" t="s">
        <v>502</v>
      </c>
      <c r="I100" s="2" t="s">
        <v>34</v>
      </c>
      <c r="J100" s="7">
        <v>617054</v>
      </c>
      <c r="K100" s="7">
        <v>293263</v>
      </c>
      <c r="L100" s="8">
        <v>168.095674</v>
      </c>
      <c r="M100" s="8">
        <v>-21.547709999999999</v>
      </c>
      <c r="N100" s="2">
        <v>1</v>
      </c>
      <c r="O100" s="2">
        <v>1</v>
      </c>
      <c r="P100" s="2">
        <v>1</v>
      </c>
      <c r="Q100" s="2" t="s">
        <v>35</v>
      </c>
      <c r="R100" s="2" t="s">
        <v>504</v>
      </c>
      <c r="S100" s="2" t="s">
        <v>47</v>
      </c>
      <c r="U100" s="2">
        <f>P100-N100</f>
        <v>0</v>
      </c>
      <c r="W100" s="30" t="s">
        <v>52</v>
      </c>
      <c r="X100" s="2" t="s">
        <v>52</v>
      </c>
      <c r="Y100" s="6" t="s">
        <v>505</v>
      </c>
      <c r="Z100" s="2" t="s">
        <v>73</v>
      </c>
      <c r="AA100" s="2" t="s">
        <v>506</v>
      </c>
      <c r="AB100" s="2" t="str">
        <f>LEFT(A100,3)</f>
        <v>CUA</v>
      </c>
    </row>
    <row r="101" spans="1:28">
      <c r="A101" s="6" t="s">
        <v>507</v>
      </c>
      <c r="B101" s="6" t="s">
        <v>224</v>
      </c>
      <c r="C101" s="6" t="s">
        <v>68</v>
      </c>
      <c r="D101" s="6" t="s">
        <v>508</v>
      </c>
      <c r="E101" s="6" t="s">
        <v>508</v>
      </c>
      <c r="F101" s="6" t="s">
        <v>509</v>
      </c>
      <c r="G101" s="6" t="s">
        <v>509</v>
      </c>
      <c r="H101" s="2" t="s">
        <v>256</v>
      </c>
      <c r="I101" s="2" t="s">
        <v>34</v>
      </c>
      <c r="J101" s="7">
        <v>251369</v>
      </c>
      <c r="K101" s="7">
        <v>404887</v>
      </c>
      <c r="L101" s="8">
        <v>164.57473621201299</v>
      </c>
      <c r="M101" s="8">
        <v>-20.5464835805383</v>
      </c>
      <c r="N101" s="2">
        <v>2</v>
      </c>
      <c r="O101" s="2">
        <v>2</v>
      </c>
      <c r="P101" s="2">
        <v>2</v>
      </c>
      <c r="Q101" s="2" t="s">
        <v>195</v>
      </c>
      <c r="R101" s="2" t="s">
        <v>510</v>
      </c>
      <c r="S101" s="2" t="s">
        <v>47</v>
      </c>
      <c r="U101" s="2">
        <f>P101-N101</f>
        <v>0</v>
      </c>
      <c r="W101" s="30" t="s">
        <v>511</v>
      </c>
      <c r="X101" s="2" t="s">
        <v>82</v>
      </c>
      <c r="Y101" s="6" t="s">
        <v>509</v>
      </c>
      <c r="Z101" s="2" t="s">
        <v>73</v>
      </c>
      <c r="AA101" s="2" t="s">
        <v>509</v>
      </c>
      <c r="AB101" s="2" t="str">
        <f>LEFT(A101,3)</f>
        <v>CWA</v>
      </c>
    </row>
    <row r="102" spans="1:28">
      <c r="A102" s="6" t="s">
        <v>512</v>
      </c>
      <c r="B102" s="6" t="s">
        <v>29</v>
      </c>
      <c r="C102" s="6" t="s">
        <v>30</v>
      </c>
      <c r="D102" s="6" t="s">
        <v>513</v>
      </c>
      <c r="E102" s="6" t="s">
        <v>52</v>
      </c>
      <c r="F102" s="6" t="s">
        <v>514</v>
      </c>
      <c r="G102" s="6" t="s">
        <v>514</v>
      </c>
      <c r="H102" s="6" t="s">
        <v>514</v>
      </c>
      <c r="I102" s="2" t="s">
        <v>53</v>
      </c>
      <c r="J102" s="7">
        <v>447716</v>
      </c>
      <c r="K102" s="7">
        <v>213860</v>
      </c>
      <c r="L102" s="8">
        <v>166.46299878299999</v>
      </c>
      <c r="M102" s="8">
        <v>-22.277356746999999</v>
      </c>
      <c r="N102" s="2">
        <v>3</v>
      </c>
      <c r="O102" s="2">
        <v>6</v>
      </c>
      <c r="P102" s="2">
        <v>9</v>
      </c>
      <c r="Q102" s="2" t="s">
        <v>35</v>
      </c>
      <c r="R102" s="2" t="s">
        <v>515</v>
      </c>
      <c r="S102" s="2" t="s">
        <v>37</v>
      </c>
      <c r="U102" s="2">
        <f>P102-N102</f>
        <v>6</v>
      </c>
      <c r="W102" s="30" t="s">
        <v>52</v>
      </c>
      <c r="X102" s="2" t="s">
        <v>52</v>
      </c>
      <c r="Y102" s="6" t="s">
        <v>514</v>
      </c>
      <c r="Z102" s="2" t="s">
        <v>40</v>
      </c>
      <c r="AA102" s="6" t="s">
        <v>514</v>
      </c>
      <c r="AB102" s="2" t="str">
        <f>LEFT(A102,3)</f>
        <v>CYI</v>
      </c>
    </row>
    <row r="103" spans="1:28">
      <c r="A103" s="17" t="s">
        <v>516</v>
      </c>
      <c r="B103" s="6" t="s">
        <v>49</v>
      </c>
      <c r="C103" s="6" t="s">
        <v>50</v>
      </c>
      <c r="D103" s="6" t="s">
        <v>517</v>
      </c>
      <c r="E103" s="6" t="s">
        <v>52</v>
      </c>
      <c r="F103" s="6" t="s">
        <v>517</v>
      </c>
      <c r="G103" s="6" t="s">
        <v>517</v>
      </c>
      <c r="H103" s="6" t="s">
        <v>517</v>
      </c>
      <c r="I103" s="2" t="s">
        <v>53</v>
      </c>
      <c r="J103" s="7">
        <v>444954</v>
      </c>
      <c r="K103" s="7">
        <v>224410</v>
      </c>
      <c r="L103" s="8">
        <v>166.435913</v>
      </c>
      <c r="M103" s="8">
        <v>-22.182153</v>
      </c>
      <c r="N103" s="2">
        <v>3</v>
      </c>
      <c r="O103" s="2">
        <v>3</v>
      </c>
      <c r="P103" s="2">
        <v>6</v>
      </c>
      <c r="Q103" s="2" t="s">
        <v>35</v>
      </c>
      <c r="R103" s="2" t="s">
        <v>518</v>
      </c>
      <c r="S103" s="2" t="s">
        <v>37</v>
      </c>
      <c r="U103" s="2">
        <f>P103-N103</f>
        <v>3</v>
      </c>
      <c r="W103" s="30" t="s">
        <v>52</v>
      </c>
      <c r="X103" s="2" t="s">
        <v>52</v>
      </c>
      <c r="Y103" s="6" t="s">
        <v>517</v>
      </c>
      <c r="Z103" s="2" t="s">
        <v>40</v>
      </c>
      <c r="AA103" s="6" t="s">
        <v>517</v>
      </c>
      <c r="AB103" s="2" t="str">
        <f>LEFT(A103,3)</f>
        <v>CZP</v>
      </c>
    </row>
    <row r="104" spans="1:28">
      <c r="A104" s="17" t="s">
        <v>519</v>
      </c>
      <c r="B104" s="6" t="s">
        <v>49</v>
      </c>
      <c r="C104" s="6" t="s">
        <v>50</v>
      </c>
      <c r="D104" s="6" t="s">
        <v>520</v>
      </c>
      <c r="E104" s="6" t="s">
        <v>52</v>
      </c>
      <c r="F104" s="6" t="s">
        <v>120</v>
      </c>
      <c r="G104" s="2" t="s">
        <v>120</v>
      </c>
      <c r="H104" s="2" t="s">
        <v>120</v>
      </c>
      <c r="I104" s="2" t="s">
        <v>53</v>
      </c>
      <c r="J104" s="7">
        <v>446562</v>
      </c>
      <c r="K104" s="7">
        <v>221991</v>
      </c>
      <c r="L104" s="8">
        <v>166.451573</v>
      </c>
      <c r="M104" s="8">
        <v>-22.203956999999999</v>
      </c>
      <c r="N104" s="2">
        <v>1</v>
      </c>
      <c r="O104" s="2">
        <v>1</v>
      </c>
      <c r="P104" s="2">
        <v>1</v>
      </c>
      <c r="Q104" s="2" t="s">
        <v>35</v>
      </c>
      <c r="R104" s="2" t="s">
        <v>521</v>
      </c>
      <c r="S104" s="2" t="s">
        <v>37</v>
      </c>
      <c r="U104" s="2">
        <f>P104-N104</f>
        <v>0</v>
      </c>
      <c r="W104" s="30" t="s">
        <v>52</v>
      </c>
      <c r="X104" s="2" t="s">
        <v>52</v>
      </c>
      <c r="Y104" s="6" t="s">
        <v>522</v>
      </c>
      <c r="Z104" s="2" t="s">
        <v>40</v>
      </c>
      <c r="AA104" s="2" t="s">
        <v>522</v>
      </c>
      <c r="AB104" s="2" t="str">
        <f>LEFT(A104,3)</f>
        <v>DBM</v>
      </c>
    </row>
    <row r="105" spans="1:28">
      <c r="A105" s="6" t="s">
        <v>523</v>
      </c>
      <c r="B105" s="6" t="s">
        <v>29</v>
      </c>
      <c r="C105" s="6" t="s">
        <v>30</v>
      </c>
      <c r="D105" s="6" t="s">
        <v>524</v>
      </c>
      <c r="E105" s="6" t="s">
        <v>524</v>
      </c>
      <c r="F105" s="6" t="s">
        <v>524</v>
      </c>
      <c r="G105" s="2" t="s">
        <v>525</v>
      </c>
      <c r="H105" s="2" t="s">
        <v>524</v>
      </c>
      <c r="I105" s="2" t="s">
        <v>34</v>
      </c>
      <c r="J105" s="7">
        <v>446021.95555000001</v>
      </c>
      <c r="K105" s="7">
        <v>216572.07446999999</v>
      </c>
      <c r="L105" s="8">
        <v>166.44648646297901</v>
      </c>
      <c r="M105" s="8">
        <v>-22.252909795133402</v>
      </c>
      <c r="N105" s="2">
        <v>2</v>
      </c>
      <c r="O105" s="2">
        <v>4</v>
      </c>
      <c r="P105" s="2">
        <v>4</v>
      </c>
      <c r="Q105" s="2" t="s">
        <v>35</v>
      </c>
      <c r="R105" s="2" t="s">
        <v>526</v>
      </c>
      <c r="S105" s="2" t="s">
        <v>37</v>
      </c>
      <c r="U105" s="2">
        <f>P105-N105</f>
        <v>2</v>
      </c>
      <c r="W105" s="30" t="s">
        <v>52</v>
      </c>
      <c r="X105" s="2" t="s">
        <v>39</v>
      </c>
      <c r="Y105" s="6" t="s">
        <v>524</v>
      </c>
      <c r="Z105" s="2" t="s">
        <v>40</v>
      </c>
      <c r="AA105" s="2" t="s">
        <v>525</v>
      </c>
      <c r="AB105" s="2" t="str">
        <f>LEFT(A105,3)</f>
        <v>DBO</v>
      </c>
    </row>
    <row r="106" spans="1:28">
      <c r="A106" s="6" t="s">
        <v>527</v>
      </c>
      <c r="B106" s="6" t="s">
        <v>29</v>
      </c>
      <c r="C106" s="6" t="s">
        <v>30</v>
      </c>
      <c r="D106" s="6" t="s">
        <v>528</v>
      </c>
      <c r="E106" s="6" t="s">
        <v>528</v>
      </c>
      <c r="F106" s="6" t="s">
        <v>529</v>
      </c>
      <c r="G106" s="6" t="s">
        <v>529</v>
      </c>
      <c r="H106" s="6" t="s">
        <v>529</v>
      </c>
      <c r="I106" s="2" t="s">
        <v>53</v>
      </c>
      <c r="J106" s="7">
        <v>446173</v>
      </c>
      <c r="K106" s="7">
        <v>218431</v>
      </c>
      <c r="L106" s="8">
        <v>166.44789972091201</v>
      </c>
      <c r="M106" s="8">
        <v>-22.2361175650109</v>
      </c>
      <c r="N106" s="2">
        <v>2</v>
      </c>
      <c r="O106" s="2">
        <v>2</v>
      </c>
      <c r="P106" s="2">
        <v>8</v>
      </c>
      <c r="Q106" s="2" t="s">
        <v>35</v>
      </c>
      <c r="R106" s="2" t="s">
        <v>530</v>
      </c>
      <c r="S106" s="2" t="s">
        <v>37</v>
      </c>
      <c r="U106" s="2">
        <f>P106-N106</f>
        <v>6</v>
      </c>
      <c r="W106" s="30" t="s">
        <v>52</v>
      </c>
      <c r="X106" s="2" t="s">
        <v>39</v>
      </c>
      <c r="Y106" s="6" t="s">
        <v>529</v>
      </c>
      <c r="Z106" s="2" t="s">
        <v>40</v>
      </c>
      <c r="AA106" s="6" t="s">
        <v>529</v>
      </c>
      <c r="AB106" s="2" t="str">
        <f>LEFT(A106,3)</f>
        <v>DCE</v>
      </c>
    </row>
    <row r="107" spans="1:28">
      <c r="A107" s="6" t="s">
        <v>531</v>
      </c>
      <c r="B107" s="6" t="s">
        <v>331</v>
      </c>
      <c r="C107" s="6" t="s">
        <v>43</v>
      </c>
      <c r="D107" s="6" t="s">
        <v>532</v>
      </c>
      <c r="E107" s="6" t="s">
        <v>532</v>
      </c>
      <c r="F107" s="6" t="s">
        <v>533</v>
      </c>
      <c r="G107" s="2" t="s">
        <v>533</v>
      </c>
      <c r="H107" s="2" t="s">
        <v>534</v>
      </c>
      <c r="I107" s="2" t="s">
        <v>34</v>
      </c>
      <c r="J107" s="7">
        <v>553700.30730999995</v>
      </c>
      <c r="K107" s="7">
        <v>178639.73553999999</v>
      </c>
      <c r="L107" s="8">
        <v>167.49461103785899</v>
      </c>
      <c r="M107" s="8">
        <v>-22.589404156368499</v>
      </c>
      <c r="N107" s="2">
        <v>2</v>
      </c>
      <c r="O107" s="2">
        <v>2</v>
      </c>
      <c r="P107" s="2">
        <v>2</v>
      </c>
      <c r="Q107" s="2" t="s">
        <v>35</v>
      </c>
      <c r="R107" s="2" t="s">
        <v>535</v>
      </c>
      <c r="S107" s="2" t="s">
        <v>47</v>
      </c>
      <c r="U107" s="2">
        <f>P107-N107</f>
        <v>0</v>
      </c>
      <c r="V107" s="2" t="s">
        <v>102</v>
      </c>
      <c r="W107" s="30" t="s">
        <v>532</v>
      </c>
      <c r="X107" s="2" t="s">
        <v>39</v>
      </c>
      <c r="Y107" s="6" t="s">
        <v>533</v>
      </c>
      <c r="Z107" s="2" t="s">
        <v>40</v>
      </c>
      <c r="AA107" s="2" t="s">
        <v>533</v>
      </c>
      <c r="AB107" s="2" t="str">
        <f>LEFT(A107,3)</f>
        <v>DET</v>
      </c>
    </row>
    <row r="108" spans="1:28">
      <c r="A108" s="2" t="s">
        <v>536</v>
      </c>
      <c r="B108" s="2" t="s">
        <v>29</v>
      </c>
      <c r="C108" s="2" t="s">
        <v>30</v>
      </c>
      <c r="D108" s="2" t="s">
        <v>537</v>
      </c>
      <c r="E108" s="2" t="s">
        <v>52</v>
      </c>
      <c r="F108" s="2" t="s">
        <v>538</v>
      </c>
      <c r="G108" s="2" t="s">
        <v>538</v>
      </c>
      <c r="H108" s="2" t="s">
        <v>538</v>
      </c>
      <c r="I108" s="2" t="s">
        <v>53</v>
      </c>
      <c r="J108" s="7">
        <v>444437</v>
      </c>
      <c r="K108" s="7">
        <v>218806</v>
      </c>
      <c r="L108" s="2">
        <v>166.43105</v>
      </c>
      <c r="M108" s="2">
        <v>-22.232780000000002</v>
      </c>
      <c r="N108" s="2">
        <v>1</v>
      </c>
      <c r="O108" s="2">
        <v>1</v>
      </c>
      <c r="P108" s="2">
        <v>1</v>
      </c>
      <c r="Q108" s="2" t="s">
        <v>35</v>
      </c>
      <c r="R108" s="2" t="s">
        <v>539</v>
      </c>
      <c r="S108" s="2" t="s">
        <v>37</v>
      </c>
      <c r="U108" s="2">
        <f>P108-N108</f>
        <v>0</v>
      </c>
      <c r="W108" s="30" t="s">
        <v>52</v>
      </c>
      <c r="X108" s="6" t="s">
        <v>52</v>
      </c>
      <c r="Y108" s="2" t="s">
        <v>538</v>
      </c>
      <c r="Z108" s="2" t="s">
        <v>40</v>
      </c>
      <c r="AA108" s="2" t="s">
        <v>538</v>
      </c>
      <c r="AB108" s="2" t="str">
        <f>LEFT(A108,3)</f>
        <v>DKM</v>
      </c>
    </row>
    <row r="109" spans="1:28">
      <c r="A109" s="17" t="s">
        <v>540</v>
      </c>
      <c r="B109" s="6" t="s">
        <v>49</v>
      </c>
      <c r="C109" s="6" t="s">
        <v>50</v>
      </c>
      <c r="D109" s="6" t="s">
        <v>541</v>
      </c>
      <c r="E109" s="6" t="s">
        <v>52</v>
      </c>
      <c r="F109" s="6" t="s">
        <v>542</v>
      </c>
      <c r="G109" s="6" t="s">
        <v>542</v>
      </c>
      <c r="H109" s="6" t="s">
        <v>542</v>
      </c>
      <c r="I109" s="2" t="s">
        <v>53</v>
      </c>
      <c r="J109" s="7">
        <v>448202</v>
      </c>
      <c r="K109" s="7">
        <v>221482</v>
      </c>
      <c r="L109" s="8">
        <v>166.46749334899999</v>
      </c>
      <c r="M109" s="8">
        <v>-22.208510620999999</v>
      </c>
      <c r="N109" s="2">
        <v>3</v>
      </c>
      <c r="O109" s="2">
        <v>6</v>
      </c>
      <c r="P109" s="2">
        <v>9</v>
      </c>
      <c r="Q109" s="2" t="s">
        <v>35</v>
      </c>
      <c r="R109" s="2" t="s">
        <v>543</v>
      </c>
      <c r="S109" s="2" t="s">
        <v>37</v>
      </c>
      <c r="U109" s="2">
        <f>P109-N109</f>
        <v>6</v>
      </c>
      <c r="W109" s="30" t="s">
        <v>52</v>
      </c>
      <c r="X109" s="2" t="s">
        <v>52</v>
      </c>
      <c r="Y109" s="6" t="s">
        <v>542</v>
      </c>
      <c r="Z109" s="2" t="s">
        <v>40</v>
      </c>
      <c r="AA109" s="6" t="s">
        <v>542</v>
      </c>
      <c r="AB109" s="2" t="str">
        <f>LEFT(A109,3)</f>
        <v>DMA</v>
      </c>
    </row>
    <row r="110" spans="1:28">
      <c r="A110" s="17" t="s">
        <v>544</v>
      </c>
      <c r="B110" s="6" t="s">
        <v>29</v>
      </c>
      <c r="C110" s="6" t="s">
        <v>30</v>
      </c>
      <c r="D110" s="6" t="s">
        <v>545</v>
      </c>
      <c r="E110" s="6" t="s">
        <v>52</v>
      </c>
      <c r="F110" s="6" t="s">
        <v>90</v>
      </c>
      <c r="G110" s="6" t="s">
        <v>90</v>
      </c>
      <c r="H110" s="6" t="s">
        <v>90</v>
      </c>
      <c r="I110" s="2" t="s">
        <v>53</v>
      </c>
      <c r="J110" s="7">
        <v>442152</v>
      </c>
      <c r="K110" s="7">
        <v>218622</v>
      </c>
      <c r="L110" s="8">
        <v>166.40888899999999</v>
      </c>
      <c r="M110" s="8">
        <v>-22.234491999999999</v>
      </c>
      <c r="N110" s="2">
        <v>1</v>
      </c>
      <c r="O110" s="2">
        <v>1</v>
      </c>
      <c r="P110" s="2">
        <v>1</v>
      </c>
      <c r="Q110" s="2" t="s">
        <v>35</v>
      </c>
      <c r="R110" s="2" t="s">
        <v>546</v>
      </c>
      <c r="S110" s="2" t="s">
        <v>37</v>
      </c>
      <c r="U110" s="2">
        <f>P110-N110</f>
        <v>0</v>
      </c>
      <c r="W110" s="30" t="s">
        <v>52</v>
      </c>
      <c r="X110" s="2" t="s">
        <v>52</v>
      </c>
      <c r="Y110" s="6" t="s">
        <v>547</v>
      </c>
      <c r="Z110" s="2" t="s">
        <v>40</v>
      </c>
      <c r="AA110" s="6" t="s">
        <v>547</v>
      </c>
      <c r="AB110" s="2" t="str">
        <f>LEFT(A110,3)</f>
        <v>DNU</v>
      </c>
    </row>
    <row r="111" spans="1:28">
      <c r="A111" s="6" t="s">
        <v>548</v>
      </c>
      <c r="B111" s="6" t="s">
        <v>93</v>
      </c>
      <c r="C111" s="6" t="s">
        <v>50</v>
      </c>
      <c r="D111" s="6" t="s">
        <v>549</v>
      </c>
      <c r="E111" s="6" t="s">
        <v>549</v>
      </c>
      <c r="F111" s="6" t="s">
        <v>550</v>
      </c>
      <c r="G111" s="6" t="s">
        <v>550</v>
      </c>
      <c r="H111" s="6" t="s">
        <v>550</v>
      </c>
      <c r="I111" s="2" t="s">
        <v>53</v>
      </c>
      <c r="J111" s="7">
        <v>459355.22431999998</v>
      </c>
      <c r="K111" s="7">
        <v>213694.93582000001</v>
      </c>
      <c r="L111" s="8">
        <v>166.57593952262999</v>
      </c>
      <c r="M111" s="8">
        <v>-22.278497540578499</v>
      </c>
      <c r="N111" s="2">
        <v>3</v>
      </c>
      <c r="O111" s="2">
        <v>6</v>
      </c>
      <c r="P111" s="2">
        <v>6</v>
      </c>
      <c r="Q111" s="2" t="s">
        <v>35</v>
      </c>
      <c r="R111" s="2" t="s">
        <v>551</v>
      </c>
      <c r="S111" s="2" t="s">
        <v>37</v>
      </c>
      <c r="U111" s="2">
        <f>P111-N111</f>
        <v>3</v>
      </c>
      <c r="W111" s="30" t="s">
        <v>52</v>
      </c>
      <c r="X111" s="2" t="s">
        <v>52</v>
      </c>
      <c r="Y111" s="6" t="s">
        <v>550</v>
      </c>
      <c r="Z111" s="2" t="s">
        <v>40</v>
      </c>
      <c r="AA111" s="6" t="s">
        <v>550</v>
      </c>
      <c r="AB111" s="2" t="str">
        <f>LEFT(A111,3)</f>
        <v>DOR</v>
      </c>
    </row>
    <row r="112" spans="1:28">
      <c r="A112" s="6" t="s">
        <v>552</v>
      </c>
      <c r="B112" s="6" t="s">
        <v>373</v>
      </c>
      <c r="C112" s="6" t="s">
        <v>129</v>
      </c>
      <c r="D112" s="6" t="s">
        <v>553</v>
      </c>
      <c r="E112" s="6" t="s">
        <v>553</v>
      </c>
      <c r="F112" s="6" t="s">
        <v>554</v>
      </c>
      <c r="G112" s="2" t="s">
        <v>555</v>
      </c>
      <c r="H112" s="2" t="s">
        <v>554</v>
      </c>
      <c r="I112" s="2" t="s">
        <v>34</v>
      </c>
      <c r="J112" s="7">
        <v>530796.01679999998</v>
      </c>
      <c r="K112" s="7">
        <v>364903.81426000001</v>
      </c>
      <c r="L112" s="8">
        <v>167.25733058057199</v>
      </c>
      <c r="M112" s="8">
        <v>-20.9089965836821</v>
      </c>
      <c r="N112" s="2">
        <v>1</v>
      </c>
      <c r="O112" s="2">
        <v>1</v>
      </c>
      <c r="P112" s="2">
        <v>1</v>
      </c>
      <c r="Q112" s="2" t="s">
        <v>35</v>
      </c>
      <c r="R112" s="2" t="s">
        <v>556</v>
      </c>
      <c r="S112" s="2" t="s">
        <v>47</v>
      </c>
      <c r="U112" s="2">
        <f>P112-N112</f>
        <v>0</v>
      </c>
      <c r="W112" s="30" t="s">
        <v>553</v>
      </c>
      <c r="X112" s="2" t="s">
        <v>82</v>
      </c>
      <c r="Y112" s="6" t="s">
        <v>554</v>
      </c>
      <c r="Z112" s="2" t="s">
        <v>73</v>
      </c>
      <c r="AA112" s="2" t="s">
        <v>555</v>
      </c>
      <c r="AB112" s="2" t="str">
        <f>LEFT(A112,3)</f>
        <v>DRE</v>
      </c>
    </row>
    <row r="113" spans="1:28">
      <c r="A113" s="6" t="s">
        <v>557</v>
      </c>
      <c r="B113" s="6" t="s">
        <v>373</v>
      </c>
      <c r="C113" s="6" t="s">
        <v>129</v>
      </c>
      <c r="D113" s="6" t="s">
        <v>558</v>
      </c>
      <c r="E113" s="6" t="s">
        <v>558</v>
      </c>
      <c r="F113" s="6" t="s">
        <v>559</v>
      </c>
      <c r="G113" s="2" t="s">
        <v>559</v>
      </c>
      <c r="H113" s="2" t="s">
        <v>559</v>
      </c>
      <c r="I113" s="2" t="s">
        <v>53</v>
      </c>
      <c r="J113" s="7">
        <v>513280.08671</v>
      </c>
      <c r="K113" s="7">
        <v>363060.93080999999</v>
      </c>
      <c r="L113" s="8">
        <v>167.08908008814601</v>
      </c>
      <c r="M113" s="8">
        <v>-20.926830583252102</v>
      </c>
      <c r="N113" s="2">
        <v>3</v>
      </c>
      <c r="O113" s="2">
        <v>3</v>
      </c>
      <c r="P113" s="2">
        <v>6</v>
      </c>
      <c r="Q113" s="2" t="s">
        <v>35</v>
      </c>
      <c r="R113" s="2" t="s">
        <v>560</v>
      </c>
      <c r="S113" s="2" t="s">
        <v>47</v>
      </c>
      <c r="U113" s="2">
        <f>P113-N113</f>
        <v>3</v>
      </c>
      <c r="W113" s="30" t="s">
        <v>558</v>
      </c>
      <c r="X113" s="2" t="s">
        <v>82</v>
      </c>
      <c r="Y113" s="6" t="s">
        <v>559</v>
      </c>
      <c r="Z113" s="2" t="s">
        <v>73</v>
      </c>
      <c r="AA113" s="2" t="s">
        <v>559</v>
      </c>
      <c r="AB113" s="2" t="str">
        <f>LEFT(A113,3)</f>
        <v>DRU</v>
      </c>
    </row>
    <row r="114" spans="1:28">
      <c r="A114" s="6" t="s">
        <v>561</v>
      </c>
      <c r="B114" s="6" t="s">
        <v>562</v>
      </c>
      <c r="C114" s="6" t="s">
        <v>43</v>
      </c>
      <c r="D114" s="6" t="s">
        <v>563</v>
      </c>
      <c r="E114" s="6" t="s">
        <v>52</v>
      </c>
      <c r="F114" s="6" t="s">
        <v>564</v>
      </c>
      <c r="G114" s="6" t="s">
        <v>564</v>
      </c>
      <c r="H114" s="6" t="s">
        <v>564</v>
      </c>
      <c r="I114" s="2" t="s">
        <v>53</v>
      </c>
      <c r="J114" s="7">
        <v>434126</v>
      </c>
      <c r="K114" s="7">
        <v>283473</v>
      </c>
      <c r="L114" s="8">
        <v>166.32970800000001</v>
      </c>
      <c r="M114" s="8">
        <v>-21.648952999999999</v>
      </c>
      <c r="N114" s="2">
        <v>3</v>
      </c>
      <c r="O114" s="2">
        <v>3</v>
      </c>
      <c r="P114" s="2">
        <v>3</v>
      </c>
      <c r="Q114" s="2" t="s">
        <v>35</v>
      </c>
      <c r="R114" s="2" t="s">
        <v>565</v>
      </c>
      <c r="S114" s="2" t="s">
        <v>47</v>
      </c>
      <c r="U114" s="2">
        <f>P114-N114</f>
        <v>0</v>
      </c>
      <c r="W114" s="30" t="s">
        <v>52</v>
      </c>
      <c r="X114" s="2" t="s">
        <v>52</v>
      </c>
      <c r="Y114" s="6" t="s">
        <v>564</v>
      </c>
      <c r="Z114" s="2" t="s">
        <v>40</v>
      </c>
      <c r="AA114" s="6" t="s">
        <v>564</v>
      </c>
      <c r="AB114" s="2" t="str">
        <f>LEFT(A114,3)</f>
        <v>DSR</v>
      </c>
    </row>
    <row r="115" spans="1:28">
      <c r="A115" s="6" t="s">
        <v>566</v>
      </c>
      <c r="B115" s="6" t="s">
        <v>29</v>
      </c>
      <c r="C115" s="6" t="s">
        <v>30</v>
      </c>
      <c r="D115" s="6" t="s">
        <v>567</v>
      </c>
      <c r="E115" s="6" t="s">
        <v>568</v>
      </c>
      <c r="F115" s="6" t="s">
        <v>567</v>
      </c>
      <c r="G115" s="2" t="s">
        <v>567</v>
      </c>
      <c r="H115" s="2" t="s">
        <v>568</v>
      </c>
      <c r="I115" s="2" t="s">
        <v>34</v>
      </c>
      <c r="J115" s="7">
        <v>449023.59587999998</v>
      </c>
      <c r="K115" s="7">
        <v>213693.86421</v>
      </c>
      <c r="L115" s="8">
        <v>166.475695417575</v>
      </c>
      <c r="M115" s="8">
        <v>-22.278820383375699</v>
      </c>
      <c r="N115" s="2">
        <v>3</v>
      </c>
      <c r="O115" s="2">
        <v>9</v>
      </c>
      <c r="P115" s="2">
        <v>6</v>
      </c>
      <c r="Q115" s="2" t="s">
        <v>35</v>
      </c>
      <c r="R115" s="2" t="s">
        <v>569</v>
      </c>
      <c r="S115" s="2" t="s">
        <v>37</v>
      </c>
      <c r="U115" s="2">
        <f>P115-N115</f>
        <v>3</v>
      </c>
      <c r="W115" s="30" t="s">
        <v>568</v>
      </c>
      <c r="X115" s="2" t="s">
        <v>39</v>
      </c>
      <c r="Y115" s="6" t="s">
        <v>568</v>
      </c>
      <c r="Z115" s="2" t="s">
        <v>40</v>
      </c>
      <c r="AA115" s="2" t="s">
        <v>567</v>
      </c>
      <c r="AB115" s="2" t="str">
        <f>LEFT(A115,3)</f>
        <v>DTS</v>
      </c>
    </row>
    <row r="116" spans="1:28">
      <c r="A116" s="6" t="s">
        <v>570</v>
      </c>
      <c r="B116" s="6" t="s">
        <v>29</v>
      </c>
      <c r="C116" s="6" t="s">
        <v>30</v>
      </c>
      <c r="D116" s="6" t="s">
        <v>571</v>
      </c>
      <c r="E116" s="6" t="s">
        <v>571</v>
      </c>
      <c r="F116" s="6" t="s">
        <v>571</v>
      </c>
      <c r="G116" s="2" t="s">
        <v>572</v>
      </c>
      <c r="H116" s="2" t="s">
        <v>571</v>
      </c>
      <c r="I116" s="2" t="s">
        <v>34</v>
      </c>
      <c r="J116" s="7">
        <v>445814.92891000002</v>
      </c>
      <c r="K116" s="7">
        <v>218567.94039</v>
      </c>
      <c r="L116" s="8">
        <v>166.44442319392701</v>
      </c>
      <c r="M116" s="8">
        <v>-22.234889563496399</v>
      </c>
      <c r="N116" s="2">
        <v>2</v>
      </c>
      <c r="O116" s="2">
        <v>4</v>
      </c>
      <c r="P116" s="2">
        <v>4</v>
      </c>
      <c r="Q116" s="2" t="s">
        <v>35</v>
      </c>
      <c r="R116" s="2" t="s">
        <v>573</v>
      </c>
      <c r="S116" s="2" t="s">
        <v>37</v>
      </c>
      <c r="U116" s="2">
        <f>P116-N116</f>
        <v>2</v>
      </c>
      <c r="W116" s="30" t="s">
        <v>52</v>
      </c>
      <c r="X116" s="2" t="s">
        <v>39</v>
      </c>
      <c r="Y116" s="6" t="s">
        <v>571</v>
      </c>
      <c r="Z116" s="2" t="s">
        <v>40</v>
      </c>
      <c r="AA116" s="2" t="s">
        <v>572</v>
      </c>
      <c r="AB116" s="2" t="str">
        <f>LEFT(A116,3)</f>
        <v>DUC</v>
      </c>
    </row>
    <row r="117" spans="1:28">
      <c r="A117" s="6" t="s">
        <v>574</v>
      </c>
      <c r="B117" s="6" t="s">
        <v>49</v>
      </c>
      <c r="C117" s="6" t="s">
        <v>50</v>
      </c>
      <c r="D117" s="6" t="s">
        <v>575</v>
      </c>
      <c r="E117" s="6" t="s">
        <v>575</v>
      </c>
      <c r="F117" s="6" t="s">
        <v>576</v>
      </c>
      <c r="G117" s="2" t="s">
        <v>577</v>
      </c>
      <c r="H117" s="2" t="s">
        <v>576</v>
      </c>
      <c r="I117" s="2" t="s">
        <v>34</v>
      </c>
      <c r="J117" s="7">
        <v>447191.72752999997</v>
      </c>
      <c r="K117" s="7">
        <v>225998.00117</v>
      </c>
      <c r="L117" s="8">
        <v>166.457569589494</v>
      </c>
      <c r="M117" s="8">
        <v>-22.167753572046099</v>
      </c>
      <c r="N117" s="2">
        <v>2</v>
      </c>
      <c r="O117" s="2">
        <v>2</v>
      </c>
      <c r="P117" s="2">
        <f>N117</f>
        <v>2</v>
      </c>
      <c r="Q117" s="2" t="s">
        <v>86</v>
      </c>
      <c r="R117" s="2" t="s">
        <v>578</v>
      </c>
      <c r="S117" s="2" t="s">
        <v>37</v>
      </c>
      <c r="U117" s="2">
        <f>P117-N117</f>
        <v>0</v>
      </c>
      <c r="W117" s="30" t="s">
        <v>52</v>
      </c>
      <c r="X117" s="2" t="s">
        <v>52</v>
      </c>
      <c r="Y117" s="6" t="s">
        <v>576</v>
      </c>
      <c r="Z117" s="2" t="s">
        <v>40</v>
      </c>
      <c r="AA117" s="2" t="s">
        <v>577</v>
      </c>
      <c r="AB117" s="2" t="str">
        <f>LEFT(A117,3)</f>
        <v>DUM</v>
      </c>
    </row>
    <row r="118" spans="1:28">
      <c r="A118" s="6" t="s">
        <v>579</v>
      </c>
      <c r="B118" s="6" t="s">
        <v>93</v>
      </c>
      <c r="C118" s="6" t="s">
        <v>50</v>
      </c>
      <c r="D118" s="6" t="s">
        <v>580</v>
      </c>
      <c r="E118" s="6" t="s">
        <v>52</v>
      </c>
      <c r="F118" s="6" t="s">
        <v>581</v>
      </c>
      <c r="G118" s="6" t="s">
        <v>581</v>
      </c>
      <c r="H118" s="6" t="s">
        <v>581</v>
      </c>
      <c r="I118" s="2" t="s">
        <v>53</v>
      </c>
      <c r="J118" s="7">
        <v>474444</v>
      </c>
      <c r="K118" s="7">
        <v>222766</v>
      </c>
      <c r="L118" s="8">
        <v>166.72194400000001</v>
      </c>
      <c r="M118" s="8">
        <v>-22.196013000000001</v>
      </c>
      <c r="N118" s="2">
        <v>3</v>
      </c>
      <c r="O118" s="2">
        <v>3</v>
      </c>
      <c r="P118" s="2">
        <v>3</v>
      </c>
      <c r="Q118" s="2" t="s">
        <v>35</v>
      </c>
      <c r="R118" s="2" t="s">
        <v>582</v>
      </c>
      <c r="S118" s="2" t="s">
        <v>47</v>
      </c>
      <c r="U118" s="2">
        <f>P118-N118</f>
        <v>0</v>
      </c>
      <c r="W118" s="30" t="s">
        <v>52</v>
      </c>
      <c r="X118" s="2" t="s">
        <v>52</v>
      </c>
      <c r="Y118" s="6" t="s">
        <v>581</v>
      </c>
      <c r="Z118" s="2" t="s">
        <v>40</v>
      </c>
      <c r="AA118" s="6" t="s">
        <v>581</v>
      </c>
      <c r="AB118" s="2" t="str">
        <f>LEFT(A118,3)</f>
        <v>DUN</v>
      </c>
    </row>
    <row r="119" spans="1:28">
      <c r="A119" s="6" t="s">
        <v>583</v>
      </c>
      <c r="B119" s="6" t="s">
        <v>49</v>
      </c>
      <c r="C119" s="6" t="s">
        <v>50</v>
      </c>
      <c r="D119" s="6" t="s">
        <v>584</v>
      </c>
      <c r="E119" s="6" t="s">
        <v>584</v>
      </c>
      <c r="F119" s="6" t="s">
        <v>584</v>
      </c>
      <c r="G119" s="2" t="s">
        <v>585</v>
      </c>
      <c r="H119" s="2" t="s">
        <v>586</v>
      </c>
      <c r="I119" s="2" t="s">
        <v>34</v>
      </c>
      <c r="J119" s="7">
        <v>447734</v>
      </c>
      <c r="K119" s="7">
        <v>231626</v>
      </c>
      <c r="L119" s="9">
        <v>166.46315799999999</v>
      </c>
      <c r="M119" s="8">
        <v>-22.116911000000002</v>
      </c>
      <c r="N119" s="2">
        <v>3</v>
      </c>
      <c r="O119" s="2">
        <v>6</v>
      </c>
      <c r="P119" s="2">
        <v>9</v>
      </c>
      <c r="Q119" s="2" t="s">
        <v>587</v>
      </c>
      <c r="R119" s="2" t="s">
        <v>588</v>
      </c>
      <c r="S119" s="2" t="s">
        <v>47</v>
      </c>
      <c r="U119" s="2">
        <f>P119-N119</f>
        <v>6</v>
      </c>
      <c r="W119" s="30" t="s">
        <v>584</v>
      </c>
      <c r="X119" s="2" t="s">
        <v>39</v>
      </c>
      <c r="Y119" s="6" t="s">
        <v>584</v>
      </c>
      <c r="Z119" s="2" t="s">
        <v>40</v>
      </c>
      <c r="AA119" s="2" t="s">
        <v>585</v>
      </c>
      <c r="AB119" s="2" t="str">
        <f>LEFT(A119,3)</f>
        <v>DZU</v>
      </c>
    </row>
    <row r="120" spans="1:28">
      <c r="A120" s="6" t="s">
        <v>589</v>
      </c>
      <c r="B120" s="6" t="s">
        <v>191</v>
      </c>
      <c r="C120" s="6" t="s">
        <v>43</v>
      </c>
      <c r="D120" s="6" t="s">
        <v>590</v>
      </c>
      <c r="E120" s="6" t="s">
        <v>52</v>
      </c>
      <c r="F120" s="6" t="s">
        <v>590</v>
      </c>
      <c r="G120" s="6" t="s">
        <v>590</v>
      </c>
      <c r="H120" s="6" t="s">
        <v>590</v>
      </c>
      <c r="I120" s="2" t="s">
        <v>53</v>
      </c>
      <c r="J120" s="7">
        <v>347970</v>
      </c>
      <c r="K120" s="7">
        <v>290429</v>
      </c>
      <c r="L120" s="8">
        <v>165.49753000000001</v>
      </c>
      <c r="M120" s="8">
        <v>-21.585694</v>
      </c>
      <c r="N120" s="2">
        <v>3</v>
      </c>
      <c r="O120" s="2">
        <v>3</v>
      </c>
      <c r="P120" s="2">
        <v>3</v>
      </c>
      <c r="Q120" s="2" t="s">
        <v>86</v>
      </c>
      <c r="R120" s="2" t="s">
        <v>591</v>
      </c>
      <c r="S120" s="2" t="s">
        <v>47</v>
      </c>
      <c r="U120" s="2">
        <f>P120-N120</f>
        <v>0</v>
      </c>
      <c r="W120" s="30" t="s">
        <v>52</v>
      </c>
      <c r="X120" s="2" t="s">
        <v>52</v>
      </c>
      <c r="Y120" s="6" t="s">
        <v>590</v>
      </c>
      <c r="Z120" s="2" t="s">
        <v>73</v>
      </c>
      <c r="AA120" s="6" t="s">
        <v>590</v>
      </c>
      <c r="AB120" s="2" t="str">
        <f>LEFT(A120,3)</f>
        <v>EBR</v>
      </c>
    </row>
    <row r="121" spans="1:28">
      <c r="A121" s="6" t="s">
        <v>592</v>
      </c>
      <c r="B121" s="6" t="s">
        <v>191</v>
      </c>
      <c r="C121" s="6" t="s">
        <v>43</v>
      </c>
      <c r="D121" s="6" t="s">
        <v>593</v>
      </c>
      <c r="E121" s="6" t="s">
        <v>593</v>
      </c>
      <c r="F121" s="6" t="s">
        <v>593</v>
      </c>
      <c r="G121" s="6" t="s">
        <v>594</v>
      </c>
      <c r="H121" s="2" t="s">
        <v>595</v>
      </c>
      <c r="I121" s="2" t="s">
        <v>34</v>
      </c>
      <c r="J121" s="7">
        <v>337907</v>
      </c>
      <c r="K121" s="7">
        <v>288810</v>
      </c>
      <c r="L121" s="8">
        <v>165.400289202312</v>
      </c>
      <c r="M121" s="8">
        <v>-21.5999966629014</v>
      </c>
      <c r="N121" s="2">
        <v>2</v>
      </c>
      <c r="O121" s="2">
        <v>2</v>
      </c>
      <c r="P121" s="2">
        <v>2</v>
      </c>
      <c r="Q121" s="2" t="s">
        <v>86</v>
      </c>
      <c r="R121" s="2" t="s">
        <v>596</v>
      </c>
      <c r="S121" s="2" t="s">
        <v>47</v>
      </c>
      <c r="U121" s="2">
        <f>P121-N121</f>
        <v>0</v>
      </c>
      <c r="W121" s="30" t="s">
        <v>52</v>
      </c>
      <c r="X121" s="2" t="s">
        <v>82</v>
      </c>
      <c r="Y121" s="6" t="s">
        <v>593</v>
      </c>
      <c r="Z121" s="2" t="s">
        <v>73</v>
      </c>
      <c r="AA121" s="6" t="s">
        <v>594</v>
      </c>
      <c r="AB121" s="2" t="str">
        <f>LEFT(A121,3)</f>
        <v>EGO</v>
      </c>
    </row>
    <row r="122" spans="1:28">
      <c r="A122" s="6" t="s">
        <v>597</v>
      </c>
      <c r="B122" s="6" t="s">
        <v>29</v>
      </c>
      <c r="C122" s="6" t="s">
        <v>30</v>
      </c>
      <c r="D122" s="6" t="s">
        <v>598</v>
      </c>
      <c r="E122" s="6" t="s">
        <v>598</v>
      </c>
      <c r="F122" s="6" t="s">
        <v>599</v>
      </c>
      <c r="G122" s="2" t="s">
        <v>599</v>
      </c>
      <c r="H122" s="2" t="s">
        <v>599</v>
      </c>
      <c r="I122" s="2" t="s">
        <v>53</v>
      </c>
      <c r="J122" s="7">
        <v>445623.21120999998</v>
      </c>
      <c r="K122" s="7">
        <v>218718.17527000001</v>
      </c>
      <c r="L122" s="8">
        <v>166.442556610515</v>
      </c>
      <c r="M122" s="8">
        <v>-22.2335398518331</v>
      </c>
      <c r="N122" s="2">
        <v>3</v>
      </c>
      <c r="O122" s="2">
        <v>6</v>
      </c>
      <c r="P122" s="2">
        <v>9</v>
      </c>
      <c r="Q122" s="2" t="s">
        <v>35</v>
      </c>
      <c r="R122" s="2" t="s">
        <v>600</v>
      </c>
      <c r="S122" s="2" t="s">
        <v>37</v>
      </c>
      <c r="U122" s="2">
        <f>P122-N122</f>
        <v>6</v>
      </c>
      <c r="V122" s="2" t="s">
        <v>38</v>
      </c>
      <c r="W122" s="30" t="s">
        <v>598</v>
      </c>
      <c r="X122" s="2" t="s">
        <v>39</v>
      </c>
      <c r="Y122" s="6" t="s">
        <v>599</v>
      </c>
      <c r="Z122" s="2" t="s">
        <v>40</v>
      </c>
      <c r="AA122" s="6" t="s">
        <v>599</v>
      </c>
      <c r="AB122" s="2" t="str">
        <f>LEFT(A122,3)</f>
        <v>EIN</v>
      </c>
    </row>
    <row r="123" spans="1:28">
      <c r="A123" s="6" t="s">
        <v>601</v>
      </c>
      <c r="B123" s="6" t="s">
        <v>602</v>
      </c>
      <c r="C123" s="6" t="s">
        <v>43</v>
      </c>
      <c r="D123" s="6" t="s">
        <v>603</v>
      </c>
      <c r="E123" s="6" t="s">
        <v>603</v>
      </c>
      <c r="F123" s="6" t="s">
        <v>604</v>
      </c>
      <c r="G123" s="2" t="s">
        <v>605</v>
      </c>
      <c r="H123" s="2" t="s">
        <v>606</v>
      </c>
      <c r="I123" s="2" t="s">
        <v>34</v>
      </c>
      <c r="J123" s="7">
        <v>394505.99575</v>
      </c>
      <c r="K123" s="7">
        <v>283860.12585999997</v>
      </c>
      <c r="L123" s="8">
        <v>165.946920987667</v>
      </c>
      <c r="M123" s="8">
        <v>-21.645773875675498</v>
      </c>
      <c r="N123" s="2">
        <v>2</v>
      </c>
      <c r="O123" s="2">
        <v>2</v>
      </c>
      <c r="P123" s="2">
        <v>2</v>
      </c>
      <c r="Q123" s="2" t="s">
        <v>35</v>
      </c>
      <c r="R123" s="2" t="s">
        <v>607</v>
      </c>
      <c r="S123" s="2" t="s">
        <v>47</v>
      </c>
      <c r="U123" s="2">
        <f>P123-N123</f>
        <v>0</v>
      </c>
      <c r="W123" s="30" t="s">
        <v>603</v>
      </c>
      <c r="X123" s="2" t="s">
        <v>39</v>
      </c>
      <c r="Y123" s="6" t="s">
        <v>604</v>
      </c>
      <c r="Z123" s="2" t="s">
        <v>40</v>
      </c>
      <c r="AA123" s="2" t="s">
        <v>605</v>
      </c>
      <c r="AB123" s="2" t="str">
        <f>LEFT(A123,3)</f>
        <v>EKO</v>
      </c>
    </row>
    <row r="124" spans="1:28">
      <c r="A124" s="6" t="s">
        <v>608</v>
      </c>
      <c r="B124" s="6" t="s">
        <v>609</v>
      </c>
      <c r="C124" s="6" t="s">
        <v>68</v>
      </c>
      <c r="D124" s="6" t="s">
        <v>610</v>
      </c>
      <c r="E124" s="6" t="s">
        <v>52</v>
      </c>
      <c r="F124" s="6" t="s">
        <v>611</v>
      </c>
      <c r="G124" s="6" t="s">
        <v>611</v>
      </c>
      <c r="H124" s="6" t="s">
        <v>611</v>
      </c>
      <c r="I124" s="2" t="s">
        <v>53</v>
      </c>
      <c r="J124" s="7">
        <v>377615</v>
      </c>
      <c r="K124" s="7">
        <v>301011</v>
      </c>
      <c r="L124" s="8">
        <v>165.783962</v>
      </c>
      <c r="M124" s="8">
        <v>-21.490728000000001</v>
      </c>
      <c r="N124" s="2">
        <v>3</v>
      </c>
      <c r="O124" s="2">
        <v>3</v>
      </c>
      <c r="P124" s="2">
        <v>3</v>
      </c>
      <c r="Q124" s="2" t="s">
        <v>35</v>
      </c>
      <c r="R124" s="2" t="s">
        <v>612</v>
      </c>
      <c r="S124" s="2" t="s">
        <v>47</v>
      </c>
      <c r="U124" s="2">
        <f>P124-N124</f>
        <v>0</v>
      </c>
      <c r="W124" s="30" t="s">
        <v>52</v>
      </c>
      <c r="X124" s="2" t="s">
        <v>52</v>
      </c>
      <c r="Y124" s="6" t="s">
        <v>611</v>
      </c>
      <c r="Z124" s="2" t="s">
        <v>73</v>
      </c>
      <c r="AA124" s="6" t="s">
        <v>611</v>
      </c>
      <c r="AB124" s="2" t="str">
        <f>LEFT(A124,3)</f>
        <v>FAN</v>
      </c>
    </row>
    <row r="125" spans="1:28">
      <c r="A125" s="6" t="s">
        <v>613</v>
      </c>
      <c r="B125" s="6" t="s">
        <v>614</v>
      </c>
      <c r="C125" s="6" t="s">
        <v>43</v>
      </c>
      <c r="D125" s="6" t="s">
        <v>614</v>
      </c>
      <c r="E125" s="6" t="s">
        <v>614</v>
      </c>
      <c r="F125" s="6" t="s">
        <v>614</v>
      </c>
      <c r="G125" s="2" t="s">
        <v>615</v>
      </c>
      <c r="H125" s="2" t="s">
        <v>614</v>
      </c>
      <c r="I125" s="2" t="s">
        <v>34</v>
      </c>
      <c r="J125" s="7">
        <v>376707.70556999999</v>
      </c>
      <c r="K125" s="7">
        <v>281429.07740000001</v>
      </c>
      <c r="L125" s="8">
        <v>165.77493605362099</v>
      </c>
      <c r="M125" s="8">
        <v>-21.667588247873802</v>
      </c>
      <c r="N125" s="2">
        <v>2</v>
      </c>
      <c r="O125" s="2">
        <v>2</v>
      </c>
      <c r="P125" s="2">
        <f>N125</f>
        <v>2</v>
      </c>
      <c r="Q125" s="2" t="s">
        <v>35</v>
      </c>
      <c r="R125" s="2" t="s">
        <v>616</v>
      </c>
      <c r="S125" s="2" t="s">
        <v>47</v>
      </c>
      <c r="U125" s="2">
        <f>P125-N125</f>
        <v>0</v>
      </c>
      <c r="W125" s="30" t="s">
        <v>614</v>
      </c>
      <c r="X125" s="2" t="s">
        <v>39</v>
      </c>
      <c r="Y125" s="6" t="s">
        <v>614</v>
      </c>
      <c r="Z125" s="2" t="s">
        <v>40</v>
      </c>
      <c r="AA125" s="2" t="s">
        <v>615</v>
      </c>
      <c r="AB125" s="2" t="str">
        <f>LEFT(A125,3)</f>
        <v>FAR</v>
      </c>
    </row>
    <row r="126" spans="1:28">
      <c r="A126" s="6" t="s">
        <v>617</v>
      </c>
      <c r="B126" s="6" t="s">
        <v>49</v>
      </c>
      <c r="C126" s="6" t="s">
        <v>50</v>
      </c>
      <c r="D126" s="6" t="s">
        <v>618</v>
      </c>
      <c r="E126" s="6" t="s">
        <v>618</v>
      </c>
      <c r="F126" s="6" t="s">
        <v>619</v>
      </c>
      <c r="G126" s="2" t="s">
        <v>620</v>
      </c>
      <c r="H126" s="2" t="s">
        <v>619</v>
      </c>
      <c r="I126" s="2" t="s">
        <v>34</v>
      </c>
      <c r="J126" s="7">
        <v>449183.23982999998</v>
      </c>
      <c r="K126" s="7">
        <v>228762.0582</v>
      </c>
      <c r="L126" s="8">
        <v>166.47679229978601</v>
      </c>
      <c r="M126" s="8">
        <v>-22.142737860574101</v>
      </c>
      <c r="N126" s="2">
        <v>3</v>
      </c>
      <c r="O126" s="2">
        <v>3</v>
      </c>
      <c r="P126" s="2">
        <v>6</v>
      </c>
      <c r="Q126" s="2" t="s">
        <v>35</v>
      </c>
      <c r="R126" s="2" t="s">
        <v>621</v>
      </c>
      <c r="S126" s="2" t="s">
        <v>37</v>
      </c>
      <c r="U126" s="2">
        <f>P126-N126</f>
        <v>3</v>
      </c>
      <c r="W126" s="30" t="s">
        <v>52</v>
      </c>
      <c r="X126" s="2" t="s">
        <v>39</v>
      </c>
      <c r="Y126" s="6" t="s">
        <v>619</v>
      </c>
      <c r="Z126" s="2" t="s">
        <v>40</v>
      </c>
      <c r="AA126" s="2" t="s">
        <v>620</v>
      </c>
      <c r="AB126" s="2" t="str">
        <f>LEFT(A126,3)</f>
        <v>FAY</v>
      </c>
    </row>
    <row r="127" spans="1:28">
      <c r="A127" s="6" t="s">
        <v>622</v>
      </c>
      <c r="B127" s="6" t="s">
        <v>602</v>
      </c>
      <c r="C127" s="6" t="s">
        <v>43</v>
      </c>
      <c r="D127" s="6" t="s">
        <v>623</v>
      </c>
      <c r="E127" s="6" t="s">
        <v>624</v>
      </c>
      <c r="F127" s="6" t="s">
        <v>623</v>
      </c>
      <c r="G127" s="2" t="s">
        <v>623</v>
      </c>
      <c r="H127" s="2" t="s">
        <v>623</v>
      </c>
      <c r="I127" s="2" t="s">
        <v>53</v>
      </c>
      <c r="J127" s="7">
        <v>377020</v>
      </c>
      <c r="K127" s="7">
        <v>278544</v>
      </c>
      <c r="L127" s="8">
        <v>165.777911212399</v>
      </c>
      <c r="M127" s="8">
        <v>-21.693650174251101</v>
      </c>
      <c r="N127" s="2">
        <v>3</v>
      </c>
      <c r="O127" s="2">
        <v>3</v>
      </c>
      <c r="P127" s="2">
        <v>6</v>
      </c>
      <c r="Q127" s="2" t="s">
        <v>35</v>
      </c>
      <c r="R127" s="2" t="s">
        <v>625</v>
      </c>
      <c r="S127" s="2" t="s">
        <v>47</v>
      </c>
      <c r="U127" s="2">
        <f>P127-N127</f>
        <v>3</v>
      </c>
      <c r="W127" s="30" t="s">
        <v>624</v>
      </c>
      <c r="X127" s="2" t="s">
        <v>39</v>
      </c>
      <c r="Y127" s="6" t="s">
        <v>623</v>
      </c>
      <c r="Z127" s="2" t="s">
        <v>40</v>
      </c>
      <c r="AA127" s="2" t="s">
        <v>623</v>
      </c>
      <c r="AB127" s="2" t="str">
        <f>LEFT(A127,3)</f>
        <v>FLA</v>
      </c>
    </row>
    <row r="128" spans="1:28">
      <c r="A128" s="6" t="s">
        <v>626</v>
      </c>
      <c r="B128" s="6" t="s">
        <v>602</v>
      </c>
      <c r="C128" s="6" t="s">
        <v>43</v>
      </c>
      <c r="D128" s="6" t="s">
        <v>627</v>
      </c>
      <c r="E128" s="6" t="s">
        <v>52</v>
      </c>
      <c r="F128" s="6" t="s">
        <v>627</v>
      </c>
      <c r="G128" s="2" t="s">
        <v>627</v>
      </c>
      <c r="H128" s="2" t="s">
        <v>628</v>
      </c>
      <c r="I128" s="2" t="s">
        <v>53</v>
      </c>
      <c r="J128" s="7">
        <v>384833</v>
      </c>
      <c r="K128" s="7">
        <v>268851</v>
      </c>
      <c r="L128" s="8">
        <v>165.85333199999999</v>
      </c>
      <c r="M128" s="8">
        <v>-21.781282000000001</v>
      </c>
      <c r="N128" s="2">
        <v>3</v>
      </c>
      <c r="O128" s="2">
        <v>3</v>
      </c>
      <c r="P128" s="2">
        <f>N128</f>
        <v>3</v>
      </c>
      <c r="Q128" s="2" t="s">
        <v>35</v>
      </c>
      <c r="R128" s="2" t="s">
        <v>629</v>
      </c>
      <c r="S128" s="2" t="s">
        <v>47</v>
      </c>
      <c r="U128" s="2">
        <f>P128-N128</f>
        <v>0</v>
      </c>
      <c r="W128" s="30" t="s">
        <v>52</v>
      </c>
      <c r="X128" s="2" t="s">
        <v>52</v>
      </c>
      <c r="Y128" s="6" t="s">
        <v>630</v>
      </c>
      <c r="Z128" s="2" t="s">
        <v>40</v>
      </c>
      <c r="AA128" s="6" t="s">
        <v>630</v>
      </c>
      <c r="AB128" s="2" t="str">
        <f>LEFT(A128,3)</f>
        <v>FNO</v>
      </c>
    </row>
    <row r="129" spans="1:28">
      <c r="A129" s="6" t="s">
        <v>631</v>
      </c>
      <c r="B129" s="6" t="s">
        <v>602</v>
      </c>
      <c r="C129" s="6" t="s">
        <v>43</v>
      </c>
      <c r="D129" s="6" t="s">
        <v>632</v>
      </c>
      <c r="E129" s="6" t="s">
        <v>632</v>
      </c>
      <c r="F129" s="6" t="s">
        <v>632</v>
      </c>
      <c r="G129" s="2" t="s">
        <v>633</v>
      </c>
      <c r="H129" s="2" t="s">
        <v>632</v>
      </c>
      <c r="I129" s="2" t="s">
        <v>34</v>
      </c>
      <c r="J129" s="7">
        <v>382314.41081999999</v>
      </c>
      <c r="K129" s="7">
        <v>276603.53849000001</v>
      </c>
      <c r="L129" s="8">
        <v>165.829054198412</v>
      </c>
      <c r="M129" s="8">
        <v>-21.711232687626101</v>
      </c>
      <c r="N129" s="2">
        <v>3</v>
      </c>
      <c r="O129" s="2">
        <v>6</v>
      </c>
      <c r="P129" s="2">
        <f>N129</f>
        <v>3</v>
      </c>
      <c r="Q129" s="2" t="s">
        <v>35</v>
      </c>
      <c r="R129" s="2" t="s">
        <v>634</v>
      </c>
      <c r="S129" s="2" t="s">
        <v>37</v>
      </c>
      <c r="U129" s="2">
        <f>P129-N129</f>
        <v>0</v>
      </c>
      <c r="W129" s="30" t="s">
        <v>52</v>
      </c>
      <c r="X129" s="2" t="s">
        <v>39</v>
      </c>
      <c r="Y129" s="6" t="s">
        <v>632</v>
      </c>
      <c r="Z129" s="2" t="s">
        <v>40</v>
      </c>
      <c r="AA129" s="2" t="s">
        <v>633</v>
      </c>
      <c r="AB129" s="2" t="str">
        <f>LEFT(A129,3)</f>
        <v>FOA</v>
      </c>
    </row>
    <row r="130" spans="1:28">
      <c r="A130" s="6" t="s">
        <v>635</v>
      </c>
      <c r="B130" s="6" t="s">
        <v>29</v>
      </c>
      <c r="C130" s="6" t="s">
        <v>30</v>
      </c>
      <c r="D130" s="6" t="s">
        <v>636</v>
      </c>
      <c r="E130" s="6" t="s">
        <v>636</v>
      </c>
      <c r="F130" s="6" t="s">
        <v>637</v>
      </c>
      <c r="G130" s="2" t="s">
        <v>637</v>
      </c>
      <c r="H130" s="2" t="s">
        <v>637</v>
      </c>
      <c r="I130" s="2" t="s">
        <v>53</v>
      </c>
      <c r="J130" s="7">
        <v>445651.53019999998</v>
      </c>
      <c r="K130" s="7">
        <v>213266.14931000001</v>
      </c>
      <c r="L130" s="8">
        <v>166.442987782486</v>
      </c>
      <c r="M130" s="8">
        <v>-22.2827750096478</v>
      </c>
      <c r="N130" s="2">
        <v>3</v>
      </c>
      <c r="O130" s="2">
        <v>9</v>
      </c>
      <c r="P130" s="2">
        <v>9</v>
      </c>
      <c r="Q130" s="2" t="s">
        <v>35</v>
      </c>
      <c r="R130" s="2" t="s">
        <v>638</v>
      </c>
      <c r="S130" s="2" t="s">
        <v>37</v>
      </c>
      <c r="U130" s="2">
        <f>P130-N130</f>
        <v>6</v>
      </c>
      <c r="W130" s="30" t="s">
        <v>636</v>
      </c>
      <c r="X130" s="2" t="s">
        <v>39</v>
      </c>
      <c r="Y130" s="6" t="s">
        <v>637</v>
      </c>
      <c r="Z130" s="2" t="s">
        <v>40</v>
      </c>
      <c r="AA130" s="6" t="s">
        <v>637</v>
      </c>
      <c r="AB130" s="2" t="str">
        <f>LEFT(A130,3)</f>
        <v>FOC</v>
      </c>
    </row>
    <row r="131" spans="1:28">
      <c r="A131" s="6" t="s">
        <v>639</v>
      </c>
      <c r="B131" s="2" t="s">
        <v>602</v>
      </c>
      <c r="C131" s="2" t="s">
        <v>43</v>
      </c>
      <c r="D131" s="6" t="s">
        <v>640</v>
      </c>
      <c r="E131" s="2" t="s">
        <v>624</v>
      </c>
      <c r="F131" s="2" t="s">
        <v>640</v>
      </c>
      <c r="G131" s="2" t="s">
        <v>641</v>
      </c>
      <c r="H131" s="2" t="s">
        <v>640</v>
      </c>
      <c r="I131" s="2" t="s">
        <v>53</v>
      </c>
      <c r="J131" s="7">
        <v>378798</v>
      </c>
      <c r="K131" s="7">
        <v>279857</v>
      </c>
      <c r="L131" s="8">
        <v>165.79511119420201</v>
      </c>
      <c r="M131" s="8">
        <v>-21.681812841285801</v>
      </c>
      <c r="N131" s="2">
        <v>2</v>
      </c>
      <c r="O131" s="2">
        <v>2</v>
      </c>
      <c r="P131" s="2">
        <v>2</v>
      </c>
      <c r="Q131" s="2" t="s">
        <v>35</v>
      </c>
      <c r="R131" s="2" t="s">
        <v>642</v>
      </c>
      <c r="S131" s="2" t="s">
        <v>47</v>
      </c>
      <c r="U131" s="2">
        <f>P131-N131</f>
        <v>0</v>
      </c>
      <c r="W131" s="30" t="s">
        <v>643</v>
      </c>
      <c r="X131" s="2" t="s">
        <v>39</v>
      </c>
      <c r="Y131" s="2" t="s">
        <v>640</v>
      </c>
      <c r="Z131" s="2" t="s">
        <v>40</v>
      </c>
      <c r="AA131" s="2" t="s">
        <v>641</v>
      </c>
      <c r="AB131" s="2" t="str">
        <f>LEFT(A131,3)</f>
        <v>FON</v>
      </c>
    </row>
    <row r="132" spans="1:28">
      <c r="A132" s="6" t="s">
        <v>644</v>
      </c>
      <c r="B132" s="6" t="s">
        <v>49</v>
      </c>
      <c r="C132" s="6" t="s">
        <v>50</v>
      </c>
      <c r="D132" s="6" t="s">
        <v>645</v>
      </c>
      <c r="E132" s="6" t="s">
        <v>645</v>
      </c>
      <c r="F132" s="6" t="s">
        <v>645</v>
      </c>
      <c r="G132" s="2" t="s">
        <v>646</v>
      </c>
      <c r="H132" s="2" t="s">
        <v>647</v>
      </c>
      <c r="I132" s="2" t="s">
        <v>34</v>
      </c>
      <c r="J132" s="7">
        <v>446822</v>
      </c>
      <c r="K132" s="7">
        <v>221794</v>
      </c>
      <c r="L132" s="8">
        <v>166.45410000000001</v>
      </c>
      <c r="M132" s="8">
        <v>-22.205729999999999</v>
      </c>
      <c r="N132" s="2">
        <v>2</v>
      </c>
      <c r="O132" s="2">
        <v>4</v>
      </c>
      <c r="P132" s="2">
        <f>N132</f>
        <v>2</v>
      </c>
      <c r="Q132" s="2" t="s">
        <v>35</v>
      </c>
      <c r="R132" s="2" t="s">
        <v>648</v>
      </c>
      <c r="S132" s="2" t="s">
        <v>37</v>
      </c>
      <c r="U132" s="2">
        <f>P132-N132</f>
        <v>0</v>
      </c>
      <c r="W132" s="30" t="s">
        <v>645</v>
      </c>
      <c r="X132" s="2" t="s">
        <v>39</v>
      </c>
      <c r="Y132" s="6" t="s">
        <v>645</v>
      </c>
      <c r="Z132" s="2" t="s">
        <v>40</v>
      </c>
      <c r="AA132" s="2" t="s">
        <v>646</v>
      </c>
      <c r="AB132" s="2" t="str">
        <f>LEFT(A132,3)</f>
        <v>FOR</v>
      </c>
    </row>
    <row r="133" spans="1:28">
      <c r="A133" s="6" t="s">
        <v>649</v>
      </c>
      <c r="B133" s="6" t="s">
        <v>56</v>
      </c>
      <c r="C133" s="6" t="s">
        <v>50</v>
      </c>
      <c r="D133" s="6" t="s">
        <v>650</v>
      </c>
      <c r="E133" s="6" t="s">
        <v>650</v>
      </c>
      <c r="F133" s="6" t="s">
        <v>650</v>
      </c>
      <c r="G133" s="2" t="s">
        <v>651</v>
      </c>
      <c r="H133" s="2" t="s">
        <v>650</v>
      </c>
      <c r="I133" s="2" t="s">
        <v>34</v>
      </c>
      <c r="J133" s="7">
        <v>443338.92843999999</v>
      </c>
      <c r="K133" s="7">
        <v>230032.77311000001</v>
      </c>
      <c r="L133" s="8">
        <v>166.420106281649</v>
      </c>
      <c r="M133" s="8">
        <v>-22.131410658765802</v>
      </c>
      <c r="N133" s="2">
        <v>2</v>
      </c>
      <c r="O133" s="2">
        <v>4</v>
      </c>
      <c r="P133" s="2">
        <f>N133</f>
        <v>2</v>
      </c>
      <c r="Q133" s="2" t="s">
        <v>35</v>
      </c>
      <c r="R133" s="2" t="s">
        <v>652</v>
      </c>
      <c r="S133" s="2" t="s">
        <v>37</v>
      </c>
      <c r="U133" s="2">
        <f>P133-N133</f>
        <v>0</v>
      </c>
      <c r="W133" s="30" t="s">
        <v>52</v>
      </c>
      <c r="X133" s="2" t="s">
        <v>39</v>
      </c>
      <c r="Y133" s="6" t="s">
        <v>650</v>
      </c>
      <c r="Z133" s="2" t="s">
        <v>40</v>
      </c>
      <c r="AA133" s="2" t="s">
        <v>651</v>
      </c>
      <c r="AB133" s="2" t="str">
        <f>LEFT(A133,3)</f>
        <v>FOU</v>
      </c>
    </row>
    <row r="134" spans="1:28">
      <c r="A134" s="6" t="s">
        <v>653</v>
      </c>
      <c r="B134" s="6" t="s">
        <v>29</v>
      </c>
      <c r="C134" s="6" t="s">
        <v>30</v>
      </c>
      <c r="D134" s="6" t="s">
        <v>654</v>
      </c>
      <c r="E134" s="6" t="s">
        <v>654</v>
      </c>
      <c r="F134" s="6" t="s">
        <v>655</v>
      </c>
      <c r="G134" s="6" t="s">
        <v>655</v>
      </c>
      <c r="H134" s="6" t="s">
        <v>655</v>
      </c>
      <c r="I134" s="2" t="s">
        <v>53</v>
      </c>
      <c r="J134" s="7">
        <v>448538</v>
      </c>
      <c r="K134" s="7">
        <v>216765</v>
      </c>
      <c r="L134" s="8">
        <v>166.47089</v>
      </c>
      <c r="M134" s="8">
        <v>-22.251100000000001</v>
      </c>
      <c r="N134" s="2">
        <v>3</v>
      </c>
      <c r="O134" s="2">
        <v>6</v>
      </c>
      <c r="P134" s="2">
        <v>6</v>
      </c>
      <c r="Q134" s="2" t="s">
        <v>35</v>
      </c>
      <c r="R134" s="2" t="s">
        <v>656</v>
      </c>
      <c r="S134" s="2" t="s">
        <v>37</v>
      </c>
      <c r="U134" s="2">
        <f>P134-N134</f>
        <v>3</v>
      </c>
      <c r="W134" s="30" t="s">
        <v>52</v>
      </c>
      <c r="X134" s="2" t="s">
        <v>39</v>
      </c>
      <c r="Y134" s="6" t="s">
        <v>655</v>
      </c>
      <c r="Z134" s="2" t="s">
        <v>40</v>
      </c>
      <c r="AA134" s="6" t="s">
        <v>655</v>
      </c>
      <c r="AB134" s="2" t="str">
        <f>LEFT(A134,3)</f>
        <v>FOY</v>
      </c>
    </row>
    <row r="135" spans="1:28">
      <c r="A135" s="6" t="s">
        <v>657</v>
      </c>
      <c r="B135" s="6" t="s">
        <v>29</v>
      </c>
      <c r="C135" s="2" t="s">
        <v>30</v>
      </c>
      <c r="D135" s="6" t="s">
        <v>658</v>
      </c>
      <c r="E135" s="6" t="s">
        <v>658</v>
      </c>
      <c r="F135" s="6" t="s">
        <v>658</v>
      </c>
      <c r="G135" s="2" t="s">
        <v>659</v>
      </c>
      <c r="H135" s="6" t="s">
        <v>658</v>
      </c>
      <c r="I135" s="2" t="s">
        <v>34</v>
      </c>
      <c r="J135" s="7">
        <v>447785</v>
      </c>
      <c r="K135" s="7">
        <v>217149</v>
      </c>
      <c r="L135" s="9">
        <v>166.46357399999999</v>
      </c>
      <c r="M135" s="8">
        <v>-22.247653</v>
      </c>
      <c r="N135" s="2">
        <v>3</v>
      </c>
      <c r="O135" s="2">
        <v>6</v>
      </c>
      <c r="P135" s="2">
        <f>N135</f>
        <v>3</v>
      </c>
      <c r="Q135" s="2" t="s">
        <v>35</v>
      </c>
      <c r="R135" s="2" t="s">
        <v>660</v>
      </c>
      <c r="S135" s="2" t="s">
        <v>37</v>
      </c>
      <c r="U135" s="2">
        <f>P135-N135</f>
        <v>0</v>
      </c>
      <c r="W135" s="30" t="s">
        <v>52</v>
      </c>
      <c r="X135" s="2" t="s">
        <v>39</v>
      </c>
      <c r="Y135" s="6" t="s">
        <v>658</v>
      </c>
      <c r="Z135" s="2" t="s">
        <v>40</v>
      </c>
      <c r="AA135" s="2" t="s">
        <v>659</v>
      </c>
      <c r="AB135" s="2" t="str">
        <f>LEFT(A135,3)</f>
        <v>FP4</v>
      </c>
    </row>
    <row r="136" spans="1:28">
      <c r="A136" s="6" t="s">
        <v>661</v>
      </c>
      <c r="B136" s="6" t="s">
        <v>56</v>
      </c>
      <c r="C136" s="6" t="s">
        <v>50</v>
      </c>
      <c r="D136" s="6" t="s">
        <v>662</v>
      </c>
      <c r="E136" s="6" t="s">
        <v>662</v>
      </c>
      <c r="F136" s="6" t="s">
        <v>663</v>
      </c>
      <c r="G136" s="2" t="s">
        <v>664</v>
      </c>
      <c r="H136" s="6" t="s">
        <v>662</v>
      </c>
      <c r="I136" s="2" t="s">
        <v>34</v>
      </c>
      <c r="J136" s="7">
        <v>438851</v>
      </c>
      <c r="K136" s="7">
        <v>229213</v>
      </c>
      <c r="L136" s="8">
        <v>166.37662121420999</v>
      </c>
      <c r="M136" s="8">
        <v>-22.138919508764001</v>
      </c>
      <c r="N136" s="2">
        <v>3</v>
      </c>
      <c r="O136" s="2">
        <v>4</v>
      </c>
      <c r="P136" s="2">
        <v>3</v>
      </c>
      <c r="Q136" s="2" t="s">
        <v>35</v>
      </c>
      <c r="R136" s="2" t="s">
        <v>665</v>
      </c>
      <c r="S136" s="2" t="s">
        <v>37</v>
      </c>
      <c r="U136" s="2">
        <f>P136-N136</f>
        <v>0</v>
      </c>
      <c r="W136" s="30" t="s">
        <v>52</v>
      </c>
      <c r="X136" s="2" t="s">
        <v>39</v>
      </c>
      <c r="Y136" s="6" t="s">
        <v>663</v>
      </c>
      <c r="Z136" s="2" t="s">
        <v>40</v>
      </c>
      <c r="AA136" s="2" t="s">
        <v>664</v>
      </c>
      <c r="AB136" s="2" t="str">
        <f>LEFT(A136,3)</f>
        <v>FPT</v>
      </c>
    </row>
    <row r="137" spans="1:28">
      <c r="A137" s="6" t="s">
        <v>666</v>
      </c>
      <c r="B137" s="6" t="s">
        <v>128</v>
      </c>
      <c r="C137" s="6" t="s">
        <v>129</v>
      </c>
      <c r="D137" s="6" t="s">
        <v>667</v>
      </c>
      <c r="E137" s="6" t="s">
        <v>667</v>
      </c>
      <c r="F137" s="6" t="s">
        <v>668</v>
      </c>
      <c r="G137" s="2" t="s">
        <v>668</v>
      </c>
      <c r="H137" s="86" t="s">
        <v>668</v>
      </c>
      <c r="I137" s="2" t="s">
        <v>53</v>
      </c>
      <c r="J137" s="7">
        <v>455739.75091</v>
      </c>
      <c r="K137" s="7">
        <v>393788.38244000002</v>
      </c>
      <c r="L137" s="8">
        <v>166.53488318318301</v>
      </c>
      <c r="M137" s="8">
        <v>-20.651991605426801</v>
      </c>
      <c r="N137" s="2">
        <v>3</v>
      </c>
      <c r="O137" s="2">
        <v>6</v>
      </c>
      <c r="P137" s="2">
        <v>6</v>
      </c>
      <c r="Q137" s="2" t="s">
        <v>35</v>
      </c>
      <c r="R137" s="2" t="s">
        <v>669</v>
      </c>
      <c r="S137" s="2" t="s">
        <v>47</v>
      </c>
      <c r="U137" s="2">
        <f>P137-N137</f>
        <v>3</v>
      </c>
      <c r="W137" s="30" t="s">
        <v>667</v>
      </c>
      <c r="X137" s="2" t="s">
        <v>82</v>
      </c>
      <c r="Y137" s="6" t="s">
        <v>668</v>
      </c>
      <c r="Z137" s="2" t="s">
        <v>73</v>
      </c>
      <c r="AA137" s="6" t="s">
        <v>668</v>
      </c>
      <c r="AB137" s="2" t="str">
        <f>LEFT(A137,3)</f>
        <v>FYE</v>
      </c>
    </row>
    <row r="138" spans="1:28">
      <c r="A138" s="6" t="s">
        <v>670</v>
      </c>
      <c r="B138" s="6" t="s">
        <v>331</v>
      </c>
      <c r="C138" s="6" t="s">
        <v>43</v>
      </c>
      <c r="D138" s="6" t="s">
        <v>671</v>
      </c>
      <c r="E138" s="6" t="s">
        <v>671</v>
      </c>
      <c r="F138" s="6" t="s">
        <v>671</v>
      </c>
      <c r="G138" s="2" t="s">
        <v>672</v>
      </c>
      <c r="H138" s="2" t="s">
        <v>671</v>
      </c>
      <c r="I138" s="2" t="s">
        <v>34</v>
      </c>
      <c r="J138" s="7">
        <v>547226.53219000006</v>
      </c>
      <c r="K138" s="7">
        <v>181654.01697999999</v>
      </c>
      <c r="L138" s="8">
        <v>167.431401465893</v>
      </c>
      <c r="M138" s="8">
        <v>-22.562736896840001</v>
      </c>
      <c r="N138" s="2">
        <v>2</v>
      </c>
      <c r="O138" s="2">
        <v>2</v>
      </c>
      <c r="P138" s="2">
        <f>N138</f>
        <v>2</v>
      </c>
      <c r="Q138" s="2" t="s">
        <v>35</v>
      </c>
      <c r="R138" s="2" t="s">
        <v>673</v>
      </c>
      <c r="S138" s="2" t="s">
        <v>47</v>
      </c>
      <c r="U138" s="2">
        <f>P138-N138</f>
        <v>0</v>
      </c>
      <c r="W138" s="30" t="s">
        <v>671</v>
      </c>
      <c r="X138" s="2" t="s">
        <v>39</v>
      </c>
      <c r="Y138" s="6" t="s">
        <v>671</v>
      </c>
      <c r="Z138" s="2" t="s">
        <v>40</v>
      </c>
      <c r="AA138" s="2" t="s">
        <v>672</v>
      </c>
      <c r="AB138" s="2" t="str">
        <f>LEFT(A138,3)</f>
        <v>GAD</v>
      </c>
    </row>
    <row r="139" spans="1:28">
      <c r="A139" s="6" t="s">
        <v>674</v>
      </c>
      <c r="B139" s="6" t="s">
        <v>29</v>
      </c>
      <c r="C139" s="6" t="s">
        <v>30</v>
      </c>
      <c r="D139" s="6" t="s">
        <v>675</v>
      </c>
      <c r="E139" s="6" t="s">
        <v>675</v>
      </c>
      <c r="F139" s="6" t="s">
        <v>675</v>
      </c>
      <c r="G139" s="2" t="s">
        <v>676</v>
      </c>
      <c r="H139" s="2" t="s">
        <v>675</v>
      </c>
      <c r="I139" s="2" t="s">
        <v>34</v>
      </c>
      <c r="J139" s="7">
        <v>445271.05339999998</v>
      </c>
      <c r="K139" s="7">
        <v>214679.28745</v>
      </c>
      <c r="L139" s="8">
        <v>166.43925221235</v>
      </c>
      <c r="M139" s="8">
        <v>-22.270024286022501</v>
      </c>
      <c r="N139" s="2">
        <v>3</v>
      </c>
      <c r="O139" s="2">
        <v>6</v>
      </c>
      <c r="P139" s="2">
        <v>6</v>
      </c>
      <c r="Q139" s="2" t="s">
        <v>35</v>
      </c>
      <c r="R139" s="2" t="s">
        <v>677</v>
      </c>
      <c r="S139" s="2" t="s">
        <v>37</v>
      </c>
      <c r="U139" s="2">
        <f>P139-N139</f>
        <v>3</v>
      </c>
      <c r="W139" s="30" t="s">
        <v>52</v>
      </c>
      <c r="X139" s="2" t="s">
        <v>39</v>
      </c>
      <c r="Y139" s="6" t="s">
        <v>675</v>
      </c>
      <c r="Z139" s="2" t="s">
        <v>40</v>
      </c>
      <c r="AA139" s="2" t="s">
        <v>676</v>
      </c>
      <c r="AB139" s="2" t="str">
        <f>LEFT(A139,3)</f>
        <v>GAL</v>
      </c>
    </row>
    <row r="140" spans="1:28">
      <c r="A140" s="6" t="s">
        <v>678</v>
      </c>
      <c r="B140" s="6" t="s">
        <v>437</v>
      </c>
      <c r="C140" s="6" t="s">
        <v>68</v>
      </c>
      <c r="D140" s="6" t="s">
        <v>679</v>
      </c>
      <c r="E140" s="6" t="s">
        <v>679</v>
      </c>
      <c r="F140" s="6" t="s">
        <v>680</v>
      </c>
      <c r="G140" s="2" t="s">
        <v>681</v>
      </c>
      <c r="H140" s="2" t="s">
        <v>679</v>
      </c>
      <c r="I140" s="2" t="s">
        <v>34</v>
      </c>
      <c r="J140" s="7">
        <v>236399.24322</v>
      </c>
      <c r="K140" s="7">
        <v>388259.07407999999</v>
      </c>
      <c r="L140" s="8">
        <v>164.42959220533501</v>
      </c>
      <c r="M140" s="8">
        <v>-20.695370653607501</v>
      </c>
      <c r="N140" s="2">
        <v>3</v>
      </c>
      <c r="O140" s="2">
        <v>6</v>
      </c>
      <c r="P140" s="2">
        <v>6</v>
      </c>
      <c r="Q140" s="2" t="s">
        <v>35</v>
      </c>
      <c r="R140" s="2" t="s">
        <v>682</v>
      </c>
      <c r="S140" s="2" t="s">
        <v>47</v>
      </c>
      <c r="U140" s="2">
        <f>P140-N140</f>
        <v>3</v>
      </c>
      <c r="W140" s="30" t="s">
        <v>679</v>
      </c>
      <c r="X140" s="2" t="s">
        <v>82</v>
      </c>
      <c r="Y140" s="6" t="s">
        <v>680</v>
      </c>
      <c r="Z140" s="2" t="s">
        <v>73</v>
      </c>
      <c r="AA140" s="2" t="s">
        <v>681</v>
      </c>
      <c r="AB140" s="2" t="str">
        <f>LEFT(A140,3)</f>
        <v>GAM</v>
      </c>
    </row>
    <row r="141" spans="1:28">
      <c r="A141" s="6" t="s">
        <v>683</v>
      </c>
      <c r="B141" s="6" t="s">
        <v>684</v>
      </c>
      <c r="C141" s="6" t="s">
        <v>68</v>
      </c>
      <c r="D141" s="6" t="s">
        <v>685</v>
      </c>
      <c r="E141" s="6" t="s">
        <v>686</v>
      </c>
      <c r="F141" s="6" t="s">
        <v>685</v>
      </c>
      <c r="G141" s="6" t="s">
        <v>685</v>
      </c>
      <c r="H141" s="2" t="s">
        <v>686</v>
      </c>
      <c r="I141" s="2" t="s">
        <v>34</v>
      </c>
      <c r="J141" s="7">
        <v>266400.89197</v>
      </c>
      <c r="K141" s="7">
        <v>393236.87222000002</v>
      </c>
      <c r="L141" s="8">
        <v>164.71795923561501</v>
      </c>
      <c r="M141" s="8">
        <v>-20.652881560199599</v>
      </c>
      <c r="N141" s="2">
        <v>2</v>
      </c>
      <c r="O141" s="2">
        <v>2</v>
      </c>
      <c r="P141" s="2">
        <v>2</v>
      </c>
      <c r="Q141" s="2" t="s">
        <v>151</v>
      </c>
      <c r="R141" s="2" t="s">
        <v>687</v>
      </c>
      <c r="S141" s="2" t="s">
        <v>47</v>
      </c>
      <c r="U141" s="2">
        <f>P141-N141</f>
        <v>0</v>
      </c>
      <c r="W141" s="30" t="s">
        <v>688</v>
      </c>
      <c r="X141" s="2" t="s">
        <v>82</v>
      </c>
      <c r="Y141" s="6" t="s">
        <v>685</v>
      </c>
      <c r="Z141" s="2" t="s">
        <v>73</v>
      </c>
      <c r="AA141" s="6" t="s">
        <v>685</v>
      </c>
      <c r="AB141" s="2" t="str">
        <f>LEFT(A141,3)</f>
        <v>GAR</v>
      </c>
    </row>
    <row r="142" spans="1:28">
      <c r="A142" s="6" t="s">
        <v>689</v>
      </c>
      <c r="B142" s="6" t="s">
        <v>249</v>
      </c>
      <c r="C142" s="6" t="s">
        <v>68</v>
      </c>
      <c r="D142" s="6" t="s">
        <v>690</v>
      </c>
      <c r="E142" s="6" t="s">
        <v>690</v>
      </c>
      <c r="F142" s="6" t="s">
        <v>690</v>
      </c>
      <c r="G142" s="2" t="s">
        <v>691</v>
      </c>
      <c r="H142" s="2" t="s">
        <v>690</v>
      </c>
      <c r="I142" s="2" t="s">
        <v>34</v>
      </c>
      <c r="J142" s="7">
        <v>261708.85316999999</v>
      </c>
      <c r="K142" s="7">
        <v>358311.44157999998</v>
      </c>
      <c r="L142" s="8">
        <v>164.67008485359801</v>
      </c>
      <c r="M142" s="8">
        <v>-20.967986373287498</v>
      </c>
      <c r="N142" s="2">
        <v>2</v>
      </c>
      <c r="O142" s="2">
        <v>2</v>
      </c>
      <c r="P142" s="2">
        <f>N142</f>
        <v>2</v>
      </c>
      <c r="Q142" s="2" t="s">
        <v>35</v>
      </c>
      <c r="R142" s="2" t="s">
        <v>692</v>
      </c>
      <c r="S142" s="2" t="s">
        <v>47</v>
      </c>
      <c r="U142" s="2">
        <f>P142-N142</f>
        <v>0</v>
      </c>
      <c r="W142" s="30" t="s">
        <v>690</v>
      </c>
      <c r="X142" s="2" t="s">
        <v>82</v>
      </c>
      <c r="Y142" s="6" t="s">
        <v>690</v>
      </c>
      <c r="Z142" s="2" t="s">
        <v>73</v>
      </c>
      <c r="AA142" s="2" t="s">
        <v>691</v>
      </c>
      <c r="AB142" s="2" t="str">
        <f>LEFT(A142,3)</f>
        <v>GAT</v>
      </c>
    </row>
    <row r="143" spans="1:28">
      <c r="A143" s="6" t="s">
        <v>693</v>
      </c>
      <c r="B143" s="6" t="s">
        <v>684</v>
      </c>
      <c r="C143" s="6" t="s">
        <v>68</v>
      </c>
      <c r="D143" s="6" t="s">
        <v>694</v>
      </c>
      <c r="E143" s="6" t="s">
        <v>694</v>
      </c>
      <c r="F143" s="6" t="s">
        <v>694</v>
      </c>
      <c r="G143" s="2" t="s">
        <v>695</v>
      </c>
      <c r="H143" s="2" t="s">
        <v>684</v>
      </c>
      <c r="I143" s="2" t="s">
        <v>34</v>
      </c>
      <c r="J143" s="7">
        <v>291921.75190999999</v>
      </c>
      <c r="K143" s="7">
        <v>387826.28265000001</v>
      </c>
      <c r="L143" s="8">
        <v>164.96251083871701</v>
      </c>
      <c r="M143" s="8">
        <v>-20.703464696631698</v>
      </c>
      <c r="N143" s="2">
        <v>3</v>
      </c>
      <c r="O143" s="2">
        <v>3</v>
      </c>
      <c r="P143" s="2">
        <v>6</v>
      </c>
      <c r="Q143" s="2" t="s">
        <v>35</v>
      </c>
      <c r="R143" s="2" t="s">
        <v>696</v>
      </c>
      <c r="S143" s="2" t="s">
        <v>47</v>
      </c>
      <c r="U143" s="2">
        <f>P143-N143</f>
        <v>3</v>
      </c>
      <c r="W143" s="30" t="s">
        <v>694</v>
      </c>
      <c r="X143" s="2" t="s">
        <v>82</v>
      </c>
      <c r="Y143" s="6" t="s">
        <v>694</v>
      </c>
      <c r="Z143" s="2" t="s">
        <v>73</v>
      </c>
      <c r="AA143" s="2" t="s">
        <v>695</v>
      </c>
      <c r="AB143" s="2" t="str">
        <f>LEFT(A143,3)</f>
        <v>GAU</v>
      </c>
    </row>
    <row r="144" spans="1:28">
      <c r="A144" s="6" t="s">
        <v>697</v>
      </c>
      <c r="B144" s="6" t="s">
        <v>142</v>
      </c>
      <c r="C144" s="6" t="s">
        <v>43</v>
      </c>
      <c r="D144" s="6" t="s">
        <v>698</v>
      </c>
      <c r="E144" s="6" t="s">
        <v>698</v>
      </c>
      <c r="F144" s="6" t="s">
        <v>698</v>
      </c>
      <c r="G144" s="2" t="s">
        <v>699</v>
      </c>
      <c r="H144" s="2" t="s">
        <v>698</v>
      </c>
      <c r="I144" s="2" t="s">
        <v>34</v>
      </c>
      <c r="J144" s="7">
        <v>496774.45392</v>
      </c>
      <c r="K144" s="7">
        <v>224660.32305000001</v>
      </c>
      <c r="L144" s="8">
        <v>166.93838169819401</v>
      </c>
      <c r="M144" s="8">
        <v>-22.177837796616501</v>
      </c>
      <c r="N144" s="2">
        <v>2</v>
      </c>
      <c r="O144" s="2">
        <v>2</v>
      </c>
      <c r="P144" s="2">
        <v>2</v>
      </c>
      <c r="Q144" s="2" t="s">
        <v>35</v>
      </c>
      <c r="R144" s="2" t="s">
        <v>700</v>
      </c>
      <c r="S144" s="2" t="s">
        <v>47</v>
      </c>
      <c r="U144" s="2">
        <f>P144-N144</f>
        <v>0</v>
      </c>
      <c r="W144" s="30" t="s">
        <v>698</v>
      </c>
      <c r="X144" s="2" t="s">
        <v>39</v>
      </c>
      <c r="Y144" s="6" t="s">
        <v>698</v>
      </c>
      <c r="Z144" s="2" t="s">
        <v>40</v>
      </c>
      <c r="AA144" s="2" t="s">
        <v>699</v>
      </c>
      <c r="AB144" s="2" t="str">
        <f>LEFT(A144,3)</f>
        <v>GBA</v>
      </c>
    </row>
    <row r="145" spans="1:28">
      <c r="A145" s="6" t="s">
        <v>701</v>
      </c>
      <c r="B145" s="6" t="s">
        <v>128</v>
      </c>
      <c r="C145" s="6" t="s">
        <v>129</v>
      </c>
      <c r="D145" s="6" t="s">
        <v>702</v>
      </c>
      <c r="E145" s="6" t="s">
        <v>52</v>
      </c>
      <c r="F145" s="6" t="s">
        <v>703</v>
      </c>
      <c r="G145" s="6" t="s">
        <v>703</v>
      </c>
      <c r="H145" s="6" t="s">
        <v>703</v>
      </c>
      <c r="I145" s="2" t="s">
        <v>53</v>
      </c>
      <c r="J145" s="7">
        <v>457512</v>
      </c>
      <c r="K145" s="7">
        <v>396773</v>
      </c>
      <c r="L145" s="8">
        <v>166.55178599999999</v>
      </c>
      <c r="M145" s="8">
        <v>-20.624974999999999</v>
      </c>
      <c r="N145" s="2">
        <v>3</v>
      </c>
      <c r="O145" s="2">
        <v>3</v>
      </c>
      <c r="P145" s="2">
        <v>3</v>
      </c>
      <c r="Q145" s="2" t="s">
        <v>35</v>
      </c>
      <c r="R145" s="2" t="s">
        <v>704</v>
      </c>
      <c r="S145" s="2" t="s">
        <v>47</v>
      </c>
      <c r="U145" s="2">
        <f>P145-N145</f>
        <v>0</v>
      </c>
      <c r="W145" s="30" t="s">
        <v>52</v>
      </c>
      <c r="X145" s="2" t="s">
        <v>52</v>
      </c>
      <c r="Y145" s="6" t="s">
        <v>705</v>
      </c>
      <c r="Z145" s="2" t="s">
        <v>73</v>
      </c>
      <c r="AA145" s="6" t="s">
        <v>705</v>
      </c>
      <c r="AB145" s="2" t="str">
        <f>LEFT(A145,3)</f>
        <v>GBP</v>
      </c>
    </row>
    <row r="146" spans="1:28">
      <c r="A146" s="6" t="s">
        <v>706</v>
      </c>
      <c r="B146" s="6" t="s">
        <v>142</v>
      </c>
      <c r="C146" s="6" t="s">
        <v>43</v>
      </c>
      <c r="D146" s="6" t="s">
        <v>707</v>
      </c>
      <c r="E146" s="6" t="s">
        <v>707</v>
      </c>
      <c r="F146" s="6" t="s">
        <v>708</v>
      </c>
      <c r="G146" s="6" t="s">
        <v>708</v>
      </c>
      <c r="H146" s="6" t="s">
        <v>708</v>
      </c>
      <c r="I146" s="2" t="s">
        <v>53</v>
      </c>
      <c r="J146" s="7">
        <v>494137.12514999998</v>
      </c>
      <c r="K146" s="7">
        <v>214158.33621000001</v>
      </c>
      <c r="L146" s="8">
        <v>166.91340727921801</v>
      </c>
      <c r="M146" s="8">
        <v>-22.2728200572747</v>
      </c>
      <c r="N146" s="2">
        <v>2</v>
      </c>
      <c r="O146" s="2">
        <v>2</v>
      </c>
      <c r="P146" s="2">
        <v>2</v>
      </c>
      <c r="Q146" s="2" t="s">
        <v>587</v>
      </c>
      <c r="R146" s="2" t="s">
        <v>709</v>
      </c>
      <c r="S146" s="2" t="s">
        <v>47</v>
      </c>
      <c r="U146" s="2">
        <f>P146-N146</f>
        <v>0</v>
      </c>
      <c r="W146" s="30" t="s">
        <v>52</v>
      </c>
      <c r="X146" s="2" t="s">
        <v>39</v>
      </c>
      <c r="Y146" s="6" t="s">
        <v>708</v>
      </c>
      <c r="Z146" s="2" t="s">
        <v>40</v>
      </c>
      <c r="AA146" s="2" t="s">
        <v>708</v>
      </c>
      <c r="AB146" s="2" t="str">
        <f>LEFT(A146,3)</f>
        <v>GLC</v>
      </c>
    </row>
    <row r="147" spans="1:28">
      <c r="A147" s="6" t="s">
        <v>710</v>
      </c>
      <c r="B147" s="6" t="s">
        <v>609</v>
      </c>
      <c r="C147" s="6" t="s">
        <v>68</v>
      </c>
      <c r="D147" s="6" t="s">
        <v>711</v>
      </c>
      <c r="E147" s="6" t="s">
        <v>712</v>
      </c>
      <c r="F147" s="6" t="s">
        <v>711</v>
      </c>
      <c r="G147" s="2" t="s">
        <v>711</v>
      </c>
      <c r="H147" s="2" t="s">
        <v>712</v>
      </c>
      <c r="I147" s="2" t="s">
        <v>53</v>
      </c>
      <c r="J147" s="7">
        <v>380747.96607000002</v>
      </c>
      <c r="K147" s="7">
        <v>314055.52964999998</v>
      </c>
      <c r="L147" s="8">
        <v>165.81434778723099</v>
      </c>
      <c r="M147" s="8">
        <v>-21.372935780377698</v>
      </c>
      <c r="N147" s="2">
        <v>2</v>
      </c>
      <c r="O147" s="2">
        <v>3</v>
      </c>
      <c r="P147" s="2">
        <v>2</v>
      </c>
      <c r="Q147" s="2" t="s">
        <v>195</v>
      </c>
      <c r="R147" s="2" t="s">
        <v>713</v>
      </c>
      <c r="S147" s="2" t="s">
        <v>47</v>
      </c>
      <c r="U147" s="2">
        <f>P147-N147</f>
        <v>0</v>
      </c>
      <c r="W147" s="30" t="s">
        <v>714</v>
      </c>
      <c r="X147" s="2" t="s">
        <v>82</v>
      </c>
      <c r="Y147" s="6" t="s">
        <v>711</v>
      </c>
      <c r="Z147" s="2" t="s">
        <v>73</v>
      </c>
      <c r="AA147" s="6" t="s">
        <v>711</v>
      </c>
      <c r="AB147" s="2" t="str">
        <f>LEFT(A147,3)</f>
        <v>GND</v>
      </c>
    </row>
    <row r="148" spans="1:28">
      <c r="A148" s="6" t="s">
        <v>715</v>
      </c>
      <c r="B148" s="6" t="s">
        <v>297</v>
      </c>
      <c r="C148" s="6" t="s">
        <v>68</v>
      </c>
      <c r="D148" s="6" t="s">
        <v>716</v>
      </c>
      <c r="E148" s="6" t="s">
        <v>52</v>
      </c>
      <c r="F148" s="6" t="s">
        <v>716</v>
      </c>
      <c r="G148" s="2" t="s">
        <v>716</v>
      </c>
      <c r="H148" s="2" t="s">
        <v>413</v>
      </c>
      <c r="I148" s="2" t="s">
        <v>34</v>
      </c>
      <c r="J148" s="7">
        <v>271221</v>
      </c>
      <c r="K148" s="7">
        <v>408788</v>
      </c>
      <c r="L148" s="8">
        <v>164.765331</v>
      </c>
      <c r="M148" s="8">
        <v>-20.512892999999998</v>
      </c>
      <c r="N148" s="2">
        <v>1</v>
      </c>
      <c r="O148" s="2">
        <v>1</v>
      </c>
      <c r="P148" s="2">
        <v>1</v>
      </c>
      <c r="Q148" s="2" t="s">
        <v>35</v>
      </c>
      <c r="R148" s="2" t="s">
        <v>717</v>
      </c>
      <c r="S148" s="2" t="s">
        <v>47</v>
      </c>
      <c r="U148" s="2">
        <f>P148-N148</f>
        <v>0</v>
      </c>
      <c r="W148" s="30" t="s">
        <v>52</v>
      </c>
      <c r="X148" s="2" t="s">
        <v>52</v>
      </c>
      <c r="Y148" s="6" t="s">
        <v>718</v>
      </c>
      <c r="Z148" s="2" t="s">
        <v>73</v>
      </c>
      <c r="AA148" s="6" t="s">
        <v>719</v>
      </c>
      <c r="AB148" s="2" t="str">
        <f>LEFT(A148,3)</f>
        <v>GNO</v>
      </c>
    </row>
    <row r="149" spans="1:28">
      <c r="A149" s="6" t="s">
        <v>720</v>
      </c>
      <c r="B149" s="6" t="s">
        <v>148</v>
      </c>
      <c r="C149" s="6" t="s">
        <v>68</v>
      </c>
      <c r="D149" s="6" t="s">
        <v>721</v>
      </c>
      <c r="E149" s="6" t="s">
        <v>721</v>
      </c>
      <c r="F149" s="6" t="s">
        <v>721</v>
      </c>
      <c r="G149" s="2" t="s">
        <v>722</v>
      </c>
      <c r="H149" s="2" t="s">
        <v>723</v>
      </c>
      <c r="I149" s="2" t="s">
        <v>34</v>
      </c>
      <c r="J149" s="7">
        <v>324327.63990000001</v>
      </c>
      <c r="K149" s="7">
        <v>330158.33977000002</v>
      </c>
      <c r="L149" s="8">
        <v>165.27100360209499</v>
      </c>
      <c r="M149" s="8">
        <v>-21.226002277820299</v>
      </c>
      <c r="N149" s="2">
        <v>2</v>
      </c>
      <c r="O149" s="2">
        <v>2</v>
      </c>
      <c r="P149" s="2">
        <v>2</v>
      </c>
      <c r="Q149" s="2" t="s">
        <v>35</v>
      </c>
      <c r="R149" s="2" t="s">
        <v>724</v>
      </c>
      <c r="S149" s="2" t="s">
        <v>47</v>
      </c>
      <c r="U149" s="2">
        <f>P149-N149</f>
        <v>0</v>
      </c>
      <c r="W149" s="30" t="s">
        <v>721</v>
      </c>
      <c r="X149" s="2" t="s">
        <v>82</v>
      </c>
      <c r="Y149" s="6" t="s">
        <v>721</v>
      </c>
      <c r="Z149" s="2" t="s">
        <v>73</v>
      </c>
      <c r="AA149" s="2" t="s">
        <v>722</v>
      </c>
      <c r="AB149" s="2" t="str">
        <f>LEFT(A149,3)</f>
        <v>GOA</v>
      </c>
    </row>
    <row r="150" spans="1:28">
      <c r="A150" s="6" t="s">
        <v>725</v>
      </c>
      <c r="B150" s="6" t="s">
        <v>207</v>
      </c>
      <c r="C150" s="6" t="s">
        <v>43</v>
      </c>
      <c r="D150" s="6" t="s">
        <v>726</v>
      </c>
      <c r="E150" s="6" t="s">
        <v>726</v>
      </c>
      <c r="F150" s="6" t="s">
        <v>727</v>
      </c>
      <c r="G150" s="2" t="s">
        <v>728</v>
      </c>
      <c r="H150" s="2" t="s">
        <v>729</v>
      </c>
      <c r="I150" s="2" t="s">
        <v>34</v>
      </c>
      <c r="J150" s="7">
        <v>412267.61894000001</v>
      </c>
      <c r="K150" s="7">
        <v>257515.22717999999</v>
      </c>
      <c r="L150" s="8">
        <v>166.118717723993</v>
      </c>
      <c r="M150" s="8">
        <v>-21.883689838450099</v>
      </c>
      <c r="N150" s="2">
        <v>2</v>
      </c>
      <c r="O150" s="2">
        <v>2</v>
      </c>
      <c r="P150" s="2">
        <f>N150</f>
        <v>2</v>
      </c>
      <c r="Q150" s="2" t="s">
        <v>35</v>
      </c>
      <c r="R150" s="2" t="s">
        <v>730</v>
      </c>
      <c r="S150" s="2" t="s">
        <v>47</v>
      </c>
      <c r="U150" s="2">
        <f>P150-N150</f>
        <v>0</v>
      </c>
      <c r="W150" s="30" t="s">
        <v>726</v>
      </c>
      <c r="X150" s="2" t="s">
        <v>39</v>
      </c>
      <c r="Y150" s="6" t="s">
        <v>727</v>
      </c>
      <c r="Z150" s="2" t="s">
        <v>40</v>
      </c>
      <c r="AA150" s="2" t="s">
        <v>728</v>
      </c>
      <c r="AB150" s="2" t="str">
        <f>LEFT(A150,3)</f>
        <v>GOE</v>
      </c>
    </row>
    <row r="151" spans="1:28">
      <c r="A151" s="6" t="s">
        <v>731</v>
      </c>
      <c r="B151" s="6" t="s">
        <v>79</v>
      </c>
      <c r="C151" s="6" t="s">
        <v>68</v>
      </c>
      <c r="D151" s="6" t="s">
        <v>732</v>
      </c>
      <c r="E151" s="6" t="s">
        <v>732</v>
      </c>
      <c r="F151" s="6" t="s">
        <v>732</v>
      </c>
      <c r="G151" s="2" t="s">
        <v>733</v>
      </c>
      <c r="H151" s="2" t="s">
        <v>732</v>
      </c>
      <c r="I151" s="2" t="s">
        <v>34</v>
      </c>
      <c r="J151" s="7">
        <v>338582.97837000003</v>
      </c>
      <c r="K151" s="7">
        <v>344678.13455000002</v>
      </c>
      <c r="L151" s="8">
        <v>165.40885855100399</v>
      </c>
      <c r="M151" s="8">
        <v>-21.095392983087201</v>
      </c>
      <c r="N151" s="2">
        <v>3</v>
      </c>
      <c r="O151" s="2">
        <v>3</v>
      </c>
      <c r="P151" s="2">
        <f>N151</f>
        <v>3</v>
      </c>
      <c r="Q151" s="2" t="s">
        <v>35</v>
      </c>
      <c r="R151" s="2" t="s">
        <v>734</v>
      </c>
      <c r="S151" s="2" t="s">
        <v>47</v>
      </c>
      <c r="U151" s="2">
        <f>P151-N151</f>
        <v>0</v>
      </c>
      <c r="W151" s="30" t="s">
        <v>732</v>
      </c>
      <c r="X151" s="2" t="s">
        <v>82</v>
      </c>
      <c r="Y151" s="6" t="s">
        <v>732</v>
      </c>
      <c r="Z151" s="2" t="s">
        <v>73</v>
      </c>
      <c r="AA151" s="2" t="s">
        <v>733</v>
      </c>
      <c r="AB151" s="2" t="str">
        <f>LEFT(A151,3)</f>
        <v>GOG</v>
      </c>
    </row>
    <row r="152" spans="1:28">
      <c r="A152" s="2" t="s">
        <v>735</v>
      </c>
      <c r="B152" s="2" t="s">
        <v>437</v>
      </c>
      <c r="C152" s="2" t="s">
        <v>68</v>
      </c>
      <c r="D152" s="2" t="s">
        <v>736</v>
      </c>
      <c r="E152" s="2" t="s">
        <v>52</v>
      </c>
      <c r="F152" s="2" t="s">
        <v>737</v>
      </c>
      <c r="G152" s="2" t="s">
        <v>737</v>
      </c>
      <c r="H152" s="2" t="s">
        <v>737</v>
      </c>
      <c r="I152" s="2" t="s">
        <v>53</v>
      </c>
      <c r="J152" s="2">
        <v>232976</v>
      </c>
      <c r="K152" s="2">
        <v>391292</v>
      </c>
      <c r="L152" s="2">
        <v>164.39704</v>
      </c>
      <c r="M152" s="2">
        <v>-20.667660000000001</v>
      </c>
      <c r="N152" s="17">
        <v>3</v>
      </c>
      <c r="O152" s="2">
        <v>3</v>
      </c>
      <c r="P152" s="2">
        <v>3</v>
      </c>
      <c r="Q152" s="2" t="s">
        <v>35</v>
      </c>
      <c r="R152" s="2" t="s">
        <v>738</v>
      </c>
      <c r="S152" s="17" t="s">
        <v>47</v>
      </c>
      <c r="T152"/>
      <c r="U152" s="2">
        <f>P152-N152</f>
        <v>0</v>
      </c>
      <c r="V152"/>
      <c r="W152" s="30" t="s">
        <v>52</v>
      </c>
      <c r="X152" s="6" t="s">
        <v>52</v>
      </c>
      <c r="Y152" s="2" t="s">
        <v>737</v>
      </c>
      <c r="Z152" s="2" t="s">
        <v>73</v>
      </c>
      <c r="AA152" s="2" t="s">
        <v>737</v>
      </c>
      <c r="AB152" s="2" t="str">
        <f>LEFT(A152,3)</f>
        <v>GOM</v>
      </c>
    </row>
    <row r="153" spans="1:28">
      <c r="A153" s="6" t="s">
        <v>739</v>
      </c>
      <c r="B153" s="6" t="s">
        <v>142</v>
      </c>
      <c r="C153" s="6" t="s">
        <v>43</v>
      </c>
      <c r="D153" s="6" t="s">
        <v>740</v>
      </c>
      <c r="E153" s="6" t="s">
        <v>740</v>
      </c>
      <c r="F153" s="6" t="s">
        <v>740</v>
      </c>
      <c r="G153" s="2" t="s">
        <v>741</v>
      </c>
      <c r="H153" s="2" t="s">
        <v>434</v>
      </c>
      <c r="I153" s="2" t="s">
        <v>34</v>
      </c>
      <c r="J153" s="7">
        <v>504085.03035999998</v>
      </c>
      <c r="K153" s="7">
        <v>209053.37104999999</v>
      </c>
      <c r="L153" s="8">
        <v>167.01024984292701</v>
      </c>
      <c r="M153" s="8">
        <v>-22.318368225896599</v>
      </c>
      <c r="N153" s="2">
        <v>2</v>
      </c>
      <c r="O153" s="2">
        <v>2</v>
      </c>
      <c r="P153" s="2">
        <f>N153</f>
        <v>2</v>
      </c>
      <c r="Q153" s="2" t="s">
        <v>35</v>
      </c>
      <c r="R153" s="2" t="s">
        <v>742</v>
      </c>
      <c r="S153" s="2" t="s">
        <v>47</v>
      </c>
      <c r="U153" s="2">
        <f>P153-N153</f>
        <v>0</v>
      </c>
      <c r="W153" s="30" t="s">
        <v>740</v>
      </c>
      <c r="X153" s="2" t="s">
        <v>39</v>
      </c>
      <c r="Y153" s="6" t="s">
        <v>740</v>
      </c>
      <c r="Z153" s="2" t="s">
        <v>40</v>
      </c>
      <c r="AA153" s="2" t="s">
        <v>741</v>
      </c>
      <c r="AB153" s="2" t="str">
        <f>LEFT(A153,3)</f>
        <v>GOR</v>
      </c>
    </row>
    <row r="154" spans="1:28">
      <c r="A154" s="6" t="s">
        <v>743</v>
      </c>
      <c r="B154" s="6" t="s">
        <v>128</v>
      </c>
      <c r="C154" s="6" t="s">
        <v>129</v>
      </c>
      <c r="D154" s="6" t="s">
        <v>744</v>
      </c>
      <c r="E154" s="6" t="s">
        <v>744</v>
      </c>
      <c r="F154" s="6" t="s">
        <v>744</v>
      </c>
      <c r="G154" s="2" t="s">
        <v>745</v>
      </c>
      <c r="H154" s="2" t="s">
        <v>744</v>
      </c>
      <c r="I154" s="2" t="s">
        <v>34</v>
      </c>
      <c r="J154" s="7">
        <v>464733.83013000002</v>
      </c>
      <c r="K154" s="7">
        <v>415480.58575999999</v>
      </c>
      <c r="L154" s="8">
        <v>166.620363025708</v>
      </c>
      <c r="M154" s="8">
        <v>-20.455756716792301</v>
      </c>
      <c r="N154" s="2">
        <v>2</v>
      </c>
      <c r="O154" s="2">
        <v>2</v>
      </c>
      <c r="P154" s="2">
        <f>N154</f>
        <v>2</v>
      </c>
      <c r="Q154" s="2" t="s">
        <v>35</v>
      </c>
      <c r="R154" s="2" t="s">
        <v>746</v>
      </c>
      <c r="S154" s="2" t="s">
        <v>47</v>
      </c>
      <c r="U154" s="2">
        <f>P154-N154</f>
        <v>0</v>
      </c>
      <c r="W154" s="30" t="s">
        <v>744</v>
      </c>
      <c r="X154" s="2" t="s">
        <v>82</v>
      </c>
      <c r="Y154" s="6" t="s">
        <v>744</v>
      </c>
      <c r="Z154" s="2" t="s">
        <v>73</v>
      </c>
      <c r="AA154" s="2" t="s">
        <v>745</v>
      </c>
      <c r="AB154" s="2" t="str">
        <f>LEFT(A154,3)</f>
        <v>GOS</v>
      </c>
    </row>
    <row r="155" spans="1:28">
      <c r="A155" s="6" t="s">
        <v>747</v>
      </c>
      <c r="B155" s="6" t="s">
        <v>79</v>
      </c>
      <c r="C155" s="6" t="s">
        <v>68</v>
      </c>
      <c r="D155" s="6" t="s">
        <v>748</v>
      </c>
      <c r="E155" s="6" t="s">
        <v>52</v>
      </c>
      <c r="F155" s="6" t="s">
        <v>748</v>
      </c>
      <c r="G155" s="6" t="s">
        <v>748</v>
      </c>
      <c r="H155" s="6" t="s">
        <v>749</v>
      </c>
      <c r="I155" s="2" t="s">
        <v>53</v>
      </c>
      <c r="J155" s="7">
        <v>338897</v>
      </c>
      <c r="K155" s="7">
        <v>345188</v>
      </c>
      <c r="L155" s="8">
        <v>165.41189900000001</v>
      </c>
      <c r="M155" s="8">
        <v>-21.090796999999998</v>
      </c>
      <c r="N155" s="2">
        <v>3</v>
      </c>
      <c r="O155" s="2">
        <v>3</v>
      </c>
      <c r="P155" s="2">
        <f>N155</f>
        <v>3</v>
      </c>
      <c r="Q155" s="2" t="s">
        <v>35</v>
      </c>
      <c r="R155" s="2" t="s">
        <v>750</v>
      </c>
      <c r="S155" s="2" t="s">
        <v>47</v>
      </c>
      <c r="U155" s="2">
        <f>P155-N155</f>
        <v>0</v>
      </c>
      <c r="W155" s="30" t="s">
        <v>52</v>
      </c>
      <c r="X155" s="2" t="s">
        <v>52</v>
      </c>
      <c r="Y155" s="6" t="s">
        <v>748</v>
      </c>
      <c r="Z155" s="2" t="s">
        <v>73</v>
      </c>
      <c r="AA155" s="6" t="s">
        <v>748</v>
      </c>
      <c r="AB155" s="2" t="str">
        <f>LEFT(A155,3)</f>
        <v>GOT</v>
      </c>
    </row>
    <row r="156" spans="1:28">
      <c r="A156" s="6" t="s">
        <v>751</v>
      </c>
      <c r="B156" s="6" t="s">
        <v>191</v>
      </c>
      <c r="C156" s="6" t="s">
        <v>43</v>
      </c>
      <c r="D156" s="6" t="s">
        <v>595</v>
      </c>
      <c r="E156" s="6" t="s">
        <v>595</v>
      </c>
      <c r="F156" s="6" t="s">
        <v>595</v>
      </c>
      <c r="G156" s="6" t="s">
        <v>752</v>
      </c>
      <c r="H156" s="2" t="s">
        <v>595</v>
      </c>
      <c r="I156" s="2" t="s">
        <v>34</v>
      </c>
      <c r="J156" s="7">
        <v>339906.23191999999</v>
      </c>
      <c r="K156" s="7">
        <v>289696.11891000002</v>
      </c>
      <c r="L156" s="8">
        <v>165.41962766766699</v>
      </c>
      <c r="M156" s="8">
        <v>-21.592062222646799</v>
      </c>
      <c r="N156" s="2">
        <v>3</v>
      </c>
      <c r="O156" s="2">
        <v>3</v>
      </c>
      <c r="P156" s="2">
        <v>3</v>
      </c>
      <c r="Q156" s="2" t="s">
        <v>35</v>
      </c>
      <c r="R156" s="2" t="s">
        <v>753</v>
      </c>
      <c r="S156" s="2" t="s">
        <v>47</v>
      </c>
      <c r="U156" s="2">
        <f>P156-N156</f>
        <v>0</v>
      </c>
      <c r="W156" s="30" t="s">
        <v>595</v>
      </c>
      <c r="X156" s="2" t="s">
        <v>82</v>
      </c>
      <c r="Y156" s="6" t="s">
        <v>595</v>
      </c>
      <c r="Z156" s="2" t="s">
        <v>73</v>
      </c>
      <c r="AA156" s="6" t="s">
        <v>752</v>
      </c>
      <c r="AB156" s="2" t="str">
        <f>LEFT(A156,3)</f>
        <v>GOU</v>
      </c>
    </row>
    <row r="157" spans="1:28">
      <c r="A157" s="17" t="s">
        <v>754</v>
      </c>
      <c r="B157" s="6" t="s">
        <v>79</v>
      </c>
      <c r="C157" s="6" t="s">
        <v>68</v>
      </c>
      <c r="D157" s="6" t="s">
        <v>755</v>
      </c>
      <c r="E157" s="6" t="s">
        <v>52</v>
      </c>
      <c r="F157" s="6" t="s">
        <v>756</v>
      </c>
      <c r="G157" s="6" t="s">
        <v>756</v>
      </c>
      <c r="H157" s="6" t="s">
        <v>756</v>
      </c>
      <c r="I157" s="2" t="s">
        <v>53</v>
      </c>
      <c r="J157" s="7">
        <v>333274</v>
      </c>
      <c r="K157" s="7">
        <v>344390</v>
      </c>
      <c r="L157" s="8">
        <v>165.35774799999999</v>
      </c>
      <c r="M157" s="8">
        <v>-21.097805000000001</v>
      </c>
      <c r="N157" s="2">
        <v>1</v>
      </c>
      <c r="O157" s="2">
        <v>1</v>
      </c>
      <c r="P157" s="2">
        <v>1</v>
      </c>
      <c r="Q157" s="2" t="s">
        <v>35</v>
      </c>
      <c r="R157" s="2" t="s">
        <v>757</v>
      </c>
      <c r="S157" s="2" t="s">
        <v>47</v>
      </c>
      <c r="U157" s="2">
        <f>P157-N157</f>
        <v>0</v>
      </c>
      <c r="W157" s="30" t="s">
        <v>52</v>
      </c>
      <c r="X157" s="2" t="s">
        <v>52</v>
      </c>
      <c r="Y157" s="6" t="s">
        <v>758</v>
      </c>
      <c r="Z157" s="2" t="s">
        <v>73</v>
      </c>
      <c r="AA157" s="6" t="s">
        <v>758</v>
      </c>
      <c r="AB157" s="2" t="str">
        <f>LEFT(A157,3)</f>
        <v>GOY</v>
      </c>
    </row>
    <row r="158" spans="1:28">
      <c r="A158" s="6" t="s">
        <v>759</v>
      </c>
      <c r="B158" s="6" t="s">
        <v>142</v>
      </c>
      <c r="C158" s="6" t="s">
        <v>43</v>
      </c>
      <c r="D158" s="6" t="s">
        <v>760</v>
      </c>
      <c r="E158" s="6" t="s">
        <v>761</v>
      </c>
      <c r="F158" s="6" t="s">
        <v>760</v>
      </c>
      <c r="G158" s="6" t="s">
        <v>760</v>
      </c>
      <c r="H158" s="2" t="s">
        <v>762</v>
      </c>
      <c r="I158" s="2" t="s">
        <v>34</v>
      </c>
      <c r="J158" s="7">
        <v>504803.11007</v>
      </c>
      <c r="K158" s="7">
        <v>212975.83945999999</v>
      </c>
      <c r="L158" s="8">
        <v>167.01697085851501</v>
      </c>
      <c r="M158" s="8">
        <v>-22.282899514580901</v>
      </c>
      <c r="N158" s="2">
        <v>2</v>
      </c>
      <c r="O158" s="2">
        <v>2</v>
      </c>
      <c r="P158" s="2">
        <v>2</v>
      </c>
      <c r="Q158" s="2" t="s">
        <v>35</v>
      </c>
      <c r="R158" s="2" t="s">
        <v>763</v>
      </c>
      <c r="S158" s="2" t="s">
        <v>47</v>
      </c>
      <c r="U158" s="2">
        <f>P158-N158</f>
        <v>0</v>
      </c>
      <c r="W158" s="30" t="s">
        <v>761</v>
      </c>
      <c r="X158" s="2" t="s">
        <v>39</v>
      </c>
      <c r="Y158" s="6" t="s">
        <v>760</v>
      </c>
      <c r="Z158" s="2" t="s">
        <v>40</v>
      </c>
      <c r="AA158" s="6" t="s">
        <v>760</v>
      </c>
      <c r="AB158" s="2" t="str">
        <f>LEFT(A158,3)</f>
        <v>GRT</v>
      </c>
    </row>
    <row r="159" spans="1:28">
      <c r="A159" s="2" t="s">
        <v>764</v>
      </c>
      <c r="B159" s="2" t="s">
        <v>29</v>
      </c>
      <c r="C159" s="2" t="s">
        <v>30</v>
      </c>
      <c r="D159" s="2" t="s">
        <v>765</v>
      </c>
      <c r="E159" s="2" t="s">
        <v>52</v>
      </c>
      <c r="F159" s="2" t="s">
        <v>766</v>
      </c>
      <c r="G159" s="2" t="s">
        <v>766</v>
      </c>
      <c r="H159" s="2" t="s">
        <v>766</v>
      </c>
      <c r="I159" s="2" t="s">
        <v>53</v>
      </c>
      <c r="J159" s="2">
        <v>447299</v>
      </c>
      <c r="K159" s="2">
        <v>214082</v>
      </c>
      <c r="L159" s="2">
        <v>166.45894999999999</v>
      </c>
      <c r="M159" s="2">
        <v>-22.275359999999999</v>
      </c>
      <c r="N159" s="2">
        <v>2</v>
      </c>
      <c r="O159" s="2">
        <v>2</v>
      </c>
      <c r="P159" s="2">
        <v>2</v>
      </c>
      <c r="Q159" s="2" t="s">
        <v>35</v>
      </c>
      <c r="R159" s="2" t="s">
        <v>767</v>
      </c>
      <c r="S159" s="2" t="s">
        <v>37</v>
      </c>
      <c r="U159" s="2">
        <f>P159-N159</f>
        <v>0</v>
      </c>
      <c r="W159" s="30" t="s">
        <v>52</v>
      </c>
      <c r="X159" s="6" t="s">
        <v>52</v>
      </c>
      <c r="Y159" s="2" t="s">
        <v>766</v>
      </c>
      <c r="Z159" s="2" t="s">
        <v>40</v>
      </c>
      <c r="AA159" s="2" t="s">
        <v>766</v>
      </c>
      <c r="AB159" s="2" t="str">
        <f>LEFT(A159,3)</f>
        <v>GSM</v>
      </c>
    </row>
    <row r="160" spans="1:28">
      <c r="A160" s="6" t="s">
        <v>768</v>
      </c>
      <c r="B160" s="6" t="s">
        <v>29</v>
      </c>
      <c r="C160" s="6" t="s">
        <v>30</v>
      </c>
      <c r="D160" s="6" t="s">
        <v>769</v>
      </c>
      <c r="E160" s="6" t="s">
        <v>769</v>
      </c>
      <c r="F160" s="6" t="s">
        <v>769</v>
      </c>
      <c r="G160" s="2" t="s">
        <v>770</v>
      </c>
      <c r="H160" s="2" t="s">
        <v>769</v>
      </c>
      <c r="I160" s="2" t="s">
        <v>34</v>
      </c>
      <c r="J160" s="7">
        <v>450035</v>
      </c>
      <c r="K160" s="7">
        <v>216752</v>
      </c>
      <c r="L160" s="8">
        <v>166.48541327123201</v>
      </c>
      <c r="M160" s="8">
        <v>-22.251176228817101</v>
      </c>
      <c r="N160" s="2">
        <v>3</v>
      </c>
      <c r="O160" s="2">
        <v>9</v>
      </c>
      <c r="P160" s="2">
        <v>6</v>
      </c>
      <c r="Q160" s="2" t="s">
        <v>35</v>
      </c>
      <c r="R160" s="2" t="s">
        <v>771</v>
      </c>
      <c r="S160" s="2" t="s">
        <v>37</v>
      </c>
      <c r="U160" s="2">
        <f>P160-N160</f>
        <v>3</v>
      </c>
      <c r="V160" s="2" t="s">
        <v>38</v>
      </c>
      <c r="W160" s="30" t="s">
        <v>769</v>
      </c>
      <c r="X160" s="2" t="s">
        <v>39</v>
      </c>
      <c r="Y160" s="6" t="s">
        <v>769</v>
      </c>
      <c r="Z160" s="2" t="s">
        <v>40</v>
      </c>
      <c r="AA160" s="2" t="s">
        <v>770</v>
      </c>
      <c r="AB160" s="2" t="str">
        <f>LEFT(A160,3)</f>
        <v>GTI</v>
      </c>
    </row>
    <row r="161" spans="1:28">
      <c r="A161" s="6" t="s">
        <v>772</v>
      </c>
      <c r="B161" s="6" t="s">
        <v>29</v>
      </c>
      <c r="C161" s="6" t="s">
        <v>30</v>
      </c>
      <c r="D161" s="6" t="s">
        <v>773</v>
      </c>
      <c r="E161" s="6" t="s">
        <v>773</v>
      </c>
      <c r="F161" s="6" t="s">
        <v>773</v>
      </c>
      <c r="G161" s="2" t="s">
        <v>774</v>
      </c>
      <c r="H161" s="2" t="s">
        <v>775</v>
      </c>
      <c r="I161" s="2" t="s">
        <v>34</v>
      </c>
      <c r="J161" s="7">
        <v>448516.38546000002</v>
      </c>
      <c r="K161" s="7">
        <v>216470.29506999999</v>
      </c>
      <c r="L161" s="8">
        <v>166.47068505937699</v>
      </c>
      <c r="M161" s="8">
        <v>-22.253764866267399</v>
      </c>
      <c r="N161" s="2">
        <v>1</v>
      </c>
      <c r="O161" s="2">
        <v>1</v>
      </c>
      <c r="P161" s="2">
        <f>N161</f>
        <v>1</v>
      </c>
      <c r="Q161" s="2" t="s">
        <v>35</v>
      </c>
      <c r="R161" s="2" t="s">
        <v>776</v>
      </c>
      <c r="S161" s="2" t="s">
        <v>37</v>
      </c>
      <c r="U161" s="2">
        <f>P161-N161</f>
        <v>0</v>
      </c>
      <c r="W161" s="30" t="s">
        <v>52</v>
      </c>
      <c r="X161" s="2" t="s">
        <v>39</v>
      </c>
      <c r="Y161" s="6" t="s">
        <v>773</v>
      </c>
      <c r="Z161" s="2" t="s">
        <v>40</v>
      </c>
      <c r="AA161" s="2" t="s">
        <v>777</v>
      </c>
      <c r="AB161" s="2" t="str">
        <f>LEFT(A161,3)</f>
        <v>GVA</v>
      </c>
    </row>
    <row r="162" spans="1:28">
      <c r="A162" s="6" t="s">
        <v>778</v>
      </c>
      <c r="B162" s="6" t="s">
        <v>373</v>
      </c>
      <c r="C162" s="6" t="s">
        <v>129</v>
      </c>
      <c r="D162" s="6" t="s">
        <v>779</v>
      </c>
      <c r="E162" s="6" t="s">
        <v>779</v>
      </c>
      <c r="F162" s="6" t="s">
        <v>779</v>
      </c>
      <c r="G162" s="2" t="s">
        <v>780</v>
      </c>
      <c r="H162" s="2" t="s">
        <v>779</v>
      </c>
      <c r="I162" s="2" t="s">
        <v>34</v>
      </c>
      <c r="J162" s="7">
        <v>527066.95438999997</v>
      </c>
      <c r="K162" s="7">
        <v>362525.03587999998</v>
      </c>
      <c r="L162" s="8">
        <v>167.22166422328701</v>
      </c>
      <c r="M162" s="8">
        <v>-20.930751546683201</v>
      </c>
      <c r="N162" s="2">
        <v>2</v>
      </c>
      <c r="O162" s="2">
        <v>2</v>
      </c>
      <c r="P162" s="2">
        <f>N162</f>
        <v>2</v>
      </c>
      <c r="Q162" s="2" t="s">
        <v>35</v>
      </c>
      <c r="R162" s="2" t="s">
        <v>781</v>
      </c>
      <c r="S162" s="2" t="s">
        <v>47</v>
      </c>
      <c r="U162" s="2">
        <f>P162-N162</f>
        <v>0</v>
      </c>
      <c r="W162" s="30" t="s">
        <v>779</v>
      </c>
      <c r="X162" s="2" t="s">
        <v>82</v>
      </c>
      <c r="Y162" s="6" t="s">
        <v>779</v>
      </c>
      <c r="Z162" s="2" t="s">
        <v>73</v>
      </c>
      <c r="AA162" s="2" t="s">
        <v>780</v>
      </c>
      <c r="AB162" s="2" t="str">
        <f>LEFT(A162,3)</f>
        <v>HAN</v>
      </c>
    </row>
    <row r="163" spans="1:28">
      <c r="A163" s="6" t="s">
        <v>782</v>
      </c>
      <c r="B163" s="6" t="s">
        <v>373</v>
      </c>
      <c r="C163" s="6" t="s">
        <v>129</v>
      </c>
      <c r="D163" s="6" t="s">
        <v>783</v>
      </c>
      <c r="E163" s="6" t="s">
        <v>783</v>
      </c>
      <c r="F163" s="6" t="s">
        <v>783</v>
      </c>
      <c r="G163" s="2" t="s">
        <v>784</v>
      </c>
      <c r="H163" s="2" t="s">
        <v>783</v>
      </c>
      <c r="I163" s="2" t="s">
        <v>34</v>
      </c>
      <c r="J163" s="7">
        <v>519904.95298</v>
      </c>
      <c r="K163" s="7">
        <v>362017.33224999998</v>
      </c>
      <c r="L163" s="8">
        <v>167.152844971755</v>
      </c>
      <c r="M163" s="8">
        <v>-20.935831293264702</v>
      </c>
      <c r="N163" s="2">
        <v>2</v>
      </c>
      <c r="O163" s="2">
        <v>2</v>
      </c>
      <c r="P163" s="2">
        <v>2</v>
      </c>
      <c r="Q163" s="2" t="s">
        <v>35</v>
      </c>
      <c r="R163" s="2" t="s">
        <v>785</v>
      </c>
      <c r="S163" s="2" t="s">
        <v>47</v>
      </c>
      <c r="U163" s="2">
        <f>P163-N163</f>
        <v>0</v>
      </c>
      <c r="W163" s="30" t="s">
        <v>783</v>
      </c>
      <c r="X163" s="2" t="s">
        <v>82</v>
      </c>
      <c r="Y163" s="6" t="s">
        <v>783</v>
      </c>
      <c r="Z163" s="2" t="s">
        <v>73</v>
      </c>
      <c r="AA163" s="2" t="s">
        <v>784</v>
      </c>
      <c r="AB163" s="2" t="str">
        <f>LEFT(A163,3)</f>
        <v>HAP</v>
      </c>
    </row>
    <row r="164" spans="1:28">
      <c r="A164" s="6" t="s">
        <v>786</v>
      </c>
      <c r="B164" s="6" t="s">
        <v>373</v>
      </c>
      <c r="C164" s="6" t="s">
        <v>129</v>
      </c>
      <c r="D164" s="6" t="s">
        <v>787</v>
      </c>
      <c r="E164" s="6" t="s">
        <v>787</v>
      </c>
      <c r="F164" s="6" t="s">
        <v>787</v>
      </c>
      <c r="G164" s="2" t="s">
        <v>788</v>
      </c>
      <c r="H164" s="2" t="s">
        <v>787</v>
      </c>
      <c r="I164" s="2" t="s">
        <v>34</v>
      </c>
      <c r="J164" s="7">
        <v>525573.03034000006</v>
      </c>
      <c r="K164" s="7">
        <v>385655.26708999998</v>
      </c>
      <c r="L164" s="8">
        <v>167.20558603104101</v>
      </c>
      <c r="M164" s="8">
        <v>-20.7219399214102</v>
      </c>
      <c r="N164" s="2">
        <v>3</v>
      </c>
      <c r="O164" s="2">
        <v>3</v>
      </c>
      <c r="P164" s="2">
        <f>N164</f>
        <v>3</v>
      </c>
      <c r="Q164" s="2" t="s">
        <v>35</v>
      </c>
      <c r="R164" s="2" t="s">
        <v>789</v>
      </c>
      <c r="S164" s="2" t="s">
        <v>47</v>
      </c>
      <c r="U164" s="2">
        <f>P164-N164</f>
        <v>0</v>
      </c>
      <c r="W164" s="30" t="s">
        <v>787</v>
      </c>
      <c r="X164" s="2" t="s">
        <v>82</v>
      </c>
      <c r="Y164" s="6" t="s">
        <v>787</v>
      </c>
      <c r="Z164" s="2" t="s">
        <v>73</v>
      </c>
      <c r="AA164" s="2" t="s">
        <v>788</v>
      </c>
      <c r="AB164" s="2" t="str">
        <f>LEFT(A164,3)</f>
        <v>HCM</v>
      </c>
    </row>
    <row r="165" spans="1:28">
      <c r="A165" s="6" t="s">
        <v>790</v>
      </c>
      <c r="B165" s="6" t="s">
        <v>684</v>
      </c>
      <c r="C165" s="6" t="s">
        <v>68</v>
      </c>
      <c r="D165" s="6" t="s">
        <v>684</v>
      </c>
      <c r="E165" s="6" t="s">
        <v>684</v>
      </c>
      <c r="F165" s="6" t="s">
        <v>684</v>
      </c>
      <c r="G165" s="2" t="s">
        <v>791</v>
      </c>
      <c r="H165" s="2" t="s">
        <v>684</v>
      </c>
      <c r="I165" s="2" t="s">
        <v>34</v>
      </c>
      <c r="J165" s="7">
        <v>289975.05452000001</v>
      </c>
      <c r="K165" s="7">
        <v>389331.93556999997</v>
      </c>
      <c r="L165" s="8">
        <v>164.94391893983601</v>
      </c>
      <c r="M165" s="8">
        <v>-20.689744416864901</v>
      </c>
      <c r="N165" s="2">
        <v>2</v>
      </c>
      <c r="O165" s="2">
        <v>2</v>
      </c>
      <c r="P165" s="2">
        <f>N165</f>
        <v>2</v>
      </c>
      <c r="Q165" s="2" t="s">
        <v>35</v>
      </c>
      <c r="R165" s="2" t="s">
        <v>792</v>
      </c>
      <c r="S165" s="2" t="s">
        <v>37</v>
      </c>
      <c r="U165" s="2">
        <f>P165-N165</f>
        <v>0</v>
      </c>
      <c r="W165" s="30" t="s">
        <v>52</v>
      </c>
      <c r="X165" s="2" t="s">
        <v>82</v>
      </c>
      <c r="Y165" s="6" t="s">
        <v>684</v>
      </c>
      <c r="Z165" s="2" t="s">
        <v>73</v>
      </c>
      <c r="AA165" s="2" t="s">
        <v>791</v>
      </c>
      <c r="AB165" s="2" t="str">
        <f>LEFT(A165,3)</f>
        <v>HIE</v>
      </c>
    </row>
    <row r="166" spans="1:28">
      <c r="A166" s="6" t="s">
        <v>793</v>
      </c>
      <c r="B166" s="6" t="s">
        <v>373</v>
      </c>
      <c r="C166" s="6" t="s">
        <v>129</v>
      </c>
      <c r="D166" s="6" t="s">
        <v>794</v>
      </c>
      <c r="E166" s="6" t="s">
        <v>795</v>
      </c>
      <c r="F166" s="6" t="s">
        <v>796</v>
      </c>
      <c r="G166" s="2" t="s">
        <v>796</v>
      </c>
      <c r="H166" s="2" t="s">
        <v>794</v>
      </c>
      <c r="I166" s="2" t="s">
        <v>34</v>
      </c>
      <c r="J166" s="7">
        <v>530741.97427999997</v>
      </c>
      <c r="K166" s="7">
        <v>378611.82569000003</v>
      </c>
      <c r="L166" s="8">
        <v>167.255753001736</v>
      </c>
      <c r="M166" s="8">
        <v>-20.785186165066101</v>
      </c>
      <c r="N166" s="2">
        <v>2</v>
      </c>
      <c r="O166" s="2">
        <v>3</v>
      </c>
      <c r="P166" s="2">
        <f>N166</f>
        <v>2</v>
      </c>
      <c r="Q166" s="2" t="s">
        <v>35</v>
      </c>
      <c r="R166" s="2" t="s">
        <v>797</v>
      </c>
      <c r="S166" s="2" t="s">
        <v>47</v>
      </c>
      <c r="U166" s="2">
        <f>P166-N166</f>
        <v>0</v>
      </c>
      <c r="W166" s="30" t="s">
        <v>795</v>
      </c>
      <c r="X166" s="2" t="s">
        <v>82</v>
      </c>
      <c r="Y166" s="6" t="s">
        <v>796</v>
      </c>
      <c r="Z166" s="2" t="s">
        <v>73</v>
      </c>
      <c r="AA166" s="2" t="s">
        <v>796</v>
      </c>
      <c r="AB166" s="2" t="str">
        <f>LEFT(A166,3)</f>
        <v>HLO</v>
      </c>
    </row>
    <row r="167" spans="1:28">
      <c r="A167" s="6" t="s">
        <v>798</v>
      </c>
      <c r="B167" s="6" t="s">
        <v>373</v>
      </c>
      <c r="C167" s="6" t="s">
        <v>129</v>
      </c>
      <c r="D167" s="6" t="s">
        <v>799</v>
      </c>
      <c r="E167" s="6" t="s">
        <v>799</v>
      </c>
      <c r="F167" s="6" t="s">
        <v>800</v>
      </c>
      <c r="G167" s="6" t="s">
        <v>800</v>
      </c>
      <c r="H167" s="6" t="s">
        <v>800</v>
      </c>
      <c r="I167" s="2" t="s">
        <v>53</v>
      </c>
      <c r="J167" s="7">
        <v>532265.96602000005</v>
      </c>
      <c r="K167" s="7">
        <v>350583.95520999999</v>
      </c>
      <c r="L167" s="8">
        <v>167.27258152167599</v>
      </c>
      <c r="M167" s="8">
        <v>-21.038232178157202</v>
      </c>
      <c r="N167" s="2">
        <v>3</v>
      </c>
      <c r="O167" s="2">
        <v>3</v>
      </c>
      <c r="P167" s="2">
        <v>6</v>
      </c>
      <c r="Q167" s="2" t="s">
        <v>35</v>
      </c>
      <c r="R167" s="2" t="s">
        <v>801</v>
      </c>
      <c r="S167" s="2" t="s">
        <v>47</v>
      </c>
      <c r="U167" s="2">
        <f>P167-N167</f>
        <v>3</v>
      </c>
      <c r="W167" s="30" t="s">
        <v>799</v>
      </c>
      <c r="X167" s="2" t="s">
        <v>82</v>
      </c>
      <c r="Y167" s="6" t="s">
        <v>800</v>
      </c>
      <c r="Z167" s="2" t="s">
        <v>73</v>
      </c>
      <c r="AA167" s="2" t="s">
        <v>800</v>
      </c>
      <c r="AB167" s="2" t="str">
        <f>LEFT(A167,3)</f>
        <v>HMK</v>
      </c>
    </row>
    <row r="168" spans="1:28">
      <c r="A168" s="6" t="s">
        <v>802</v>
      </c>
      <c r="B168" s="6" t="s">
        <v>402</v>
      </c>
      <c r="C168" s="6" t="s">
        <v>68</v>
      </c>
      <c r="D168" s="6" t="s">
        <v>402</v>
      </c>
      <c r="E168" s="6" t="s">
        <v>402</v>
      </c>
      <c r="F168" s="6" t="s">
        <v>803</v>
      </c>
      <c r="G168" s="2" t="s">
        <v>803</v>
      </c>
      <c r="H168" s="2" t="s">
        <v>803</v>
      </c>
      <c r="I168" s="2" t="s">
        <v>53</v>
      </c>
      <c r="J168" s="7">
        <v>361424.87854000001</v>
      </c>
      <c r="K168" s="7">
        <v>324511.24910999998</v>
      </c>
      <c r="L168" s="8">
        <v>165.62825118309101</v>
      </c>
      <c r="M168" s="8">
        <v>-21.278188977826101</v>
      </c>
      <c r="N168" s="2">
        <v>3</v>
      </c>
      <c r="O168" s="2">
        <v>3</v>
      </c>
      <c r="P168" s="2">
        <v>6</v>
      </c>
      <c r="Q168" s="2" t="s">
        <v>35</v>
      </c>
      <c r="R168" s="2" t="s">
        <v>804</v>
      </c>
      <c r="S168" s="2" t="s">
        <v>47</v>
      </c>
      <c r="U168" s="2">
        <f>P168-N168</f>
        <v>3</v>
      </c>
      <c r="W168" s="30" t="s">
        <v>402</v>
      </c>
      <c r="X168" s="2" t="s">
        <v>82</v>
      </c>
      <c r="Y168" s="6" t="s">
        <v>803</v>
      </c>
      <c r="Z168" s="2" t="s">
        <v>73</v>
      </c>
      <c r="AA168" s="2" t="s">
        <v>803</v>
      </c>
      <c r="AB168" s="2" t="str">
        <f>LEFT(A168,3)</f>
        <v>HOU</v>
      </c>
    </row>
    <row r="169" spans="1:28">
      <c r="A169" s="6" t="s">
        <v>805</v>
      </c>
      <c r="B169" s="6" t="s">
        <v>191</v>
      </c>
      <c r="C169" s="6" t="s">
        <v>43</v>
      </c>
      <c r="D169" s="6" t="s">
        <v>806</v>
      </c>
      <c r="E169" s="6" t="s">
        <v>52</v>
      </c>
      <c r="F169" s="6" t="s">
        <v>807</v>
      </c>
      <c r="G169" s="6" t="s">
        <v>807</v>
      </c>
      <c r="H169" s="6" t="s">
        <v>807</v>
      </c>
      <c r="I169" s="2" t="s">
        <v>53</v>
      </c>
      <c r="J169" s="7">
        <v>344119</v>
      </c>
      <c r="K169" s="7">
        <v>296014</v>
      </c>
      <c r="L169" s="8">
        <v>165.46052599999999</v>
      </c>
      <c r="M169" s="8">
        <v>-21.535132000000001</v>
      </c>
      <c r="N169" s="2">
        <v>3</v>
      </c>
      <c r="O169" s="2">
        <v>3</v>
      </c>
      <c r="P169" s="2">
        <v>3</v>
      </c>
      <c r="Q169" s="2" t="s">
        <v>35</v>
      </c>
      <c r="R169" s="2" t="s">
        <v>808</v>
      </c>
      <c r="S169" s="2" t="s">
        <v>47</v>
      </c>
      <c r="U169" s="2">
        <f>P169-N169</f>
        <v>0</v>
      </c>
      <c r="W169" s="30" t="s">
        <v>52</v>
      </c>
      <c r="X169" s="2" t="s">
        <v>82</v>
      </c>
      <c r="Y169" s="6" t="s">
        <v>807</v>
      </c>
      <c r="Z169" s="2" t="s">
        <v>73</v>
      </c>
      <c r="AA169" s="6" t="s">
        <v>807</v>
      </c>
      <c r="AB169" s="2" t="str">
        <f>LEFT(A169,3)</f>
        <v>HRN</v>
      </c>
    </row>
    <row r="170" spans="1:28">
      <c r="A170" s="6" t="s">
        <v>809</v>
      </c>
      <c r="B170" s="6" t="s">
        <v>373</v>
      </c>
      <c r="C170" s="6" t="s">
        <v>129</v>
      </c>
      <c r="D170" s="6" t="s">
        <v>810</v>
      </c>
      <c r="E170" s="6" t="s">
        <v>810</v>
      </c>
      <c r="F170" s="6" t="s">
        <v>810</v>
      </c>
      <c r="G170" s="2" t="s">
        <v>811</v>
      </c>
      <c r="H170" s="2" t="s">
        <v>810</v>
      </c>
      <c r="I170" s="2" t="s">
        <v>34</v>
      </c>
      <c r="J170" s="7">
        <v>527394.02098999999</v>
      </c>
      <c r="K170" s="7">
        <v>356219.92908999999</v>
      </c>
      <c r="L170" s="8">
        <v>167.22528309763101</v>
      </c>
      <c r="M170" s="8">
        <v>-20.987677395412</v>
      </c>
      <c r="N170" s="2">
        <v>2</v>
      </c>
      <c r="O170" s="2">
        <v>2</v>
      </c>
      <c r="P170" s="2">
        <v>2</v>
      </c>
      <c r="Q170" s="2" t="s">
        <v>35</v>
      </c>
      <c r="R170" s="2" t="s">
        <v>812</v>
      </c>
      <c r="S170" s="2" t="s">
        <v>47</v>
      </c>
      <c r="U170" s="2">
        <f>P170-N170</f>
        <v>0</v>
      </c>
      <c r="V170" s="2" t="s">
        <v>102</v>
      </c>
      <c r="W170" s="30" t="s">
        <v>810</v>
      </c>
      <c r="X170" s="2" t="s">
        <v>82</v>
      </c>
      <c r="Y170" s="6" t="s">
        <v>810</v>
      </c>
      <c r="Z170" s="2" t="s">
        <v>73</v>
      </c>
      <c r="AA170" s="2" t="s">
        <v>811</v>
      </c>
      <c r="AB170" s="2" t="str">
        <f>LEFT(A170,3)</f>
        <v>HRO</v>
      </c>
    </row>
    <row r="171" spans="1:28">
      <c r="A171" s="2" t="s">
        <v>813</v>
      </c>
      <c r="B171" s="2" t="s">
        <v>93</v>
      </c>
      <c r="C171" s="2" t="s">
        <v>50</v>
      </c>
      <c r="D171" s="6" t="s">
        <v>814</v>
      </c>
      <c r="E171" s="2" t="s">
        <v>52</v>
      </c>
      <c r="F171" s="6" t="s">
        <v>815</v>
      </c>
      <c r="G171" s="6" t="s">
        <v>815</v>
      </c>
      <c r="H171" s="6" t="s">
        <v>815</v>
      </c>
      <c r="I171" s="2" t="s">
        <v>53</v>
      </c>
      <c r="J171" s="7">
        <v>450890</v>
      </c>
      <c r="K171" s="7">
        <v>221412</v>
      </c>
      <c r="L171" s="9">
        <v>166.49357000000001</v>
      </c>
      <c r="M171" s="8">
        <v>-22.209070000000001</v>
      </c>
      <c r="N171" s="2">
        <v>2</v>
      </c>
      <c r="O171" s="2">
        <v>4</v>
      </c>
      <c r="P171" s="2">
        <v>4</v>
      </c>
      <c r="Q171" s="2" t="s">
        <v>35</v>
      </c>
      <c r="R171" s="2" t="s">
        <v>816</v>
      </c>
      <c r="S171" s="2" t="s">
        <v>37</v>
      </c>
      <c r="U171" s="2">
        <f>P171-N171</f>
        <v>2</v>
      </c>
      <c r="W171" s="30" t="s">
        <v>52</v>
      </c>
      <c r="X171" s="6" t="s">
        <v>52</v>
      </c>
      <c r="Y171" s="6" t="s">
        <v>815</v>
      </c>
      <c r="Z171" s="2" t="s">
        <v>40</v>
      </c>
      <c r="AA171" s="6" t="s">
        <v>815</v>
      </c>
      <c r="AB171" s="2" t="str">
        <f>LEFT(A171,3)</f>
        <v>HSI</v>
      </c>
    </row>
    <row r="172" spans="1:28">
      <c r="A172" s="6" t="s">
        <v>817</v>
      </c>
      <c r="B172" s="6" t="s">
        <v>373</v>
      </c>
      <c r="C172" s="6" t="s">
        <v>129</v>
      </c>
      <c r="D172" s="6" t="s">
        <v>818</v>
      </c>
      <c r="E172" s="6" t="s">
        <v>818</v>
      </c>
      <c r="F172" s="6" t="s">
        <v>818</v>
      </c>
      <c r="G172" s="2" t="s">
        <v>819</v>
      </c>
      <c r="H172" s="2" t="s">
        <v>818</v>
      </c>
      <c r="I172" s="2" t="s">
        <v>34</v>
      </c>
      <c r="J172" s="7">
        <v>538415.90521</v>
      </c>
      <c r="K172" s="7">
        <v>345487.94277999998</v>
      </c>
      <c r="L172" s="8">
        <v>167.33216802677799</v>
      </c>
      <c r="M172" s="8">
        <v>-21.083798194861799</v>
      </c>
      <c r="N172" s="2">
        <v>2</v>
      </c>
      <c r="O172" s="2">
        <v>2</v>
      </c>
      <c r="P172" s="2">
        <f>N172</f>
        <v>2</v>
      </c>
      <c r="Q172" s="2" t="s">
        <v>35</v>
      </c>
      <c r="R172" s="2" t="s">
        <v>820</v>
      </c>
      <c r="S172" s="2" t="s">
        <v>47</v>
      </c>
      <c r="U172" s="2">
        <f>P172-N172</f>
        <v>0</v>
      </c>
      <c r="W172" s="30" t="s">
        <v>818</v>
      </c>
      <c r="X172" s="2" t="s">
        <v>82</v>
      </c>
      <c r="Y172" s="6" t="s">
        <v>818</v>
      </c>
      <c r="Z172" s="2" t="s">
        <v>73</v>
      </c>
      <c r="AA172" s="2" t="s">
        <v>819</v>
      </c>
      <c r="AB172" s="2" t="str">
        <f>LEFT(A172,3)</f>
        <v>HUI</v>
      </c>
    </row>
    <row r="173" spans="1:28">
      <c r="A173" s="6" t="s">
        <v>821</v>
      </c>
      <c r="B173" s="6" t="s">
        <v>373</v>
      </c>
      <c r="C173" s="6" t="s">
        <v>129</v>
      </c>
      <c r="D173" s="6" t="s">
        <v>822</v>
      </c>
      <c r="E173" s="6" t="s">
        <v>822</v>
      </c>
      <c r="F173" s="6" t="s">
        <v>822</v>
      </c>
      <c r="G173" s="2" t="s">
        <v>823</v>
      </c>
      <c r="H173" s="2" t="s">
        <v>822</v>
      </c>
      <c r="I173" s="2" t="s">
        <v>34</v>
      </c>
      <c r="J173" s="7">
        <v>514335.83643999998</v>
      </c>
      <c r="K173" s="7">
        <v>381244.99423000001</v>
      </c>
      <c r="L173" s="8">
        <v>167.098004301548</v>
      </c>
      <c r="M173" s="8">
        <v>-20.762519855864198</v>
      </c>
      <c r="N173" s="2">
        <v>2</v>
      </c>
      <c r="O173" s="2">
        <v>2</v>
      </c>
      <c r="P173" s="2">
        <v>2</v>
      </c>
      <c r="Q173" s="2" t="s">
        <v>35</v>
      </c>
      <c r="R173" s="2" t="s">
        <v>824</v>
      </c>
      <c r="S173" s="2" t="s">
        <v>47</v>
      </c>
      <c r="U173" s="2">
        <f>P173-N173</f>
        <v>0</v>
      </c>
      <c r="W173" s="30" t="s">
        <v>822</v>
      </c>
      <c r="X173" s="2" t="s">
        <v>82</v>
      </c>
      <c r="Y173" s="6" t="s">
        <v>822</v>
      </c>
      <c r="Z173" s="2" t="s">
        <v>73</v>
      </c>
      <c r="AA173" s="2" t="s">
        <v>823</v>
      </c>
      <c r="AB173" s="2" t="str">
        <f>LEFT(A173,3)</f>
        <v>HUN</v>
      </c>
    </row>
    <row r="174" spans="1:28">
      <c r="A174" s="6" t="s">
        <v>825</v>
      </c>
      <c r="B174" s="6" t="s">
        <v>128</v>
      </c>
      <c r="C174" s="6" t="s">
        <v>129</v>
      </c>
      <c r="D174" s="6" t="s">
        <v>826</v>
      </c>
      <c r="E174" s="6" t="s">
        <v>52</v>
      </c>
      <c r="F174" s="6" t="s">
        <v>827</v>
      </c>
      <c r="G174" s="6" t="s">
        <v>827</v>
      </c>
      <c r="H174" s="6" t="s">
        <v>827</v>
      </c>
      <c r="I174" s="2" t="s">
        <v>53</v>
      </c>
      <c r="J174" s="7">
        <v>459052</v>
      </c>
      <c r="K174" s="7">
        <v>402370</v>
      </c>
      <c r="L174" s="8">
        <v>166.56636700000001</v>
      </c>
      <c r="M174" s="8">
        <v>-20.574370999999999</v>
      </c>
      <c r="N174" s="2">
        <v>3</v>
      </c>
      <c r="O174" s="2">
        <v>3</v>
      </c>
      <c r="P174" s="2">
        <v>3</v>
      </c>
      <c r="Q174" s="6" t="s">
        <v>35</v>
      </c>
      <c r="R174" s="2" t="s">
        <v>828</v>
      </c>
      <c r="S174" s="2" t="s">
        <v>47</v>
      </c>
      <c r="U174" s="2">
        <f>P174-N174</f>
        <v>0</v>
      </c>
      <c r="W174" s="30" t="s">
        <v>52</v>
      </c>
      <c r="X174" s="2" t="s">
        <v>82</v>
      </c>
      <c r="Y174" s="6" t="s">
        <v>827</v>
      </c>
      <c r="Z174" s="2" t="s">
        <v>73</v>
      </c>
      <c r="AA174" s="6" t="s">
        <v>827</v>
      </c>
      <c r="AB174" s="2" t="str">
        <f>LEFT(A174,3)</f>
        <v>HWA</v>
      </c>
    </row>
    <row r="175" spans="1:28">
      <c r="A175" s="17" t="s">
        <v>829</v>
      </c>
      <c r="B175" s="6" t="s">
        <v>56</v>
      </c>
      <c r="C175" s="6" t="s">
        <v>50</v>
      </c>
      <c r="D175" s="6" t="s">
        <v>830</v>
      </c>
      <c r="E175" s="6" t="s">
        <v>52</v>
      </c>
      <c r="F175" s="6" t="s">
        <v>831</v>
      </c>
      <c r="G175" s="6" t="s">
        <v>831</v>
      </c>
      <c r="H175" s="6" t="s">
        <v>831</v>
      </c>
      <c r="I175" s="2" t="s">
        <v>53</v>
      </c>
      <c r="J175" s="7">
        <v>437672</v>
      </c>
      <c r="K175" s="7">
        <v>229380</v>
      </c>
      <c r="L175" s="8">
        <v>166.36518799999999</v>
      </c>
      <c r="M175" s="8">
        <v>-22.137436999999998</v>
      </c>
      <c r="N175" s="2">
        <v>1</v>
      </c>
      <c r="O175" s="2">
        <v>1</v>
      </c>
      <c r="P175" s="2">
        <v>1</v>
      </c>
      <c r="Q175" s="2" t="s">
        <v>35</v>
      </c>
      <c r="R175" s="2" t="s">
        <v>832</v>
      </c>
      <c r="S175" s="2" t="s">
        <v>37</v>
      </c>
      <c r="U175" s="2">
        <f>P175-N175</f>
        <v>0</v>
      </c>
      <c r="W175" s="30" t="s">
        <v>52</v>
      </c>
      <c r="X175" s="2" t="s">
        <v>52</v>
      </c>
      <c r="Y175" s="6" t="s">
        <v>833</v>
      </c>
      <c r="Z175" s="2" t="s">
        <v>40</v>
      </c>
      <c r="AA175" s="6" t="s">
        <v>833</v>
      </c>
      <c r="AB175" s="2" t="str">
        <f>LEFT(A175,3)</f>
        <v>HYP</v>
      </c>
    </row>
    <row r="176" spans="1:28">
      <c r="A176" s="6" t="s">
        <v>834</v>
      </c>
      <c r="B176" s="6" t="s">
        <v>29</v>
      </c>
      <c r="C176" s="6" t="s">
        <v>30</v>
      </c>
      <c r="D176" s="6" t="s">
        <v>835</v>
      </c>
      <c r="E176" s="6" t="s">
        <v>835</v>
      </c>
      <c r="F176" s="6" t="s">
        <v>835</v>
      </c>
      <c r="G176" s="2" t="s">
        <v>836</v>
      </c>
      <c r="H176" s="2" t="s">
        <v>835</v>
      </c>
      <c r="I176" s="2" t="s">
        <v>34</v>
      </c>
      <c r="J176" s="7">
        <v>442226.21951999998</v>
      </c>
      <c r="K176" s="7">
        <v>207639.77851999999</v>
      </c>
      <c r="L176" s="8">
        <v>166.40988662039399</v>
      </c>
      <c r="M176" s="8">
        <v>-22.333665762816</v>
      </c>
      <c r="N176" s="2">
        <v>1</v>
      </c>
      <c r="O176" s="2">
        <v>1</v>
      </c>
      <c r="P176" s="2">
        <f>N176</f>
        <v>1</v>
      </c>
      <c r="Q176" s="2" t="s">
        <v>35</v>
      </c>
      <c r="R176" s="2" t="s">
        <v>837</v>
      </c>
      <c r="S176" s="2" t="s">
        <v>37</v>
      </c>
      <c r="U176" s="2">
        <f>P176-N176</f>
        <v>0</v>
      </c>
      <c r="W176" s="30" t="s">
        <v>52</v>
      </c>
      <c r="X176" s="2" t="s">
        <v>39</v>
      </c>
      <c r="Y176" s="6" t="s">
        <v>835</v>
      </c>
      <c r="Z176" s="2" t="s">
        <v>40</v>
      </c>
      <c r="AA176" s="2" t="s">
        <v>836</v>
      </c>
      <c r="AB176" s="2" t="str">
        <f>LEFT(A176,3)</f>
        <v>ILM</v>
      </c>
    </row>
    <row r="177" spans="1:28">
      <c r="A177" s="6" t="s">
        <v>838</v>
      </c>
      <c r="B177" s="6" t="s">
        <v>373</v>
      </c>
      <c r="C177" s="6" t="s">
        <v>129</v>
      </c>
      <c r="D177" s="6" t="s">
        <v>839</v>
      </c>
      <c r="E177" s="6" t="s">
        <v>839</v>
      </c>
      <c r="F177" s="6" t="s">
        <v>839</v>
      </c>
      <c r="G177" s="2" t="s">
        <v>840</v>
      </c>
      <c r="H177" s="2" t="s">
        <v>839</v>
      </c>
      <c r="I177" s="2" t="s">
        <v>34</v>
      </c>
      <c r="J177" s="7">
        <v>543260.03818000003</v>
      </c>
      <c r="K177" s="7">
        <v>352531.23239999998</v>
      </c>
      <c r="L177" s="8">
        <v>167.37818856195099</v>
      </c>
      <c r="M177" s="8">
        <v>-21.019804310531299</v>
      </c>
      <c r="N177" s="2">
        <v>2</v>
      </c>
      <c r="O177" s="2">
        <v>2</v>
      </c>
      <c r="P177" s="2">
        <f>N177</f>
        <v>2</v>
      </c>
      <c r="Q177" s="2" t="s">
        <v>35</v>
      </c>
      <c r="R177" s="2" t="s">
        <v>841</v>
      </c>
      <c r="S177" s="2" t="s">
        <v>47</v>
      </c>
      <c r="U177" s="2">
        <f>P177-N177</f>
        <v>0</v>
      </c>
      <c r="W177" s="30" t="s">
        <v>839</v>
      </c>
      <c r="X177" s="2" t="s">
        <v>82</v>
      </c>
      <c r="Y177" s="6" t="s">
        <v>839</v>
      </c>
      <c r="Z177" s="2" t="s">
        <v>73</v>
      </c>
      <c r="AA177" s="2" t="s">
        <v>840</v>
      </c>
      <c r="AB177" s="2" t="str">
        <f>LEFT(A177,3)</f>
        <v>INA</v>
      </c>
    </row>
    <row r="178" spans="1:28">
      <c r="A178" s="2" t="s">
        <v>842</v>
      </c>
      <c r="B178" s="2" t="s">
        <v>93</v>
      </c>
      <c r="C178" s="2" t="s">
        <v>50</v>
      </c>
      <c r="D178" s="6" t="s">
        <v>843</v>
      </c>
      <c r="E178" s="6" t="s">
        <v>844</v>
      </c>
      <c r="F178" s="6" t="s">
        <v>845</v>
      </c>
      <c r="G178" s="2" t="s">
        <v>846</v>
      </c>
      <c r="H178" s="2" t="s">
        <v>844</v>
      </c>
      <c r="I178" s="2" t="s">
        <v>34</v>
      </c>
      <c r="J178" s="7">
        <v>491910</v>
      </c>
      <c r="K178" s="7">
        <v>205295</v>
      </c>
      <c r="L178" s="9">
        <v>166.89229</v>
      </c>
      <c r="M178" s="8">
        <v>-22.352974</v>
      </c>
      <c r="N178" s="2">
        <v>1</v>
      </c>
      <c r="O178" s="2">
        <v>1</v>
      </c>
      <c r="P178" s="2">
        <f>N178</f>
        <v>1</v>
      </c>
      <c r="Q178" s="2" t="s">
        <v>86</v>
      </c>
      <c r="R178" s="2" t="s">
        <v>847</v>
      </c>
      <c r="S178" s="2" t="s">
        <v>47</v>
      </c>
      <c r="U178" s="2">
        <f>P178-N178</f>
        <v>0</v>
      </c>
      <c r="W178" s="30" t="s">
        <v>848</v>
      </c>
      <c r="X178" s="2" t="s">
        <v>39</v>
      </c>
      <c r="Y178" s="6" t="s">
        <v>849</v>
      </c>
      <c r="Z178" s="2" t="s">
        <v>40</v>
      </c>
      <c r="AA178" s="2" t="s">
        <v>850</v>
      </c>
      <c r="AB178" s="2" t="str">
        <f>LEFT(A178,3)</f>
        <v>IPO</v>
      </c>
    </row>
    <row r="179" spans="1:28">
      <c r="A179" s="6" t="s">
        <v>851</v>
      </c>
      <c r="B179" s="6" t="s">
        <v>142</v>
      </c>
      <c r="C179" s="6" t="s">
        <v>43</v>
      </c>
      <c r="D179" s="6" t="s">
        <v>852</v>
      </c>
      <c r="E179" s="6" t="s">
        <v>52</v>
      </c>
      <c r="F179" s="6" t="s">
        <v>852</v>
      </c>
      <c r="G179" s="2" t="s">
        <v>853</v>
      </c>
      <c r="H179" s="2" t="s">
        <v>854</v>
      </c>
      <c r="I179" s="2" t="s">
        <v>34</v>
      </c>
      <c r="J179" s="7">
        <v>497149</v>
      </c>
      <c r="K179" s="7">
        <v>226823</v>
      </c>
      <c r="L179" s="8">
        <v>166.94188800000001</v>
      </c>
      <c r="M179" s="8">
        <v>-22.158282</v>
      </c>
      <c r="N179" s="2">
        <v>1</v>
      </c>
      <c r="O179" s="2">
        <v>1</v>
      </c>
      <c r="P179" s="2">
        <v>1</v>
      </c>
      <c r="Q179" s="2" t="s">
        <v>35</v>
      </c>
      <c r="R179" s="2" t="s">
        <v>841</v>
      </c>
      <c r="S179" s="2" t="s">
        <v>47</v>
      </c>
      <c r="T179" s="2">
        <v>1</v>
      </c>
      <c r="U179" s="2">
        <f>P179-N179</f>
        <v>0</v>
      </c>
      <c r="W179" s="30" t="s">
        <v>52</v>
      </c>
      <c r="X179" s="2" t="s">
        <v>52</v>
      </c>
      <c r="Y179" s="6" t="s">
        <v>855</v>
      </c>
      <c r="Z179" s="2" t="s">
        <v>73</v>
      </c>
      <c r="AA179" s="2" t="s">
        <v>856</v>
      </c>
      <c r="AB179" s="2" t="str">
        <f>LEFT(A179,3)</f>
        <v>IYA</v>
      </c>
    </row>
    <row r="180" spans="1:28">
      <c r="A180" s="2" t="s">
        <v>857</v>
      </c>
      <c r="B180" s="2" t="s">
        <v>29</v>
      </c>
      <c r="C180" s="2" t="s">
        <v>30</v>
      </c>
      <c r="D180" s="6" t="s">
        <v>858</v>
      </c>
      <c r="E180" s="6" t="s">
        <v>52</v>
      </c>
      <c r="F180" s="6" t="s">
        <v>859</v>
      </c>
      <c r="G180" s="6" t="s">
        <v>859</v>
      </c>
      <c r="H180" s="6" t="s">
        <v>859</v>
      </c>
      <c r="I180" s="2" t="s">
        <v>53</v>
      </c>
      <c r="J180" s="7">
        <v>445167</v>
      </c>
      <c r="K180" s="7">
        <v>214451</v>
      </c>
      <c r="L180" s="9">
        <v>166.43825000000001</v>
      </c>
      <c r="M180" s="9">
        <v>-22.272089999999999</v>
      </c>
      <c r="N180" s="2">
        <v>3</v>
      </c>
      <c r="O180" s="2">
        <v>6</v>
      </c>
      <c r="P180" s="2">
        <v>6</v>
      </c>
      <c r="Q180" s="2" t="s">
        <v>35</v>
      </c>
      <c r="R180" s="2" t="s">
        <v>860</v>
      </c>
      <c r="S180" s="2" t="s">
        <v>37</v>
      </c>
      <c r="U180" s="2">
        <f>P180-N180</f>
        <v>3</v>
      </c>
      <c r="V180" s="2" t="s">
        <v>38</v>
      </c>
      <c r="W180" s="30" t="s">
        <v>52</v>
      </c>
      <c r="X180" s="6" t="s">
        <v>52</v>
      </c>
      <c r="Y180" s="6" t="s">
        <v>859</v>
      </c>
      <c r="Z180" s="2" t="s">
        <v>40</v>
      </c>
      <c r="AA180" s="6" t="s">
        <v>859</v>
      </c>
      <c r="AB180" s="2" t="str">
        <f>LEFT(A180,3)</f>
        <v>JOH</v>
      </c>
    </row>
    <row r="181" spans="1:28">
      <c r="A181" s="6" t="s">
        <v>861</v>
      </c>
      <c r="B181" s="6" t="s">
        <v>373</v>
      </c>
      <c r="C181" s="6" t="s">
        <v>129</v>
      </c>
      <c r="D181" s="6" t="s">
        <v>862</v>
      </c>
      <c r="E181" s="6" t="s">
        <v>862</v>
      </c>
      <c r="F181" s="6" t="s">
        <v>862</v>
      </c>
      <c r="G181" s="2" t="s">
        <v>863</v>
      </c>
      <c r="H181" s="2" t="s">
        <v>862</v>
      </c>
      <c r="I181" s="2" t="s">
        <v>34</v>
      </c>
      <c r="J181" s="7">
        <v>549511.81533999997</v>
      </c>
      <c r="K181" s="7">
        <v>348434.0686</v>
      </c>
      <c r="L181" s="8">
        <v>167.438693393997</v>
      </c>
      <c r="M181" s="8">
        <v>-21.056300794596901</v>
      </c>
      <c r="N181" s="2">
        <v>2</v>
      </c>
      <c r="O181" s="2">
        <v>2</v>
      </c>
      <c r="P181" s="2">
        <v>2</v>
      </c>
      <c r="Q181" s="2" t="s">
        <v>35</v>
      </c>
      <c r="R181" s="2" t="s">
        <v>862</v>
      </c>
      <c r="S181" s="2" t="s">
        <v>47</v>
      </c>
      <c r="U181" s="2">
        <f>P181-N181</f>
        <v>0</v>
      </c>
      <c r="W181" s="30" t="s">
        <v>862</v>
      </c>
      <c r="X181" s="2" t="s">
        <v>82</v>
      </c>
      <c r="Y181" s="6" t="s">
        <v>862</v>
      </c>
      <c r="Z181" s="2" t="s">
        <v>73</v>
      </c>
      <c r="AA181" s="2" t="s">
        <v>863</v>
      </c>
      <c r="AB181" s="2" t="str">
        <f>LEFT(A181,3)</f>
        <v>JOJ</v>
      </c>
    </row>
    <row r="182" spans="1:28">
      <c r="A182" s="6" t="s">
        <v>864</v>
      </c>
      <c r="B182" s="6" t="s">
        <v>373</v>
      </c>
      <c r="C182" s="6" t="s">
        <v>129</v>
      </c>
      <c r="D182" s="6" t="s">
        <v>865</v>
      </c>
      <c r="E182" s="6" t="s">
        <v>865</v>
      </c>
      <c r="F182" s="6" t="s">
        <v>865</v>
      </c>
      <c r="G182" s="2" t="s">
        <v>866</v>
      </c>
      <c r="H182" s="2" t="s">
        <v>865</v>
      </c>
      <c r="I182" s="2" t="s">
        <v>34</v>
      </c>
      <c r="J182" s="7">
        <v>521584.136</v>
      </c>
      <c r="K182" s="7">
        <v>387983.13199999998</v>
      </c>
      <c r="L182" s="8">
        <v>167.167123506427</v>
      </c>
      <c r="M182" s="8">
        <v>-20.701186442614599</v>
      </c>
      <c r="N182" s="2">
        <v>2</v>
      </c>
      <c r="O182" s="2">
        <v>2</v>
      </c>
      <c r="P182" s="2">
        <f>N182</f>
        <v>2</v>
      </c>
      <c r="Q182" s="2" t="s">
        <v>35</v>
      </c>
      <c r="R182" s="2" t="s">
        <v>867</v>
      </c>
      <c r="S182" s="2" t="s">
        <v>47</v>
      </c>
      <c r="U182" s="2">
        <f>P182-N182</f>
        <v>0</v>
      </c>
      <c r="W182" s="30" t="s">
        <v>865</v>
      </c>
      <c r="X182" s="2" t="s">
        <v>82</v>
      </c>
      <c r="Y182" s="6" t="s">
        <v>865</v>
      </c>
      <c r="Z182" s="2" t="s">
        <v>73</v>
      </c>
      <c r="AA182" s="2" t="s">
        <v>866</v>
      </c>
      <c r="AB182" s="2" t="str">
        <f>LEFT(A182,3)</f>
        <v>JOK</v>
      </c>
    </row>
    <row r="183" spans="1:28">
      <c r="A183" s="6" t="s">
        <v>868</v>
      </c>
      <c r="B183" s="6" t="s">
        <v>373</v>
      </c>
      <c r="C183" s="6" t="s">
        <v>129</v>
      </c>
      <c r="D183" s="6" t="s">
        <v>869</v>
      </c>
      <c r="E183" s="6" t="s">
        <v>52</v>
      </c>
      <c r="F183" s="6" t="s">
        <v>870</v>
      </c>
      <c r="G183" s="2" t="s">
        <v>870</v>
      </c>
      <c r="H183" s="2" t="s">
        <v>870</v>
      </c>
      <c r="I183" s="2" t="s">
        <v>53</v>
      </c>
      <c r="J183" s="7">
        <v>538168</v>
      </c>
      <c r="K183" s="7">
        <v>361500</v>
      </c>
      <c r="L183" s="8">
        <v>167.328472</v>
      </c>
      <c r="M183" s="8">
        <v>-20.939191999999998</v>
      </c>
      <c r="N183" s="2">
        <v>3</v>
      </c>
      <c r="O183" s="2">
        <v>3</v>
      </c>
      <c r="P183" s="2">
        <f>N183</f>
        <v>3</v>
      </c>
      <c r="Q183" s="2" t="s">
        <v>35</v>
      </c>
      <c r="R183" s="2" t="s">
        <v>871</v>
      </c>
      <c r="S183" s="2" t="s">
        <v>47</v>
      </c>
      <c r="U183" s="2">
        <f>P183-N183</f>
        <v>0</v>
      </c>
      <c r="W183" s="30" t="s">
        <v>52</v>
      </c>
      <c r="X183" s="2" t="s">
        <v>52</v>
      </c>
      <c r="Y183" s="6" t="s">
        <v>872</v>
      </c>
      <c r="Z183" s="2" t="s">
        <v>73</v>
      </c>
      <c r="AA183" s="6" t="s">
        <v>872</v>
      </c>
      <c r="AB183" s="2" t="str">
        <f>LEFT(A183,3)</f>
        <v>JOZ</v>
      </c>
    </row>
    <row r="184" spans="1:28">
      <c r="A184" s="6" t="s">
        <v>873</v>
      </c>
      <c r="B184" s="6" t="s">
        <v>49</v>
      </c>
      <c r="C184" s="2" t="s">
        <v>50</v>
      </c>
      <c r="D184" s="6" t="s">
        <v>874</v>
      </c>
      <c r="E184" s="6" t="s">
        <v>874</v>
      </c>
      <c r="F184" s="6" t="s">
        <v>875</v>
      </c>
      <c r="G184" s="2" t="s">
        <v>875</v>
      </c>
      <c r="H184" s="2" t="s">
        <v>875</v>
      </c>
      <c r="I184" s="2" t="s">
        <v>53</v>
      </c>
      <c r="J184" s="7">
        <v>449932</v>
      </c>
      <c r="K184" s="7">
        <v>220574</v>
      </c>
      <c r="L184" s="9">
        <v>166.48429899999999</v>
      </c>
      <c r="M184" s="8">
        <v>-22.216663</v>
      </c>
      <c r="N184" s="2">
        <v>2</v>
      </c>
      <c r="O184" s="2">
        <v>6</v>
      </c>
      <c r="P184" s="2">
        <v>6</v>
      </c>
      <c r="Q184" s="2" t="s">
        <v>35</v>
      </c>
      <c r="R184" s="2" t="s">
        <v>876</v>
      </c>
      <c r="S184" s="2" t="s">
        <v>37</v>
      </c>
      <c r="U184" s="2">
        <f>P184-N184</f>
        <v>4</v>
      </c>
      <c r="V184" s="2" t="s">
        <v>38</v>
      </c>
      <c r="W184" s="30" t="s">
        <v>874</v>
      </c>
      <c r="X184" s="2" t="s">
        <v>39</v>
      </c>
      <c r="Y184" s="6" t="s">
        <v>875</v>
      </c>
      <c r="Z184" s="2" t="s">
        <v>40</v>
      </c>
      <c r="AA184" s="2" t="s">
        <v>875</v>
      </c>
      <c r="AB184" s="2" t="str">
        <f>LEFT(A184,3)</f>
        <v>JYA</v>
      </c>
    </row>
    <row r="185" spans="1:28">
      <c r="A185" s="6" t="s">
        <v>877</v>
      </c>
      <c r="B185" s="6" t="s">
        <v>373</v>
      </c>
      <c r="C185" s="6" t="s">
        <v>129</v>
      </c>
      <c r="D185" s="6" t="s">
        <v>878</v>
      </c>
      <c r="E185" s="6" t="s">
        <v>878</v>
      </c>
      <c r="F185" s="6" t="s">
        <v>879</v>
      </c>
      <c r="G185" s="2" t="s">
        <v>879</v>
      </c>
      <c r="H185" s="2" t="s">
        <v>879</v>
      </c>
      <c r="I185" s="2" t="s">
        <v>53</v>
      </c>
      <c r="J185" s="7">
        <v>540293.84025000001</v>
      </c>
      <c r="K185" s="7">
        <v>361423.28029999998</v>
      </c>
      <c r="L185" s="8">
        <v>167.348918388339</v>
      </c>
      <c r="M185" s="8">
        <v>-20.939722862962601</v>
      </c>
      <c r="N185" s="2">
        <v>2</v>
      </c>
      <c r="O185" s="2">
        <v>2</v>
      </c>
      <c r="P185" s="2">
        <v>4</v>
      </c>
      <c r="Q185" s="2" t="s">
        <v>35</v>
      </c>
      <c r="R185" s="2" t="s">
        <v>880</v>
      </c>
      <c r="S185" s="2" t="s">
        <v>47</v>
      </c>
      <c r="U185" s="2">
        <f>P185-N185</f>
        <v>2</v>
      </c>
      <c r="W185" s="30" t="s">
        <v>878</v>
      </c>
      <c r="X185" s="2" t="s">
        <v>82</v>
      </c>
      <c r="Y185" s="6" t="s">
        <v>879</v>
      </c>
      <c r="Z185" s="2" t="s">
        <v>73</v>
      </c>
      <c r="AA185" s="2" t="s">
        <v>879</v>
      </c>
      <c r="AB185" s="2" t="str">
        <f>LEFT(A185,3)</f>
        <v>JZP</v>
      </c>
    </row>
    <row r="186" spans="1:28">
      <c r="A186" s="6" t="s">
        <v>881</v>
      </c>
      <c r="B186" s="6" t="s">
        <v>29</v>
      </c>
      <c r="C186" s="6" t="s">
        <v>30</v>
      </c>
      <c r="D186" s="6" t="s">
        <v>882</v>
      </c>
      <c r="E186" s="6" t="s">
        <v>882</v>
      </c>
      <c r="F186" s="6" t="s">
        <v>882</v>
      </c>
      <c r="G186" s="2" t="s">
        <v>883</v>
      </c>
      <c r="H186" s="2" t="s">
        <v>882</v>
      </c>
      <c r="I186" s="2" t="s">
        <v>34</v>
      </c>
      <c r="J186" s="7">
        <v>446144</v>
      </c>
      <c r="K186" s="7">
        <v>219216</v>
      </c>
      <c r="L186" s="8">
        <v>166.447596605862</v>
      </c>
      <c r="M186" s="8">
        <v>-22.2290290774224</v>
      </c>
      <c r="N186" s="2">
        <v>2</v>
      </c>
      <c r="O186" s="2">
        <v>4</v>
      </c>
      <c r="P186" s="2">
        <f>N186</f>
        <v>2</v>
      </c>
      <c r="Q186" s="2" t="s">
        <v>35</v>
      </c>
      <c r="R186" s="2" t="s">
        <v>884</v>
      </c>
      <c r="S186" s="2" t="s">
        <v>37</v>
      </c>
      <c r="U186" s="2">
        <f>P186-N186</f>
        <v>0</v>
      </c>
      <c r="W186" s="30" t="s">
        <v>52</v>
      </c>
      <c r="X186" s="2" t="s">
        <v>39</v>
      </c>
      <c r="Y186" s="6" t="s">
        <v>882</v>
      </c>
      <c r="Z186" s="2" t="s">
        <v>40</v>
      </c>
      <c r="AA186" s="2" t="s">
        <v>883</v>
      </c>
      <c r="AB186" s="2" t="str">
        <f>LEFT(A186,3)</f>
        <v>KAB</v>
      </c>
    </row>
    <row r="187" spans="1:28">
      <c r="A187" s="2" t="s">
        <v>885</v>
      </c>
      <c r="B187" s="2" t="s">
        <v>437</v>
      </c>
      <c r="C187" s="2" t="s">
        <v>68</v>
      </c>
      <c r="D187" s="6" t="s">
        <v>886</v>
      </c>
      <c r="E187" s="2" t="s">
        <v>52</v>
      </c>
      <c r="F187" s="6" t="s">
        <v>887</v>
      </c>
      <c r="G187" s="6" t="s">
        <v>887</v>
      </c>
      <c r="H187" s="6" t="s">
        <v>887</v>
      </c>
      <c r="I187" s="6" t="s">
        <v>53</v>
      </c>
      <c r="J187" s="7">
        <v>257729</v>
      </c>
      <c r="K187" s="7">
        <v>400104</v>
      </c>
      <c r="L187" s="9">
        <v>164.63532000000001</v>
      </c>
      <c r="M187" s="8">
        <v>-20.590199999999999</v>
      </c>
      <c r="N187" s="7">
        <v>1</v>
      </c>
      <c r="O187" s="7">
        <v>1</v>
      </c>
      <c r="P187" s="7">
        <v>1</v>
      </c>
      <c r="Q187" s="2" t="s">
        <v>195</v>
      </c>
      <c r="R187" s="2" t="s">
        <v>888</v>
      </c>
      <c r="S187" s="2" t="s">
        <v>47</v>
      </c>
      <c r="W187" s="30" t="s">
        <v>52</v>
      </c>
      <c r="X187" s="6" t="s">
        <v>52</v>
      </c>
      <c r="Y187" s="6" t="s">
        <v>887</v>
      </c>
      <c r="Z187" s="2" t="s">
        <v>73</v>
      </c>
      <c r="AA187" s="6" t="s">
        <v>887</v>
      </c>
      <c r="AB187" s="2" t="str">
        <f>LEFT(A187,3)</f>
        <v>KAE</v>
      </c>
    </row>
    <row r="188" spans="1:28">
      <c r="A188" s="2" t="s">
        <v>889</v>
      </c>
      <c r="B188" s="2" t="s">
        <v>402</v>
      </c>
      <c r="C188" s="2" t="s">
        <v>68</v>
      </c>
      <c r="D188" s="6" t="s">
        <v>890</v>
      </c>
      <c r="E188" s="2" t="s">
        <v>52</v>
      </c>
      <c r="F188" s="6" t="s">
        <v>891</v>
      </c>
      <c r="G188" s="6" t="s">
        <v>891</v>
      </c>
      <c r="H188" s="6" t="s">
        <v>892</v>
      </c>
      <c r="I188" s="2" t="s">
        <v>53</v>
      </c>
      <c r="J188" s="7">
        <v>356000</v>
      </c>
      <c r="K188" s="7">
        <v>332040</v>
      </c>
      <c r="L188" s="9">
        <v>165.57616999999999</v>
      </c>
      <c r="M188" s="8">
        <v>-21.210059999999999</v>
      </c>
      <c r="N188" s="7">
        <v>2</v>
      </c>
      <c r="O188" s="7">
        <v>2</v>
      </c>
      <c r="P188" s="7">
        <v>2</v>
      </c>
      <c r="Q188" s="16" t="s">
        <v>35</v>
      </c>
      <c r="R188" s="2" t="s">
        <v>893</v>
      </c>
      <c r="S188" s="2" t="s">
        <v>47</v>
      </c>
      <c r="U188" s="2">
        <f>P188-N188</f>
        <v>0</v>
      </c>
      <c r="W188" s="30" t="s">
        <v>52</v>
      </c>
      <c r="X188" s="6" t="s">
        <v>52</v>
      </c>
      <c r="Y188" s="6" t="s">
        <v>891</v>
      </c>
      <c r="Z188" s="2" t="s">
        <v>73</v>
      </c>
      <c r="AA188" s="6" t="s">
        <v>891</v>
      </c>
      <c r="AB188" s="2" t="str">
        <f>LEFT(A188,3)</f>
        <v>KAO</v>
      </c>
    </row>
    <row r="189" spans="1:28">
      <c r="A189" s="2" t="s">
        <v>894</v>
      </c>
      <c r="B189" s="2" t="s">
        <v>49</v>
      </c>
      <c r="C189" s="2" t="s">
        <v>50</v>
      </c>
      <c r="D189" s="2" t="s">
        <v>895</v>
      </c>
      <c r="E189" s="2" t="s">
        <v>52</v>
      </c>
      <c r="F189" s="2" t="s">
        <v>896</v>
      </c>
      <c r="G189" s="2" t="s">
        <v>896</v>
      </c>
      <c r="H189" s="2" t="s">
        <v>896</v>
      </c>
      <c r="I189" s="2" t="s">
        <v>53</v>
      </c>
      <c r="J189" s="7">
        <v>444912</v>
      </c>
      <c r="K189" s="7">
        <v>228969</v>
      </c>
      <c r="L189" s="8">
        <v>166.43538000000001</v>
      </c>
      <c r="M189" s="8">
        <v>-22.140979999999999</v>
      </c>
      <c r="N189" s="2">
        <v>2</v>
      </c>
      <c r="O189" s="2">
        <v>2</v>
      </c>
      <c r="P189" s="2">
        <v>4</v>
      </c>
      <c r="Q189" s="2" t="s">
        <v>35</v>
      </c>
      <c r="R189" s="2" t="s">
        <v>897</v>
      </c>
      <c r="S189" s="2" t="s">
        <v>37</v>
      </c>
      <c r="U189" s="2">
        <f>P189-N189</f>
        <v>2</v>
      </c>
      <c r="W189" s="30" t="s">
        <v>52</v>
      </c>
      <c r="X189" s="6" t="s">
        <v>52</v>
      </c>
      <c r="Y189" s="2" t="s">
        <v>896</v>
      </c>
      <c r="Z189" s="2" t="s">
        <v>40</v>
      </c>
      <c r="AA189" s="2" t="s">
        <v>896</v>
      </c>
      <c r="AB189" s="2" t="str">
        <f>LEFT(A189,3)</f>
        <v>KAT</v>
      </c>
    </row>
    <row r="190" spans="1:28">
      <c r="A190" s="6" t="s">
        <v>898</v>
      </c>
      <c r="B190" s="6" t="s">
        <v>368</v>
      </c>
      <c r="C190" s="6" t="s">
        <v>68</v>
      </c>
      <c r="D190" s="6" t="s">
        <v>899</v>
      </c>
      <c r="E190" s="6" t="s">
        <v>899</v>
      </c>
      <c r="F190" s="6" t="s">
        <v>899</v>
      </c>
      <c r="G190" s="2" t="s">
        <v>900</v>
      </c>
      <c r="H190" s="2" t="s">
        <v>899</v>
      </c>
      <c r="I190" s="2" t="s">
        <v>34</v>
      </c>
      <c r="J190" s="7">
        <v>227537.08501000001</v>
      </c>
      <c r="K190" s="7">
        <v>397286.97713999997</v>
      </c>
      <c r="L190" s="8">
        <v>164.34544913413399</v>
      </c>
      <c r="M190" s="8">
        <v>-20.613005124452101</v>
      </c>
      <c r="N190" s="2">
        <v>3</v>
      </c>
      <c r="O190" s="2">
        <v>3</v>
      </c>
      <c r="P190" s="2">
        <f>N190</f>
        <v>3</v>
      </c>
      <c r="Q190" s="2" t="s">
        <v>35</v>
      </c>
      <c r="R190" s="2" t="s">
        <v>901</v>
      </c>
      <c r="S190" s="2" t="s">
        <v>47</v>
      </c>
      <c r="U190" s="2">
        <f>P190-N190</f>
        <v>0</v>
      </c>
      <c r="W190" s="30" t="s">
        <v>899</v>
      </c>
      <c r="X190" s="2" t="s">
        <v>82</v>
      </c>
      <c r="Y190" s="6" t="s">
        <v>899</v>
      </c>
      <c r="Z190" s="2" t="s">
        <v>73</v>
      </c>
      <c r="AA190" s="2" t="s">
        <v>900</v>
      </c>
      <c r="AB190" s="2" t="str">
        <f>LEFT(A190,3)</f>
        <v>KBE</v>
      </c>
    </row>
    <row r="191" spans="1:28">
      <c r="A191" s="6" t="s">
        <v>902</v>
      </c>
      <c r="B191" s="6" t="s">
        <v>98</v>
      </c>
      <c r="C191" s="6" t="s">
        <v>68</v>
      </c>
      <c r="D191" s="6" t="s">
        <v>903</v>
      </c>
      <c r="E191" s="6" t="s">
        <v>904</v>
      </c>
      <c r="F191" s="6" t="s">
        <v>903</v>
      </c>
      <c r="G191" s="2" t="s">
        <v>903</v>
      </c>
      <c r="H191" s="2" t="s">
        <v>903</v>
      </c>
      <c r="I191" s="2" t="s">
        <v>53</v>
      </c>
      <c r="J191" s="7">
        <v>401623.98829000001</v>
      </c>
      <c r="K191" s="7">
        <v>298376.05459000001</v>
      </c>
      <c r="L191" s="8">
        <v>166.015675838459</v>
      </c>
      <c r="M191" s="8">
        <v>-21.5146679487824</v>
      </c>
      <c r="N191" s="2">
        <v>3</v>
      </c>
      <c r="O191" s="2">
        <v>6</v>
      </c>
      <c r="P191" s="2">
        <v>6</v>
      </c>
      <c r="Q191" s="2" t="s">
        <v>35</v>
      </c>
      <c r="R191" s="2" t="s">
        <v>905</v>
      </c>
      <c r="S191" s="2" t="s">
        <v>47</v>
      </c>
      <c r="U191" s="2">
        <f>P191-N191</f>
        <v>3</v>
      </c>
      <c r="W191" s="30" t="s">
        <v>904</v>
      </c>
      <c r="X191" s="2" t="s">
        <v>39</v>
      </c>
      <c r="Y191" s="6" t="s">
        <v>903</v>
      </c>
      <c r="Z191" s="2" t="s">
        <v>40</v>
      </c>
      <c r="AA191" s="6" t="s">
        <v>903</v>
      </c>
      <c r="AB191" s="2" t="str">
        <f>LEFT(A191,3)</f>
        <v>KBO</v>
      </c>
    </row>
    <row r="192" spans="1:28">
      <c r="A192" s="6" t="s">
        <v>906</v>
      </c>
      <c r="B192" s="6" t="s">
        <v>67</v>
      </c>
      <c r="C192" s="6" t="s">
        <v>68</v>
      </c>
      <c r="D192" s="6" t="s">
        <v>907</v>
      </c>
      <c r="E192" s="6" t="s">
        <v>52</v>
      </c>
      <c r="F192" s="6" t="s">
        <v>908</v>
      </c>
      <c r="G192" s="6" t="s">
        <v>908</v>
      </c>
      <c r="H192" s="6" t="s">
        <v>908</v>
      </c>
      <c r="I192" s="2" t="s">
        <v>53</v>
      </c>
      <c r="J192" s="7">
        <v>281800</v>
      </c>
      <c r="K192" s="7">
        <v>348329</v>
      </c>
      <c r="L192" s="8">
        <v>164.86259000000001</v>
      </c>
      <c r="M192" s="8">
        <v>-21.059578999999999</v>
      </c>
      <c r="N192" s="2">
        <v>3</v>
      </c>
      <c r="O192" s="2">
        <v>6</v>
      </c>
      <c r="P192" s="2">
        <v>9</v>
      </c>
      <c r="Q192" s="2" t="s">
        <v>35</v>
      </c>
      <c r="R192" s="2" t="s">
        <v>909</v>
      </c>
      <c r="S192" s="2" t="s">
        <v>37</v>
      </c>
      <c r="U192" s="2">
        <f>P192-N192</f>
        <v>6</v>
      </c>
      <c r="W192" s="30" t="s">
        <v>52</v>
      </c>
      <c r="X192" s="2" t="s">
        <v>52</v>
      </c>
      <c r="Y192" s="6" t="s">
        <v>908</v>
      </c>
      <c r="Z192" s="2" t="s">
        <v>73</v>
      </c>
      <c r="AA192" s="6" t="s">
        <v>908</v>
      </c>
      <c r="AB192" s="2" t="str">
        <f>LEFT(A192,3)</f>
        <v>KBT</v>
      </c>
    </row>
    <row r="193" spans="1:28">
      <c r="A193" s="6" t="s">
        <v>910</v>
      </c>
      <c r="B193" s="6" t="s">
        <v>373</v>
      </c>
      <c r="C193" s="6" t="s">
        <v>129</v>
      </c>
      <c r="D193" s="6" t="s">
        <v>911</v>
      </c>
      <c r="E193" s="6" t="s">
        <v>911</v>
      </c>
      <c r="F193" s="6" t="s">
        <v>912</v>
      </c>
      <c r="G193" s="2" t="s">
        <v>913</v>
      </c>
      <c r="H193" s="2" t="s">
        <v>911</v>
      </c>
      <c r="I193" s="2" t="s">
        <v>34</v>
      </c>
      <c r="J193" s="7">
        <v>526144.64066000003</v>
      </c>
      <c r="K193" s="7">
        <v>350421.59840000002</v>
      </c>
      <c r="L193" s="8">
        <v>167.21370357633501</v>
      </c>
      <c r="M193" s="8">
        <v>-21.0401350870385</v>
      </c>
      <c r="N193" s="2">
        <v>3</v>
      </c>
      <c r="O193" s="2">
        <v>3</v>
      </c>
      <c r="P193" s="2">
        <f>N193</f>
        <v>3</v>
      </c>
      <c r="Q193" s="2" t="s">
        <v>35</v>
      </c>
      <c r="R193" s="2" t="s">
        <v>914</v>
      </c>
      <c r="S193" s="2" t="s">
        <v>47</v>
      </c>
      <c r="U193" s="2">
        <f>P193-N193</f>
        <v>0</v>
      </c>
      <c r="W193" s="30" t="s">
        <v>911</v>
      </c>
      <c r="X193" s="2" t="s">
        <v>82</v>
      </c>
      <c r="Y193" s="6" t="s">
        <v>912</v>
      </c>
      <c r="Z193" s="2" t="s">
        <v>73</v>
      </c>
      <c r="AA193" s="2" t="s">
        <v>913</v>
      </c>
      <c r="AB193" s="2" t="str">
        <f>LEFT(A193,3)</f>
        <v>KED</v>
      </c>
    </row>
    <row r="194" spans="1:28">
      <c r="A194" s="6" t="s">
        <v>915</v>
      </c>
      <c r="B194" s="6" t="s">
        <v>331</v>
      </c>
      <c r="C194" s="6" t="s">
        <v>43</v>
      </c>
      <c r="D194" s="6" t="s">
        <v>916</v>
      </c>
      <c r="E194" s="6" t="s">
        <v>52</v>
      </c>
      <c r="F194" s="6" t="s">
        <v>917</v>
      </c>
      <c r="G194" s="2" t="s">
        <v>917</v>
      </c>
      <c r="H194" s="2" t="s">
        <v>917</v>
      </c>
      <c r="I194" s="2" t="s">
        <v>53</v>
      </c>
      <c r="J194" s="7">
        <v>552423</v>
      </c>
      <c r="K194" s="7">
        <v>169450</v>
      </c>
      <c r="L194" s="8">
        <v>167.48304200000001</v>
      </c>
      <c r="M194" s="8">
        <v>-22.672491000000001</v>
      </c>
      <c r="N194" s="2">
        <v>2</v>
      </c>
      <c r="O194" s="2">
        <v>2</v>
      </c>
      <c r="P194" s="2">
        <f>N194</f>
        <v>2</v>
      </c>
      <c r="Q194" s="2" t="s">
        <v>35</v>
      </c>
      <c r="R194" s="2" t="s">
        <v>918</v>
      </c>
      <c r="S194" s="2" t="s">
        <v>47</v>
      </c>
      <c r="U194" s="2">
        <f>P194-N194</f>
        <v>0</v>
      </c>
      <c r="W194" s="30" t="s">
        <v>52</v>
      </c>
      <c r="X194" s="2" t="s">
        <v>52</v>
      </c>
      <c r="Y194" s="6" t="s">
        <v>917</v>
      </c>
      <c r="Z194" s="2" t="s">
        <v>40</v>
      </c>
      <c r="AA194" s="2" t="s">
        <v>917</v>
      </c>
      <c r="AB194" s="2" t="str">
        <f>LEFT(A194,3)</f>
        <v>KEE</v>
      </c>
    </row>
    <row r="195" spans="1:28">
      <c r="A195" s="6" t="s">
        <v>919</v>
      </c>
      <c r="B195" s="6" t="s">
        <v>421</v>
      </c>
      <c r="C195" s="6" t="s">
        <v>43</v>
      </c>
      <c r="D195" s="6" t="s">
        <v>920</v>
      </c>
      <c r="E195" s="6" t="s">
        <v>920</v>
      </c>
      <c r="F195" s="6" t="s">
        <v>920</v>
      </c>
      <c r="G195" s="2" t="s">
        <v>921</v>
      </c>
      <c r="H195" s="2" t="s">
        <v>920</v>
      </c>
      <c r="I195" s="2" t="s">
        <v>34</v>
      </c>
      <c r="J195" s="7">
        <v>360049.98499999999</v>
      </c>
      <c r="K195" s="7">
        <v>276425.63984999998</v>
      </c>
      <c r="L195" s="8">
        <v>165.61385566167201</v>
      </c>
      <c r="M195" s="8">
        <v>-21.712482099938999</v>
      </c>
      <c r="N195" s="2">
        <v>3</v>
      </c>
      <c r="O195" s="2">
        <v>3</v>
      </c>
      <c r="P195" s="2">
        <f>N195</f>
        <v>3</v>
      </c>
      <c r="Q195" s="2" t="s">
        <v>35</v>
      </c>
      <c r="R195" s="2" t="s">
        <v>922</v>
      </c>
      <c r="S195" s="2" t="s">
        <v>47</v>
      </c>
      <c r="U195" s="2">
        <f>P195-N195</f>
        <v>0</v>
      </c>
      <c r="W195" s="30" t="s">
        <v>920</v>
      </c>
      <c r="X195" s="2" t="s">
        <v>39</v>
      </c>
      <c r="Y195" s="6" t="s">
        <v>920</v>
      </c>
      <c r="Z195" s="2" t="s">
        <v>40</v>
      </c>
      <c r="AA195" s="2" t="s">
        <v>921</v>
      </c>
      <c r="AB195" s="2" t="str">
        <f>LEFT(A195,3)</f>
        <v>KEL</v>
      </c>
    </row>
    <row r="196" spans="1:28">
      <c r="A196" s="2" t="s">
        <v>923</v>
      </c>
      <c r="B196" s="2" t="s">
        <v>49</v>
      </c>
      <c r="C196" s="2" t="s">
        <v>50</v>
      </c>
      <c r="D196" s="6" t="s">
        <v>924</v>
      </c>
      <c r="E196" s="6" t="s">
        <v>52</v>
      </c>
      <c r="F196" s="6" t="s">
        <v>925</v>
      </c>
      <c r="G196" s="6" t="s">
        <v>925</v>
      </c>
      <c r="H196" s="6" t="s">
        <v>925</v>
      </c>
      <c r="I196" s="2" t="s">
        <v>53</v>
      </c>
      <c r="J196" s="7">
        <v>448940</v>
      </c>
      <c r="K196" s="7">
        <v>220192</v>
      </c>
      <c r="L196" s="9">
        <v>166.47469000000001</v>
      </c>
      <c r="M196" s="9">
        <v>-22.220140000000001</v>
      </c>
      <c r="N196" s="2">
        <v>1</v>
      </c>
      <c r="O196" s="2">
        <v>1</v>
      </c>
      <c r="P196" s="2">
        <v>1</v>
      </c>
      <c r="Q196" s="2" t="s">
        <v>35</v>
      </c>
      <c r="R196" s="2" t="s">
        <v>926</v>
      </c>
      <c r="S196" s="2" t="s">
        <v>37</v>
      </c>
      <c r="U196" s="2">
        <f>P196-N196</f>
        <v>0</v>
      </c>
      <c r="W196" s="30" t="s">
        <v>52</v>
      </c>
      <c r="X196" s="6" t="s">
        <v>52</v>
      </c>
      <c r="Y196" s="6" t="s">
        <v>925</v>
      </c>
      <c r="Z196" s="2" t="s">
        <v>40</v>
      </c>
      <c r="AA196" s="6" t="s">
        <v>925</v>
      </c>
      <c r="AB196" s="2" t="str">
        <f>LEFT(A196,3)</f>
        <v>KEN</v>
      </c>
    </row>
    <row r="197" spans="1:28">
      <c r="A197" s="6" t="s">
        <v>927</v>
      </c>
      <c r="B197" s="6" t="s">
        <v>207</v>
      </c>
      <c r="C197" s="6" t="s">
        <v>43</v>
      </c>
      <c r="D197" s="6" t="s">
        <v>928</v>
      </c>
      <c r="E197" s="6" t="s">
        <v>929</v>
      </c>
      <c r="F197" s="6" t="s">
        <v>928</v>
      </c>
      <c r="G197" s="6" t="s">
        <v>928</v>
      </c>
      <c r="H197" s="2" t="s">
        <v>929</v>
      </c>
      <c r="I197" s="2" t="s">
        <v>34</v>
      </c>
      <c r="J197" s="7">
        <v>409479.84179999999</v>
      </c>
      <c r="K197" s="7">
        <v>272717.70361000003</v>
      </c>
      <c r="L197" s="8">
        <v>166.091651935264</v>
      </c>
      <c r="M197" s="8">
        <v>-21.74639378314</v>
      </c>
      <c r="N197" s="2">
        <v>2</v>
      </c>
      <c r="O197" s="2">
        <v>2</v>
      </c>
      <c r="P197" s="2">
        <v>2</v>
      </c>
      <c r="Q197" s="2" t="s">
        <v>35</v>
      </c>
      <c r="R197" s="2" t="s">
        <v>930</v>
      </c>
      <c r="S197" s="2" t="s">
        <v>47</v>
      </c>
      <c r="U197" s="2">
        <f>P197-N197</f>
        <v>0</v>
      </c>
      <c r="V197" s="2" t="s">
        <v>102</v>
      </c>
      <c r="W197" s="30" t="s">
        <v>929</v>
      </c>
      <c r="X197" s="2" t="s">
        <v>39</v>
      </c>
      <c r="Y197" s="6" t="s">
        <v>928</v>
      </c>
      <c r="Z197" s="2" t="s">
        <v>40</v>
      </c>
      <c r="AA197" s="6" t="s">
        <v>928</v>
      </c>
      <c r="AB197" s="2" t="str">
        <f>LEFT(A197,3)</f>
        <v>KER</v>
      </c>
    </row>
    <row r="198" spans="1:28">
      <c r="A198" s="6" t="s">
        <v>931</v>
      </c>
      <c r="B198" s="6" t="s">
        <v>49</v>
      </c>
      <c r="C198" s="6" t="s">
        <v>50</v>
      </c>
      <c r="D198" s="6" t="s">
        <v>586</v>
      </c>
      <c r="E198" s="6" t="s">
        <v>586</v>
      </c>
      <c r="F198" s="6" t="s">
        <v>586</v>
      </c>
      <c r="G198" s="2" t="s">
        <v>932</v>
      </c>
      <c r="H198" s="2" t="s">
        <v>586</v>
      </c>
      <c r="I198" s="2" t="s">
        <v>34</v>
      </c>
      <c r="J198" s="7">
        <v>451908.14380000002</v>
      </c>
      <c r="K198" s="7">
        <v>224545.36507</v>
      </c>
      <c r="L198" s="8">
        <v>166.50334058094001</v>
      </c>
      <c r="M198" s="8">
        <v>-22.180744785678701</v>
      </c>
      <c r="N198" s="2">
        <v>1</v>
      </c>
      <c r="O198" s="2">
        <v>2</v>
      </c>
      <c r="P198" s="2">
        <v>2</v>
      </c>
      <c r="Q198" s="2" t="s">
        <v>35</v>
      </c>
      <c r="R198" s="2" t="s">
        <v>933</v>
      </c>
      <c r="S198" s="2" t="s">
        <v>37</v>
      </c>
      <c r="U198" s="2">
        <f>P198-N198</f>
        <v>1</v>
      </c>
      <c r="V198" s="2" t="s">
        <v>38</v>
      </c>
      <c r="W198" s="30" t="s">
        <v>586</v>
      </c>
      <c r="X198" s="2" t="s">
        <v>39</v>
      </c>
      <c r="Y198" s="6" t="s">
        <v>586</v>
      </c>
      <c r="Z198" s="2" t="s">
        <v>40</v>
      </c>
      <c r="AA198" s="2" t="s">
        <v>932</v>
      </c>
      <c r="AB198" s="2" t="str">
        <f>LEFT(A198,3)</f>
        <v>KGH</v>
      </c>
    </row>
    <row r="199" spans="1:28">
      <c r="A199" s="6" t="s">
        <v>934</v>
      </c>
      <c r="B199" s="6" t="s">
        <v>49</v>
      </c>
      <c r="C199" s="6" t="s">
        <v>50</v>
      </c>
      <c r="D199" s="6" t="s">
        <v>935</v>
      </c>
      <c r="E199" s="6" t="s">
        <v>52</v>
      </c>
      <c r="F199" s="6" t="s">
        <v>936</v>
      </c>
      <c r="G199" s="6" t="s">
        <v>936</v>
      </c>
      <c r="H199" s="6" t="s">
        <v>936</v>
      </c>
      <c r="I199" s="2" t="s">
        <v>53</v>
      </c>
      <c r="J199" s="7">
        <v>450412</v>
      </c>
      <c r="K199" s="7">
        <v>224134</v>
      </c>
      <c r="L199" s="8">
        <v>166.48884699999999</v>
      </c>
      <c r="M199" s="8">
        <v>-22.184498999999999</v>
      </c>
      <c r="N199" s="2">
        <v>2</v>
      </c>
      <c r="O199" s="2">
        <v>2</v>
      </c>
      <c r="P199" s="2">
        <v>4</v>
      </c>
      <c r="Q199" s="2" t="s">
        <v>35</v>
      </c>
      <c r="R199" s="2" t="s">
        <v>937</v>
      </c>
      <c r="S199" s="2" t="s">
        <v>37</v>
      </c>
      <c r="U199" s="2">
        <f>P199-N199</f>
        <v>2</v>
      </c>
      <c r="V199" s="2" t="s">
        <v>38</v>
      </c>
      <c r="W199" s="30" t="s">
        <v>52</v>
      </c>
      <c r="X199" s="2" t="s">
        <v>52</v>
      </c>
      <c r="Y199" s="6" t="s">
        <v>938</v>
      </c>
      <c r="Z199" s="2" t="s">
        <v>40</v>
      </c>
      <c r="AA199" s="6" t="s">
        <v>938</v>
      </c>
      <c r="AB199" s="2" t="str">
        <f>LEFT(A199,3)</f>
        <v>KGR</v>
      </c>
    </row>
    <row r="200" spans="1:28">
      <c r="A200" s="6" t="s">
        <v>939</v>
      </c>
      <c r="B200" s="2" t="s">
        <v>373</v>
      </c>
      <c r="C200" s="2" t="s">
        <v>129</v>
      </c>
      <c r="D200" s="6" t="s">
        <v>940</v>
      </c>
      <c r="E200" s="6" t="s">
        <v>940</v>
      </c>
      <c r="F200" s="6" t="s">
        <v>940</v>
      </c>
      <c r="G200" s="2" t="s">
        <v>870</v>
      </c>
      <c r="H200" s="2" t="s">
        <v>940</v>
      </c>
      <c r="I200" s="2" t="s">
        <v>145</v>
      </c>
      <c r="J200" s="7">
        <v>540789</v>
      </c>
      <c r="K200" s="7">
        <v>361159</v>
      </c>
      <c r="L200" s="9">
        <v>167.35369952626101</v>
      </c>
      <c r="M200" s="8">
        <v>-20.942068736329102</v>
      </c>
      <c r="N200" s="2">
        <v>2</v>
      </c>
      <c r="O200" s="2">
        <v>2</v>
      </c>
      <c r="P200" s="2">
        <v>2</v>
      </c>
      <c r="Q200" s="2" t="s">
        <v>35</v>
      </c>
      <c r="R200" s="2" t="s">
        <v>941</v>
      </c>
      <c r="S200" s="2" t="s">
        <v>47</v>
      </c>
      <c r="U200" s="2">
        <f>P200-N200</f>
        <v>0</v>
      </c>
      <c r="W200" s="30" t="s">
        <v>940</v>
      </c>
      <c r="X200" s="2" t="s">
        <v>82</v>
      </c>
      <c r="Y200" s="6" t="s">
        <v>870</v>
      </c>
      <c r="Z200" s="2" t="s">
        <v>73</v>
      </c>
      <c r="AA200" s="2" t="s">
        <v>870</v>
      </c>
      <c r="AB200" s="2" t="str">
        <f>LEFT(A200,3)</f>
        <v>KIA</v>
      </c>
    </row>
    <row r="201" spans="1:28">
      <c r="A201" s="6" t="s">
        <v>942</v>
      </c>
      <c r="B201" s="6" t="s">
        <v>49</v>
      </c>
      <c r="C201" s="6" t="s">
        <v>50</v>
      </c>
      <c r="D201" s="6" t="s">
        <v>943</v>
      </c>
      <c r="E201" s="6" t="s">
        <v>943</v>
      </c>
      <c r="F201" s="6" t="s">
        <v>943</v>
      </c>
      <c r="G201" s="2" t="s">
        <v>944</v>
      </c>
      <c r="H201" s="2" t="s">
        <v>943</v>
      </c>
      <c r="I201" s="2" t="s">
        <v>34</v>
      </c>
      <c r="J201" s="7">
        <v>448696.86807000003</v>
      </c>
      <c r="K201" s="7">
        <v>219822.39327999999</v>
      </c>
      <c r="L201" s="8">
        <v>166.472342787294</v>
      </c>
      <c r="M201" s="8">
        <v>-22.223488516696499</v>
      </c>
      <c r="N201" s="2">
        <v>3</v>
      </c>
      <c r="O201" s="2">
        <v>6</v>
      </c>
      <c r="P201" s="2">
        <v>6</v>
      </c>
      <c r="Q201" s="2" t="s">
        <v>35</v>
      </c>
      <c r="R201" s="2" t="s">
        <v>945</v>
      </c>
      <c r="S201" s="2" t="s">
        <v>37</v>
      </c>
      <c r="U201" s="2">
        <f>P201-N201</f>
        <v>3</v>
      </c>
      <c r="V201" s="2" t="s">
        <v>38</v>
      </c>
      <c r="W201" s="30" t="s">
        <v>52</v>
      </c>
      <c r="X201" s="2" t="s">
        <v>39</v>
      </c>
      <c r="Y201" s="6" t="s">
        <v>943</v>
      </c>
      <c r="Z201" s="2" t="s">
        <v>40</v>
      </c>
      <c r="AA201" s="2" t="s">
        <v>944</v>
      </c>
      <c r="AB201" s="2" t="str">
        <f>LEFT(A201,3)</f>
        <v>KIN</v>
      </c>
    </row>
    <row r="202" spans="1:28">
      <c r="A202" s="6" t="s">
        <v>946</v>
      </c>
      <c r="B202" s="6" t="s">
        <v>56</v>
      </c>
      <c r="C202" s="6" t="s">
        <v>50</v>
      </c>
      <c r="D202" s="6" t="s">
        <v>947</v>
      </c>
      <c r="E202" s="6" t="s">
        <v>947</v>
      </c>
      <c r="F202" s="6" t="s">
        <v>947</v>
      </c>
      <c r="G202" s="2" t="s">
        <v>948</v>
      </c>
      <c r="H202" s="2" t="s">
        <v>947</v>
      </c>
      <c r="I202" s="2" t="s">
        <v>34</v>
      </c>
      <c r="J202" s="7">
        <v>419861.71029000002</v>
      </c>
      <c r="K202" s="7">
        <v>233091.68517000001</v>
      </c>
      <c r="L202" s="8">
        <v>166.19249600558899</v>
      </c>
      <c r="M202" s="8">
        <v>-22.104199542820599</v>
      </c>
      <c r="N202" s="2">
        <v>3</v>
      </c>
      <c r="O202" s="2">
        <v>6</v>
      </c>
      <c r="P202" s="2">
        <v>6</v>
      </c>
      <c r="Q202" s="2" t="s">
        <v>35</v>
      </c>
      <c r="R202" s="2" t="s">
        <v>949</v>
      </c>
      <c r="S202" s="2" t="s">
        <v>47</v>
      </c>
      <c r="U202" s="2">
        <f>P202-N202</f>
        <v>3</v>
      </c>
      <c r="W202" s="30" t="s">
        <v>947</v>
      </c>
      <c r="X202" s="2" t="s">
        <v>39</v>
      </c>
      <c r="Y202" s="6" t="s">
        <v>947</v>
      </c>
      <c r="Z202" s="2" t="s">
        <v>40</v>
      </c>
      <c r="AA202" s="2" t="s">
        <v>948</v>
      </c>
      <c r="AB202" s="2" t="str">
        <f>LEFT(A202,3)</f>
        <v>KKT</v>
      </c>
    </row>
    <row r="203" spans="1:28">
      <c r="A203" s="2" t="s">
        <v>950</v>
      </c>
      <c r="B203" s="2" t="s">
        <v>684</v>
      </c>
      <c r="C203" s="2" t="s">
        <v>68</v>
      </c>
      <c r="D203" s="6" t="s">
        <v>951</v>
      </c>
      <c r="E203" s="2" t="s">
        <v>52</v>
      </c>
      <c r="F203" s="6" t="s">
        <v>952</v>
      </c>
      <c r="G203" s="6" t="s">
        <v>952</v>
      </c>
      <c r="H203" s="6" t="s">
        <v>952</v>
      </c>
      <c r="I203" s="2" t="s">
        <v>53</v>
      </c>
      <c r="J203" s="7">
        <v>294994</v>
      </c>
      <c r="K203" s="7">
        <v>389019</v>
      </c>
      <c r="L203" s="9">
        <v>164.99207100000001</v>
      </c>
      <c r="M203" s="8">
        <v>-20.692869999999999</v>
      </c>
      <c r="N203" s="2">
        <v>2</v>
      </c>
      <c r="O203" s="2">
        <v>2</v>
      </c>
      <c r="P203" s="2">
        <f>N203</f>
        <v>2</v>
      </c>
      <c r="Q203" s="2" t="s">
        <v>86</v>
      </c>
      <c r="R203" s="2" t="s">
        <v>953</v>
      </c>
      <c r="S203" s="2" t="s">
        <v>47</v>
      </c>
      <c r="U203" s="2">
        <f>P203-N203</f>
        <v>0</v>
      </c>
      <c r="W203" s="30" t="s">
        <v>52</v>
      </c>
      <c r="X203" s="6" t="s">
        <v>52</v>
      </c>
      <c r="Y203" s="6" t="s">
        <v>952</v>
      </c>
      <c r="Z203" s="2" t="s">
        <v>73</v>
      </c>
      <c r="AA203" s="6" t="s">
        <v>952</v>
      </c>
      <c r="AB203" s="2" t="str">
        <f>LEFT(A203,3)</f>
        <v>KLE</v>
      </c>
    </row>
    <row r="204" spans="1:28">
      <c r="A204" s="6" t="s">
        <v>954</v>
      </c>
      <c r="B204" s="6" t="s">
        <v>368</v>
      </c>
      <c r="C204" s="6" t="s">
        <v>68</v>
      </c>
      <c r="D204" s="6" t="s">
        <v>368</v>
      </c>
      <c r="E204" s="6" t="s">
        <v>368</v>
      </c>
      <c r="F204" s="6" t="s">
        <v>955</v>
      </c>
      <c r="G204" s="2" t="s">
        <v>956</v>
      </c>
      <c r="H204" s="2" t="s">
        <v>368</v>
      </c>
      <c r="I204" s="2" t="s">
        <v>34</v>
      </c>
      <c r="J204" s="7">
        <v>220643.23853999999</v>
      </c>
      <c r="K204" s="7">
        <v>403221.91518000001</v>
      </c>
      <c r="L204" s="8">
        <v>164.27994216814099</v>
      </c>
      <c r="M204" s="8">
        <v>-20.558729601265199</v>
      </c>
      <c r="N204" s="2">
        <v>3</v>
      </c>
      <c r="O204" s="2">
        <v>6</v>
      </c>
      <c r="P204" s="2">
        <f>N204</f>
        <v>3</v>
      </c>
      <c r="Q204" s="2" t="s">
        <v>35</v>
      </c>
      <c r="R204" s="2" t="s">
        <v>957</v>
      </c>
      <c r="S204" s="2" t="s">
        <v>37</v>
      </c>
      <c r="U204" s="2">
        <f>P204-N204</f>
        <v>0</v>
      </c>
      <c r="W204" s="30" t="s">
        <v>52</v>
      </c>
      <c r="X204" s="2" t="s">
        <v>82</v>
      </c>
      <c r="Y204" s="6" t="s">
        <v>955</v>
      </c>
      <c r="Z204" s="2" t="s">
        <v>73</v>
      </c>
      <c r="AA204" s="2" t="s">
        <v>956</v>
      </c>
      <c r="AB204" s="2" t="str">
        <f>LEFT(A204,3)</f>
        <v>KMC</v>
      </c>
    </row>
    <row r="205" spans="1:28">
      <c r="A205" s="6" t="s">
        <v>958</v>
      </c>
      <c r="B205" s="6" t="s">
        <v>373</v>
      </c>
      <c r="C205" s="6" t="s">
        <v>129</v>
      </c>
      <c r="D205" s="6" t="s">
        <v>959</v>
      </c>
      <c r="E205" s="6" t="s">
        <v>959</v>
      </c>
      <c r="F205" s="6" t="s">
        <v>959</v>
      </c>
      <c r="G205" s="2" t="s">
        <v>52</v>
      </c>
      <c r="H205" s="2" t="s">
        <v>959</v>
      </c>
      <c r="I205" s="2" t="s">
        <v>34</v>
      </c>
      <c r="J205" s="7">
        <v>527192.66469999996</v>
      </c>
      <c r="K205" s="7">
        <v>379020.59726000001</v>
      </c>
      <c r="L205" s="8">
        <v>167.22163621462599</v>
      </c>
      <c r="M205" s="8">
        <v>-20.781745989572901</v>
      </c>
      <c r="N205" s="2">
        <v>3</v>
      </c>
      <c r="O205" s="2">
        <v>3</v>
      </c>
      <c r="P205" s="2">
        <v>0</v>
      </c>
      <c r="Q205" s="2" t="s">
        <v>35</v>
      </c>
      <c r="R205" s="2" t="s">
        <v>960</v>
      </c>
      <c r="S205" s="2" t="s">
        <v>47</v>
      </c>
      <c r="U205" s="2">
        <f>P205-N205</f>
        <v>-3</v>
      </c>
      <c r="W205" s="30" t="s">
        <v>959</v>
      </c>
      <c r="X205" s="2" t="s">
        <v>82</v>
      </c>
      <c r="Y205" s="6" t="s">
        <v>959</v>
      </c>
      <c r="Z205" s="2" t="s">
        <v>73</v>
      </c>
      <c r="AA205" s="2" t="s">
        <v>52</v>
      </c>
      <c r="AB205" s="2" t="str">
        <f>LEFT(A205,3)</f>
        <v>KMO</v>
      </c>
    </row>
    <row r="206" spans="1:28">
      <c r="A206" s="6" t="s">
        <v>961</v>
      </c>
      <c r="B206" s="6" t="s">
        <v>249</v>
      </c>
      <c r="C206" s="6" t="s">
        <v>68</v>
      </c>
      <c r="D206" s="6" t="s">
        <v>962</v>
      </c>
      <c r="E206" s="6" t="s">
        <v>962</v>
      </c>
      <c r="F206" s="6" t="s">
        <v>963</v>
      </c>
      <c r="G206" s="2" t="s">
        <v>964</v>
      </c>
      <c r="H206" s="2" t="s">
        <v>962</v>
      </c>
      <c r="I206" s="2" t="s">
        <v>34</v>
      </c>
      <c r="J206" s="7">
        <v>263037.44520999998</v>
      </c>
      <c r="K206" s="7">
        <v>353875.48573999997</v>
      </c>
      <c r="L206" s="8">
        <v>164.682495812562</v>
      </c>
      <c r="M206" s="8">
        <v>-21.0081552877508</v>
      </c>
      <c r="N206" s="2">
        <v>3</v>
      </c>
      <c r="O206" s="2">
        <v>6</v>
      </c>
      <c r="P206" s="2">
        <v>6</v>
      </c>
      <c r="Q206" s="2" t="s">
        <v>35</v>
      </c>
      <c r="R206" s="2" t="s">
        <v>965</v>
      </c>
      <c r="S206" s="2" t="s">
        <v>37</v>
      </c>
      <c r="U206" s="2">
        <f>P206-N206</f>
        <v>3</v>
      </c>
      <c r="W206" s="30" t="s">
        <v>962</v>
      </c>
      <c r="X206" s="2" t="s">
        <v>82</v>
      </c>
      <c r="Y206" s="6" t="s">
        <v>963</v>
      </c>
      <c r="Z206" s="2" t="s">
        <v>73</v>
      </c>
      <c r="AA206" s="2" t="s">
        <v>964</v>
      </c>
      <c r="AB206" s="2" t="str">
        <f>LEFT(A206,3)</f>
        <v>KNS</v>
      </c>
    </row>
    <row r="207" spans="1:28">
      <c r="A207" s="6" t="s">
        <v>966</v>
      </c>
      <c r="B207" s="6" t="s">
        <v>609</v>
      </c>
      <c r="C207" s="6" t="s">
        <v>68</v>
      </c>
      <c r="D207" s="6" t="s">
        <v>967</v>
      </c>
      <c r="E207" s="6" t="s">
        <v>52</v>
      </c>
      <c r="F207" s="6" t="s">
        <v>968</v>
      </c>
      <c r="G207" s="2" t="s">
        <v>968</v>
      </c>
      <c r="H207" s="2" t="s">
        <v>609</v>
      </c>
      <c r="I207" s="2" t="s">
        <v>53</v>
      </c>
      <c r="J207" s="7">
        <v>382031</v>
      </c>
      <c r="K207" s="7">
        <v>311542</v>
      </c>
      <c r="L207" s="8">
        <v>165.82669300000001</v>
      </c>
      <c r="M207" s="8">
        <v>-21.395657</v>
      </c>
      <c r="N207" s="2">
        <v>3</v>
      </c>
      <c r="O207" s="2">
        <v>3</v>
      </c>
      <c r="P207" s="2">
        <f>N207</f>
        <v>3</v>
      </c>
      <c r="Q207" s="2" t="s">
        <v>35</v>
      </c>
      <c r="R207" s="2" t="s">
        <v>969</v>
      </c>
      <c r="S207" s="2" t="s">
        <v>47</v>
      </c>
      <c r="U207" s="2">
        <f>P207-N207</f>
        <v>0</v>
      </c>
      <c r="W207" s="30" t="s">
        <v>52</v>
      </c>
      <c r="X207" s="2" t="s">
        <v>52</v>
      </c>
      <c r="Y207" s="6" t="s">
        <v>970</v>
      </c>
      <c r="Z207" s="2" t="s">
        <v>73</v>
      </c>
      <c r="AA207" s="6" t="s">
        <v>970</v>
      </c>
      <c r="AB207" s="2" t="str">
        <f>LEFT(A207,3)</f>
        <v>KOA</v>
      </c>
    </row>
    <row r="208" spans="1:28">
      <c r="A208" s="6" t="s">
        <v>971</v>
      </c>
      <c r="B208" s="6" t="s">
        <v>331</v>
      </c>
      <c r="C208" s="6" t="s">
        <v>43</v>
      </c>
      <c r="D208" s="6" t="s">
        <v>972</v>
      </c>
      <c r="E208" s="6" t="s">
        <v>973</v>
      </c>
      <c r="F208" s="6" t="s">
        <v>974</v>
      </c>
      <c r="G208" s="2" t="s">
        <v>974</v>
      </c>
      <c r="H208" s="2" t="s">
        <v>975</v>
      </c>
      <c r="I208" s="2" t="s">
        <v>34</v>
      </c>
      <c r="J208" s="7">
        <v>546662.63026999997</v>
      </c>
      <c r="K208" s="7">
        <v>178687.80257</v>
      </c>
      <c r="L208" s="8">
        <v>167.42618140367301</v>
      </c>
      <c r="M208" s="8">
        <v>-22.589564348092001</v>
      </c>
      <c r="N208" s="2">
        <v>2</v>
      </c>
      <c r="O208" s="2">
        <v>2</v>
      </c>
      <c r="P208" s="2">
        <v>2</v>
      </c>
      <c r="Q208" s="2" t="s">
        <v>35</v>
      </c>
      <c r="R208" s="2" t="s">
        <v>976</v>
      </c>
      <c r="S208" s="2" t="s">
        <v>47</v>
      </c>
      <c r="U208" s="2">
        <f>P208-N208</f>
        <v>0</v>
      </c>
      <c r="V208" s="2" t="s">
        <v>102</v>
      </c>
      <c r="W208" s="30" t="s">
        <v>52</v>
      </c>
      <c r="X208" s="2" t="s">
        <v>39</v>
      </c>
      <c r="Y208" s="6" t="s">
        <v>974</v>
      </c>
      <c r="Z208" s="2" t="s">
        <v>40</v>
      </c>
      <c r="AA208" s="2" t="s">
        <v>974</v>
      </c>
      <c r="AB208" s="2" t="str">
        <f>LEFT(A208,3)</f>
        <v>KOD</v>
      </c>
    </row>
    <row r="209" spans="1:28">
      <c r="A209" s="6" t="s">
        <v>977</v>
      </c>
      <c r="B209" s="6" t="s">
        <v>978</v>
      </c>
      <c r="C209" s="6" t="s">
        <v>68</v>
      </c>
      <c r="D209" s="6" t="s">
        <v>619</v>
      </c>
      <c r="E209" s="6" t="s">
        <v>619</v>
      </c>
      <c r="F209" s="6" t="s">
        <v>979</v>
      </c>
      <c r="G209" s="2" t="s">
        <v>980</v>
      </c>
      <c r="H209" s="2" t="s">
        <v>979</v>
      </c>
      <c r="I209" s="2" t="s">
        <v>34</v>
      </c>
      <c r="J209" s="7">
        <v>322835.77844000002</v>
      </c>
      <c r="K209" s="7">
        <v>377701.72301000002</v>
      </c>
      <c r="L209" s="8">
        <v>165.25880206053</v>
      </c>
      <c r="M209" s="8">
        <v>-20.796496597180699</v>
      </c>
      <c r="N209" s="2">
        <v>2</v>
      </c>
      <c r="O209" s="2">
        <v>2</v>
      </c>
      <c r="P209" s="2">
        <v>2</v>
      </c>
      <c r="Q209" s="2" t="s">
        <v>35</v>
      </c>
      <c r="R209" s="2" t="s">
        <v>619</v>
      </c>
      <c r="S209" s="2" t="s">
        <v>47</v>
      </c>
      <c r="U209" s="2">
        <f>P209-N209</f>
        <v>0</v>
      </c>
      <c r="W209" s="30" t="s">
        <v>619</v>
      </c>
      <c r="X209" s="2" t="s">
        <v>82</v>
      </c>
      <c r="Y209" s="6" t="s">
        <v>979</v>
      </c>
      <c r="Z209" s="2" t="s">
        <v>73</v>
      </c>
      <c r="AA209" s="2" t="s">
        <v>980</v>
      </c>
      <c r="AB209" s="2" t="str">
        <f>LEFT(A209,3)</f>
        <v>KOE</v>
      </c>
    </row>
    <row r="210" spans="1:28">
      <c r="A210" s="2" t="s">
        <v>981</v>
      </c>
      <c r="B210" s="2" t="s">
        <v>49</v>
      </c>
      <c r="C210" s="2" t="s">
        <v>50</v>
      </c>
      <c r="D210" s="2" t="s">
        <v>982</v>
      </c>
      <c r="E210" s="2" t="s">
        <v>52</v>
      </c>
      <c r="F210" s="2" t="s">
        <v>936</v>
      </c>
      <c r="G210" s="2" t="s">
        <v>936</v>
      </c>
      <c r="H210" s="2" t="s">
        <v>936</v>
      </c>
      <c r="I210" s="2" t="s">
        <v>53</v>
      </c>
      <c r="J210" s="2">
        <v>449738</v>
      </c>
      <c r="K210" s="2">
        <v>224833</v>
      </c>
      <c r="L210" s="2">
        <v>166.48229000000001</v>
      </c>
      <c r="M210" s="2">
        <v>-22.17821</v>
      </c>
      <c r="N210" s="17">
        <v>2</v>
      </c>
      <c r="O210" s="2">
        <v>2</v>
      </c>
      <c r="P210" s="2">
        <v>2</v>
      </c>
      <c r="Q210" s="2" t="s">
        <v>35</v>
      </c>
      <c r="R210" s="2" t="s">
        <v>983</v>
      </c>
      <c r="S210" s="17" t="s">
        <v>37</v>
      </c>
      <c r="T210"/>
      <c r="U210" s="2">
        <f>P210-N210</f>
        <v>0</v>
      </c>
      <c r="V210"/>
      <c r="W210" s="30" t="s">
        <v>52</v>
      </c>
      <c r="X210" s="6" t="s">
        <v>52</v>
      </c>
      <c r="Y210" s="2" t="s">
        <v>936</v>
      </c>
      <c r="Z210" s="2" t="s">
        <v>40</v>
      </c>
      <c r="AA210" s="2" t="s">
        <v>936</v>
      </c>
      <c r="AB210" s="2" t="str">
        <f>LEFT(A210,3)</f>
        <v>KOG</v>
      </c>
    </row>
    <row r="211" spans="1:28">
      <c r="A211" s="6" t="s">
        <v>984</v>
      </c>
      <c r="B211" s="6" t="s">
        <v>98</v>
      </c>
      <c r="C211" s="6" t="s">
        <v>68</v>
      </c>
      <c r="D211" s="6" t="s">
        <v>985</v>
      </c>
      <c r="E211" s="6" t="s">
        <v>985</v>
      </c>
      <c r="F211" s="6" t="s">
        <v>986</v>
      </c>
      <c r="G211" s="2" t="s">
        <v>986</v>
      </c>
      <c r="H211" s="2" t="s">
        <v>112</v>
      </c>
      <c r="I211" s="2" t="s">
        <v>34</v>
      </c>
      <c r="J211" s="7">
        <v>383219.9129</v>
      </c>
      <c r="K211" s="7">
        <v>295827.70587000001</v>
      </c>
      <c r="L211" s="8">
        <v>165.83800377656499</v>
      </c>
      <c r="M211" s="8">
        <v>-21.537604759326701</v>
      </c>
      <c r="N211" s="2">
        <v>3</v>
      </c>
      <c r="O211" s="2">
        <v>3</v>
      </c>
      <c r="P211" s="2">
        <v>3</v>
      </c>
      <c r="Q211" s="2" t="s">
        <v>35</v>
      </c>
      <c r="R211" s="2" t="s">
        <v>985</v>
      </c>
      <c r="S211" s="2" t="s">
        <v>47</v>
      </c>
      <c r="U211" s="2">
        <f>P211-N211</f>
        <v>0</v>
      </c>
      <c r="W211" s="30" t="s">
        <v>985</v>
      </c>
      <c r="X211" s="2" t="s">
        <v>39</v>
      </c>
      <c r="Y211" s="6" t="s">
        <v>986</v>
      </c>
      <c r="Z211" s="2" t="s">
        <v>40</v>
      </c>
      <c r="AA211" s="2" t="s">
        <v>986</v>
      </c>
      <c r="AB211" s="2" t="str">
        <f>LEFT(A211,3)</f>
        <v>KOH</v>
      </c>
    </row>
    <row r="212" spans="1:28">
      <c r="A212" s="6" t="s">
        <v>987</v>
      </c>
      <c r="B212" s="6" t="s">
        <v>602</v>
      </c>
      <c r="C212" s="6" t="s">
        <v>43</v>
      </c>
      <c r="D212" s="6" t="s">
        <v>988</v>
      </c>
      <c r="E212" s="6" t="s">
        <v>603</v>
      </c>
      <c r="F212" s="6" t="s">
        <v>604</v>
      </c>
      <c r="G212" s="2" t="s">
        <v>605</v>
      </c>
      <c r="H212" s="2" t="s">
        <v>606</v>
      </c>
      <c r="I212" s="2" t="s">
        <v>34</v>
      </c>
      <c r="J212" s="7">
        <v>395957.01906999998</v>
      </c>
      <c r="K212" s="7">
        <v>286271.93666000001</v>
      </c>
      <c r="L212" s="8">
        <v>165.96094531016001</v>
      </c>
      <c r="M212" s="8">
        <v>-21.623991883469401</v>
      </c>
      <c r="N212" s="2">
        <v>1</v>
      </c>
      <c r="O212" s="2">
        <v>1</v>
      </c>
      <c r="P212" s="2">
        <v>1</v>
      </c>
      <c r="Q212" s="2" t="s">
        <v>35</v>
      </c>
      <c r="R212" s="2" t="s">
        <v>989</v>
      </c>
      <c r="S212" s="2" t="s">
        <v>47</v>
      </c>
      <c r="U212" s="2">
        <f>P212-N212</f>
        <v>0</v>
      </c>
      <c r="W212" s="30" t="s">
        <v>990</v>
      </c>
      <c r="X212" s="2" t="s">
        <v>39</v>
      </c>
      <c r="Y212" s="6" t="s">
        <v>991</v>
      </c>
      <c r="Z212" s="2" t="s">
        <v>40</v>
      </c>
      <c r="AA212" s="2" t="s">
        <v>992</v>
      </c>
      <c r="AB212" s="2" t="str">
        <f>LEFT(A212,3)</f>
        <v>KOI</v>
      </c>
    </row>
    <row r="213" spans="1:28">
      <c r="A213" s="2" t="s">
        <v>993</v>
      </c>
      <c r="B213" s="2" t="s">
        <v>368</v>
      </c>
      <c r="C213" s="2" t="s">
        <v>68</v>
      </c>
      <c r="D213" s="2" t="s">
        <v>994</v>
      </c>
      <c r="E213" s="2" t="s">
        <v>52</v>
      </c>
      <c r="F213" s="2" t="s">
        <v>995</v>
      </c>
      <c r="G213" s="2" t="s">
        <v>995</v>
      </c>
      <c r="H213" s="2" t="s">
        <v>995</v>
      </c>
      <c r="I213" s="2" t="s">
        <v>53</v>
      </c>
      <c r="J213" s="7">
        <v>223399</v>
      </c>
      <c r="K213" s="7">
        <v>401796</v>
      </c>
      <c r="L213" s="8">
        <v>164.30622</v>
      </c>
      <c r="M213" s="8">
        <v>-20.57188</v>
      </c>
      <c r="N213" s="2">
        <v>3</v>
      </c>
      <c r="O213" s="2">
        <v>6</v>
      </c>
      <c r="P213" s="2">
        <v>6</v>
      </c>
      <c r="Q213" s="2" t="s">
        <v>35</v>
      </c>
      <c r="R213" s="2" t="s">
        <v>996</v>
      </c>
      <c r="S213" s="2" t="s">
        <v>47</v>
      </c>
      <c r="U213" s="2">
        <v>0</v>
      </c>
      <c r="W213" s="30" t="s">
        <v>52</v>
      </c>
      <c r="X213" s="6" t="s">
        <v>52</v>
      </c>
      <c r="Y213" s="2" t="s">
        <v>995</v>
      </c>
      <c r="Z213" s="2" t="s">
        <v>73</v>
      </c>
      <c r="AA213" s="2" t="s">
        <v>995</v>
      </c>
      <c r="AB213" s="2" t="str">
        <f>LEFT(A213,3)</f>
        <v>KOK</v>
      </c>
    </row>
    <row r="214" spans="1:28">
      <c r="A214" s="6" t="s">
        <v>997</v>
      </c>
      <c r="B214" s="6" t="s">
        <v>67</v>
      </c>
      <c r="C214" s="6" t="s">
        <v>68</v>
      </c>
      <c r="D214" s="6" t="s">
        <v>67</v>
      </c>
      <c r="E214" s="6" t="s">
        <v>67</v>
      </c>
      <c r="F214" s="6" t="s">
        <v>67</v>
      </c>
      <c r="G214" s="2" t="s">
        <v>998</v>
      </c>
      <c r="H214" s="2" t="s">
        <v>67</v>
      </c>
      <c r="I214" s="2" t="s">
        <v>34</v>
      </c>
      <c r="J214" s="7">
        <v>281832</v>
      </c>
      <c r="K214" s="7">
        <v>348311</v>
      </c>
      <c r="L214" s="8">
        <v>164.8629</v>
      </c>
      <c r="M214" s="8">
        <v>-21.059740000000001</v>
      </c>
      <c r="N214" s="2">
        <v>3</v>
      </c>
      <c r="O214" s="2">
        <v>6</v>
      </c>
      <c r="P214" s="2">
        <f>N214</f>
        <v>3</v>
      </c>
      <c r="Q214" s="2" t="s">
        <v>35</v>
      </c>
      <c r="R214" s="2" t="s">
        <v>999</v>
      </c>
      <c r="S214" s="2" t="s">
        <v>37</v>
      </c>
      <c r="U214" s="2">
        <f>P214-N214</f>
        <v>0</v>
      </c>
      <c r="W214" s="30" t="s">
        <v>52</v>
      </c>
      <c r="X214" s="2" t="s">
        <v>82</v>
      </c>
      <c r="Y214" s="6" t="s">
        <v>67</v>
      </c>
      <c r="Z214" s="2" t="s">
        <v>73</v>
      </c>
      <c r="AA214" s="2" t="s">
        <v>998</v>
      </c>
      <c r="AB214" s="2" t="str">
        <f>LEFT(A214,3)</f>
        <v>KON</v>
      </c>
    </row>
    <row r="215" spans="1:28">
      <c r="A215" s="6" t="s">
        <v>1000</v>
      </c>
      <c r="B215" s="6" t="s">
        <v>178</v>
      </c>
      <c r="C215" s="6" t="s">
        <v>68</v>
      </c>
      <c r="D215" s="6" t="s">
        <v>1001</v>
      </c>
      <c r="E215" s="6" t="s">
        <v>1001</v>
      </c>
      <c r="F215" s="6" t="s">
        <v>1002</v>
      </c>
      <c r="G215" s="2" t="s">
        <v>1003</v>
      </c>
      <c r="H215" s="2" t="s">
        <v>182</v>
      </c>
      <c r="I215" s="2" t="s">
        <v>34</v>
      </c>
      <c r="J215" s="7">
        <v>298763.01579999999</v>
      </c>
      <c r="K215" s="7">
        <v>336623.78099</v>
      </c>
      <c r="L215" s="8">
        <v>165.02511377149901</v>
      </c>
      <c r="M215" s="8">
        <v>-21.166339570559298</v>
      </c>
      <c r="N215" s="2">
        <v>3</v>
      </c>
      <c r="O215" s="2">
        <v>6</v>
      </c>
      <c r="P215" s="2">
        <f>N215</f>
        <v>3</v>
      </c>
      <c r="Q215" s="2" t="s">
        <v>35</v>
      </c>
      <c r="R215" s="2" t="s">
        <v>1004</v>
      </c>
      <c r="S215" s="2" t="s">
        <v>47</v>
      </c>
      <c r="T215" s="2" t="s">
        <v>205</v>
      </c>
      <c r="U215" s="2">
        <f>P215-N215</f>
        <v>0</v>
      </c>
      <c r="W215" s="30" t="s">
        <v>1001</v>
      </c>
      <c r="X215" s="2" t="s">
        <v>82</v>
      </c>
      <c r="Y215" s="6" t="s">
        <v>1002</v>
      </c>
      <c r="Z215" s="2" t="s">
        <v>73</v>
      </c>
      <c r="AA215" s="2" t="s">
        <v>1003</v>
      </c>
      <c r="AB215" s="2" t="str">
        <f>LEFT(A215,3)</f>
        <v>KOP</v>
      </c>
    </row>
    <row r="216" spans="1:28">
      <c r="A216" s="6" t="s">
        <v>1005</v>
      </c>
      <c r="B216" s="6" t="s">
        <v>609</v>
      </c>
      <c r="C216" s="6" t="s">
        <v>68</v>
      </c>
      <c r="D216" s="6" t="s">
        <v>609</v>
      </c>
      <c r="E216" s="6" t="s">
        <v>52</v>
      </c>
      <c r="F216" s="6" t="s">
        <v>968</v>
      </c>
      <c r="G216" s="2" t="s">
        <v>968</v>
      </c>
      <c r="H216" s="2" t="s">
        <v>609</v>
      </c>
      <c r="I216" s="2" t="s">
        <v>53</v>
      </c>
      <c r="J216" s="7">
        <v>382505</v>
      </c>
      <c r="K216" s="7">
        <v>309472</v>
      </c>
      <c r="L216" s="8">
        <v>165.831243</v>
      </c>
      <c r="M216" s="8">
        <v>-21.414359000000001</v>
      </c>
      <c r="N216" s="2">
        <v>2</v>
      </c>
      <c r="O216" s="2">
        <v>2</v>
      </c>
      <c r="P216" s="2">
        <f>N216</f>
        <v>2</v>
      </c>
      <c r="Q216" s="2" t="s">
        <v>35</v>
      </c>
      <c r="R216" s="2" t="s">
        <v>1006</v>
      </c>
      <c r="S216" s="2" t="s">
        <v>47</v>
      </c>
      <c r="U216" s="2">
        <f>P216-N216</f>
        <v>0</v>
      </c>
      <c r="W216" s="30" t="s">
        <v>52</v>
      </c>
      <c r="X216" s="2" t="s">
        <v>52</v>
      </c>
      <c r="Y216" s="6" t="s">
        <v>968</v>
      </c>
      <c r="Z216" s="2" t="s">
        <v>73</v>
      </c>
      <c r="AA216" s="2" t="s">
        <v>968</v>
      </c>
      <c r="AB216" s="2" t="str">
        <f>LEFT(A216,3)</f>
        <v>KOU</v>
      </c>
    </row>
    <row r="217" spans="1:28">
      <c r="A217" s="6" t="s">
        <v>1007</v>
      </c>
      <c r="B217" s="6" t="s">
        <v>104</v>
      </c>
      <c r="C217" s="6" t="s">
        <v>68</v>
      </c>
      <c r="D217" s="6" t="s">
        <v>1008</v>
      </c>
      <c r="E217" s="6" t="s">
        <v>1008</v>
      </c>
      <c r="F217" s="6" t="s">
        <v>1008</v>
      </c>
      <c r="G217" s="2" t="s">
        <v>1009</v>
      </c>
      <c r="H217" s="2" t="s">
        <v>104</v>
      </c>
      <c r="I217" s="2" t="s">
        <v>34</v>
      </c>
      <c r="J217" s="7">
        <v>331609.96870000003</v>
      </c>
      <c r="K217" s="7">
        <v>361337.90629999997</v>
      </c>
      <c r="L217" s="8">
        <v>165.34241837525201</v>
      </c>
      <c r="M217" s="8">
        <v>-20.944658763333798</v>
      </c>
      <c r="N217" s="2">
        <v>3</v>
      </c>
      <c r="O217" s="2">
        <v>6</v>
      </c>
      <c r="P217" s="2">
        <f>N217</f>
        <v>3</v>
      </c>
      <c r="Q217" s="2" t="s">
        <v>195</v>
      </c>
      <c r="R217" s="2" t="s">
        <v>1010</v>
      </c>
      <c r="S217" s="2" t="s">
        <v>47</v>
      </c>
      <c r="U217" s="2">
        <f>P217-N217</f>
        <v>0</v>
      </c>
      <c r="W217" s="30" t="s">
        <v>1008</v>
      </c>
      <c r="X217" s="2" t="s">
        <v>82</v>
      </c>
      <c r="Y217" s="6" t="s">
        <v>1008</v>
      </c>
      <c r="Z217" s="2" t="s">
        <v>73</v>
      </c>
      <c r="AA217" s="2" t="s">
        <v>1009</v>
      </c>
      <c r="AB217" s="2" t="str">
        <f>LEFT(A217,3)</f>
        <v>KOY</v>
      </c>
    </row>
    <row r="218" spans="1:28">
      <c r="A218" s="2" t="s">
        <v>1011</v>
      </c>
      <c r="B218" s="2" t="s">
        <v>178</v>
      </c>
      <c r="C218" s="6" t="s">
        <v>68</v>
      </c>
      <c r="D218" s="6" t="s">
        <v>1012</v>
      </c>
      <c r="E218" s="6" t="s">
        <v>52</v>
      </c>
      <c r="F218" s="6" t="s">
        <v>1013</v>
      </c>
      <c r="G218" s="6" t="s">
        <v>1013</v>
      </c>
      <c r="H218" s="6" t="s">
        <v>1012</v>
      </c>
      <c r="I218" s="2" t="s">
        <v>53</v>
      </c>
      <c r="J218" s="7">
        <v>296137</v>
      </c>
      <c r="K218" s="7">
        <v>336162</v>
      </c>
      <c r="L218" s="8">
        <v>164.999798</v>
      </c>
      <c r="M218" s="8">
        <v>-21.170362999999998</v>
      </c>
      <c r="N218" s="17">
        <v>2</v>
      </c>
      <c r="O218" s="17">
        <v>2</v>
      </c>
      <c r="P218" s="17">
        <v>2</v>
      </c>
      <c r="Q218" s="2" t="s">
        <v>35</v>
      </c>
      <c r="R218" s="2" t="s">
        <v>1014</v>
      </c>
      <c r="S218" s="2" t="s">
        <v>47</v>
      </c>
      <c r="U218" s="2">
        <v>0</v>
      </c>
      <c r="W218" s="30" t="s">
        <v>52</v>
      </c>
      <c r="X218" s="2" t="s">
        <v>52</v>
      </c>
      <c r="Y218" s="6" t="s">
        <v>1013</v>
      </c>
      <c r="Z218" s="2" t="s">
        <v>73</v>
      </c>
      <c r="AA218" s="6" t="s">
        <v>1013</v>
      </c>
      <c r="AB218" s="2" t="str">
        <f>LEFT(A218,3)</f>
        <v>KP3</v>
      </c>
    </row>
    <row r="219" spans="1:28">
      <c r="A219" s="2" t="s">
        <v>1015</v>
      </c>
      <c r="B219" s="2" t="s">
        <v>178</v>
      </c>
      <c r="C219" s="6" t="s">
        <v>68</v>
      </c>
      <c r="D219" s="6" t="s">
        <v>1016</v>
      </c>
      <c r="E219" s="6" t="s">
        <v>52</v>
      </c>
      <c r="F219" s="6" t="s">
        <v>1017</v>
      </c>
      <c r="G219" s="6" t="s">
        <v>1017</v>
      </c>
      <c r="H219" s="6" t="s">
        <v>1017</v>
      </c>
      <c r="I219" s="2" t="s">
        <v>53</v>
      </c>
      <c r="J219" s="7">
        <v>298144</v>
      </c>
      <c r="K219" s="7">
        <v>336705</v>
      </c>
      <c r="L219" s="8">
        <v>165.019158</v>
      </c>
      <c r="M219" s="8">
        <v>-21.165572999999998</v>
      </c>
      <c r="N219" s="17">
        <v>3</v>
      </c>
      <c r="O219" s="17">
        <v>6</v>
      </c>
      <c r="P219" s="17">
        <v>3</v>
      </c>
      <c r="Q219" s="2" t="s">
        <v>35</v>
      </c>
      <c r="R219" s="2" t="s">
        <v>1018</v>
      </c>
      <c r="S219" s="2" t="s">
        <v>47</v>
      </c>
      <c r="U219" s="2">
        <v>0</v>
      </c>
      <c r="W219" s="30" t="s">
        <v>52</v>
      </c>
      <c r="X219" s="2" t="s">
        <v>52</v>
      </c>
      <c r="Y219" s="6" t="s">
        <v>1017</v>
      </c>
      <c r="Z219" s="2" t="s">
        <v>73</v>
      </c>
      <c r="AA219" s="6" t="s">
        <v>1017</v>
      </c>
      <c r="AB219" s="2" t="str">
        <f>LEFT(A219,3)</f>
        <v>KP8</v>
      </c>
    </row>
    <row r="220" spans="1:28">
      <c r="A220" s="2" t="s">
        <v>1019</v>
      </c>
      <c r="B220" s="2" t="s">
        <v>178</v>
      </c>
      <c r="C220" s="6" t="s">
        <v>68</v>
      </c>
      <c r="D220" s="6" t="s">
        <v>1020</v>
      </c>
      <c r="E220" s="6" t="s">
        <v>52</v>
      </c>
      <c r="F220" s="6" t="s">
        <v>1021</v>
      </c>
      <c r="G220" s="6" t="s">
        <v>1021</v>
      </c>
      <c r="H220" s="6" t="s">
        <v>1020</v>
      </c>
      <c r="I220" s="2" t="s">
        <v>53</v>
      </c>
      <c r="J220" s="7">
        <v>298190</v>
      </c>
      <c r="K220" s="7">
        <v>334426</v>
      </c>
      <c r="L220" s="8">
        <v>165.019463</v>
      </c>
      <c r="M220" s="8">
        <v>-21.186160999999998</v>
      </c>
      <c r="N220" s="17">
        <v>3</v>
      </c>
      <c r="O220" s="17">
        <v>3</v>
      </c>
      <c r="P220" s="17">
        <v>3</v>
      </c>
      <c r="Q220" s="2" t="s">
        <v>35</v>
      </c>
      <c r="R220" s="2" t="s">
        <v>1022</v>
      </c>
      <c r="S220" s="2" t="s">
        <v>47</v>
      </c>
      <c r="U220" s="2">
        <v>0</v>
      </c>
      <c r="W220" s="30" t="s">
        <v>52</v>
      </c>
      <c r="X220" s="2" t="s">
        <v>52</v>
      </c>
      <c r="Y220" s="6" t="s">
        <v>1021</v>
      </c>
      <c r="Z220" s="2" t="s">
        <v>73</v>
      </c>
      <c r="AA220" s="6" t="s">
        <v>1021</v>
      </c>
      <c r="AB220" s="2" t="str">
        <f>LEFT(A220,3)</f>
        <v>KPC</v>
      </c>
    </row>
    <row r="221" spans="1:28">
      <c r="A221" s="2" t="s">
        <v>1023</v>
      </c>
      <c r="B221" s="2" t="s">
        <v>148</v>
      </c>
      <c r="C221" s="2" t="s">
        <v>68</v>
      </c>
      <c r="D221" s="2" t="s">
        <v>1024</v>
      </c>
      <c r="E221" s="2" t="s">
        <v>52</v>
      </c>
      <c r="F221" s="2" t="s">
        <v>1025</v>
      </c>
      <c r="G221" s="2" t="s">
        <v>1025</v>
      </c>
      <c r="H221" s="2" t="s">
        <v>1025</v>
      </c>
      <c r="I221" s="2" t="s">
        <v>53</v>
      </c>
      <c r="J221" s="2">
        <v>312665</v>
      </c>
      <c r="K221" s="2">
        <v>319575</v>
      </c>
      <c r="L221" s="2">
        <v>165.15809999999999</v>
      </c>
      <c r="M221" s="2">
        <v>-21.321059999999999</v>
      </c>
      <c r="N221" s="2">
        <v>3</v>
      </c>
      <c r="O221" s="2">
        <v>3</v>
      </c>
      <c r="P221" s="2">
        <v>3</v>
      </c>
      <c r="Q221" s="2" t="s">
        <v>35</v>
      </c>
      <c r="R221" s="2" t="s">
        <v>1026</v>
      </c>
      <c r="S221" s="2" t="s">
        <v>47</v>
      </c>
      <c r="U221" s="2">
        <f>P221-N221</f>
        <v>0</v>
      </c>
      <c r="W221" s="30" t="s">
        <v>52</v>
      </c>
      <c r="X221" s="6" t="s">
        <v>52</v>
      </c>
      <c r="Y221" s="2" t="s">
        <v>1025</v>
      </c>
      <c r="Z221" s="2" t="s">
        <v>73</v>
      </c>
      <c r="AA221" s="2" t="s">
        <v>1025</v>
      </c>
      <c r="AB221" s="2" t="str">
        <f>LEFT(A221,3)</f>
        <v>KRA</v>
      </c>
    </row>
    <row r="222" spans="1:28">
      <c r="A222" s="2" t="s">
        <v>1027</v>
      </c>
      <c r="B222" s="2" t="s">
        <v>562</v>
      </c>
      <c r="C222" s="2" t="s">
        <v>43</v>
      </c>
      <c r="D222" s="6" t="s">
        <v>1028</v>
      </c>
      <c r="E222" s="2" t="s">
        <v>52</v>
      </c>
      <c r="F222" s="6" t="s">
        <v>1028</v>
      </c>
      <c r="G222" s="6" t="s">
        <v>1029</v>
      </c>
      <c r="H222" s="2" t="s">
        <v>1028</v>
      </c>
      <c r="I222" s="2" t="s">
        <v>53</v>
      </c>
      <c r="J222" s="7">
        <v>410390</v>
      </c>
      <c r="K222" s="7">
        <v>278846</v>
      </c>
      <c r="L222" s="9">
        <v>166.10041000000001</v>
      </c>
      <c r="M222" s="8">
        <v>-21.691040000000001</v>
      </c>
      <c r="N222" s="7">
        <v>2</v>
      </c>
      <c r="O222" s="7">
        <v>2</v>
      </c>
      <c r="P222" s="7">
        <v>2</v>
      </c>
      <c r="Q222" s="16" t="s">
        <v>35</v>
      </c>
      <c r="R222" s="2" t="s">
        <v>1030</v>
      </c>
      <c r="S222" s="2" t="s">
        <v>47</v>
      </c>
      <c r="U222" s="2">
        <f>P222-N222</f>
        <v>0</v>
      </c>
      <c r="W222" s="30" t="s">
        <v>52</v>
      </c>
      <c r="X222" s="6" t="s">
        <v>52</v>
      </c>
      <c r="Y222" s="6" t="s">
        <v>1028</v>
      </c>
      <c r="Z222" s="2" t="s">
        <v>40</v>
      </c>
      <c r="AA222" s="6" t="s">
        <v>1029</v>
      </c>
      <c r="AB222" s="2" t="str">
        <f>LEFT(A222,3)</f>
        <v>KRE</v>
      </c>
    </row>
    <row r="223" spans="1:28">
      <c r="A223" s="6" t="s">
        <v>1031</v>
      </c>
      <c r="B223" s="6" t="s">
        <v>29</v>
      </c>
      <c r="C223" s="6" t="s">
        <v>30</v>
      </c>
      <c r="D223" s="6" t="s">
        <v>1032</v>
      </c>
      <c r="E223" s="6" t="s">
        <v>1032</v>
      </c>
      <c r="F223" s="6" t="s">
        <v>1032</v>
      </c>
      <c r="G223" s="2" t="s">
        <v>1033</v>
      </c>
      <c r="H223" s="2" t="s">
        <v>394</v>
      </c>
      <c r="I223" s="2" t="s">
        <v>34</v>
      </c>
      <c r="J223" s="7">
        <v>440388.75594</v>
      </c>
      <c r="K223" s="7">
        <v>215934.23959000001</v>
      </c>
      <c r="L223" s="8">
        <v>166.39185318018099</v>
      </c>
      <c r="M223" s="8">
        <v>-22.258807853897501</v>
      </c>
      <c r="N223" s="2">
        <v>1</v>
      </c>
      <c r="O223" s="2">
        <v>1</v>
      </c>
      <c r="P223" s="2">
        <f>N223</f>
        <v>1</v>
      </c>
      <c r="Q223" s="2" t="s">
        <v>35</v>
      </c>
      <c r="R223" s="2" t="s">
        <v>1034</v>
      </c>
      <c r="S223" s="2" t="s">
        <v>37</v>
      </c>
      <c r="U223" s="2">
        <f>P223-N223</f>
        <v>0</v>
      </c>
      <c r="W223" s="30" t="s">
        <v>1032</v>
      </c>
      <c r="X223" s="2" t="s">
        <v>39</v>
      </c>
      <c r="Y223" s="6" t="s">
        <v>1032</v>
      </c>
      <c r="Z223" s="2" t="s">
        <v>40</v>
      </c>
      <c r="AA223" s="2" t="s">
        <v>1033</v>
      </c>
      <c r="AB223" s="2" t="str">
        <f>LEFT(A223,3)</f>
        <v>KUE</v>
      </c>
    </row>
    <row r="224" spans="1:28">
      <c r="A224" s="6" t="s">
        <v>1035</v>
      </c>
      <c r="B224" s="6" t="s">
        <v>331</v>
      </c>
      <c r="C224" s="6" t="s">
        <v>43</v>
      </c>
      <c r="D224" s="6" t="s">
        <v>1036</v>
      </c>
      <c r="E224" s="6" t="s">
        <v>1036</v>
      </c>
      <c r="F224" s="6" t="s">
        <v>1036</v>
      </c>
      <c r="G224" s="2" t="s">
        <v>1037</v>
      </c>
      <c r="H224" s="2" t="s">
        <v>1036</v>
      </c>
      <c r="I224" s="2" t="s">
        <v>34</v>
      </c>
      <c r="J224" s="7">
        <v>548036.20007000002</v>
      </c>
      <c r="K224" s="7">
        <v>170568.27501000001</v>
      </c>
      <c r="L224" s="8">
        <v>167.44025944526101</v>
      </c>
      <c r="M224" s="8">
        <v>-22.6627669011393</v>
      </c>
      <c r="N224" s="2">
        <v>2</v>
      </c>
      <c r="O224" s="2">
        <v>2</v>
      </c>
      <c r="P224" s="2">
        <f>N224</f>
        <v>2</v>
      </c>
      <c r="Q224" s="2" t="s">
        <v>35</v>
      </c>
      <c r="R224" s="2" t="s">
        <v>1038</v>
      </c>
      <c r="S224" s="2" t="s">
        <v>47</v>
      </c>
      <c r="U224" s="2">
        <f>P224-N224</f>
        <v>0</v>
      </c>
      <c r="W224" s="30" t="s">
        <v>1036</v>
      </c>
      <c r="X224" s="2" t="s">
        <v>39</v>
      </c>
      <c r="Y224" s="6" t="s">
        <v>1036</v>
      </c>
      <c r="Z224" s="2" t="s">
        <v>40</v>
      </c>
      <c r="AA224" s="2" t="s">
        <v>1037</v>
      </c>
      <c r="AB224" s="2" t="str">
        <f>LEFT(A224,3)</f>
        <v>KUT</v>
      </c>
    </row>
    <row r="225" spans="1:28">
      <c r="A225" s="6" t="s">
        <v>1039</v>
      </c>
      <c r="B225" s="6" t="s">
        <v>67</v>
      </c>
      <c r="C225" s="6" t="s">
        <v>68</v>
      </c>
      <c r="D225" s="6" t="s">
        <v>1040</v>
      </c>
      <c r="E225" s="6" t="s">
        <v>52</v>
      </c>
      <c r="F225" s="6" t="s">
        <v>1041</v>
      </c>
      <c r="G225" s="6" t="s">
        <v>1041</v>
      </c>
      <c r="H225" s="6" t="s">
        <v>1041</v>
      </c>
      <c r="I225" s="2" t="s">
        <v>53</v>
      </c>
      <c r="J225" s="7">
        <v>278148</v>
      </c>
      <c r="K225" s="7">
        <v>349190</v>
      </c>
      <c r="L225" s="8">
        <v>164.82751099999999</v>
      </c>
      <c r="M225" s="8">
        <v>-21.051559000000001</v>
      </c>
      <c r="N225" s="2">
        <v>3</v>
      </c>
      <c r="O225" s="2">
        <v>3</v>
      </c>
      <c r="P225" s="2">
        <f>N225</f>
        <v>3</v>
      </c>
      <c r="Q225" s="2" t="s">
        <v>35</v>
      </c>
      <c r="R225" s="2" t="s">
        <v>1042</v>
      </c>
      <c r="S225" s="2" t="s">
        <v>37</v>
      </c>
      <c r="U225" s="2">
        <f>P225-N225</f>
        <v>0</v>
      </c>
      <c r="W225" s="30" t="s">
        <v>52</v>
      </c>
      <c r="X225" s="2" t="s">
        <v>52</v>
      </c>
      <c r="Y225" s="6" t="s">
        <v>1041</v>
      </c>
      <c r="Z225" s="2" t="s">
        <v>73</v>
      </c>
      <c r="AA225" s="6" t="s">
        <v>1041</v>
      </c>
      <c r="AB225" s="2" t="str">
        <f>LEFT(A225,3)</f>
        <v>KVI</v>
      </c>
    </row>
    <row r="226" spans="1:28">
      <c r="A226" s="6" t="s">
        <v>1043</v>
      </c>
      <c r="B226" s="6" t="s">
        <v>93</v>
      </c>
      <c r="C226" s="6" t="s">
        <v>50</v>
      </c>
      <c r="D226" s="6" t="s">
        <v>1044</v>
      </c>
      <c r="E226" s="6" t="s">
        <v>1045</v>
      </c>
      <c r="F226" s="6" t="s">
        <v>1045</v>
      </c>
      <c r="G226" s="2" t="s">
        <v>1046</v>
      </c>
      <c r="H226" s="2" t="s">
        <v>1044</v>
      </c>
      <c r="I226" s="2" t="s">
        <v>34</v>
      </c>
      <c r="J226" s="7">
        <v>459351.91006999998</v>
      </c>
      <c r="K226" s="7">
        <v>217619.22506999999</v>
      </c>
      <c r="L226" s="8">
        <v>166.57577017546001</v>
      </c>
      <c r="M226" s="8">
        <v>-22.243060927605001</v>
      </c>
      <c r="N226" s="2">
        <v>3</v>
      </c>
      <c r="O226" s="2">
        <v>6</v>
      </c>
      <c r="P226" s="2">
        <v>6</v>
      </c>
      <c r="Q226" s="2" t="s">
        <v>35</v>
      </c>
      <c r="R226" s="2" t="s">
        <v>1047</v>
      </c>
      <c r="S226" s="2" t="s">
        <v>37</v>
      </c>
      <c r="U226" s="2">
        <f>P226-N226</f>
        <v>3</v>
      </c>
      <c r="W226" s="30" t="s">
        <v>1045</v>
      </c>
      <c r="X226" s="2" t="s">
        <v>39</v>
      </c>
      <c r="Y226" s="6" t="s">
        <v>1045</v>
      </c>
      <c r="Z226" s="2" t="s">
        <v>40</v>
      </c>
      <c r="AA226" s="2" t="s">
        <v>1046</v>
      </c>
      <c r="AB226" s="2" t="str">
        <f>LEFT(A226,3)</f>
        <v>LAC</v>
      </c>
    </row>
    <row r="227" spans="1:28">
      <c r="A227" s="6" t="s">
        <v>1048</v>
      </c>
      <c r="B227" s="6" t="s">
        <v>29</v>
      </c>
      <c r="C227" s="6" t="s">
        <v>30</v>
      </c>
      <c r="D227" s="6" t="s">
        <v>1049</v>
      </c>
      <c r="E227" s="6" t="s">
        <v>1049</v>
      </c>
      <c r="F227" s="6" t="s">
        <v>1050</v>
      </c>
      <c r="G227" s="2" t="s">
        <v>1051</v>
      </c>
      <c r="H227" s="2" t="s">
        <v>1050</v>
      </c>
      <c r="I227" s="2" t="s">
        <v>34</v>
      </c>
      <c r="J227" s="7">
        <v>446043.75</v>
      </c>
      <c r="K227" s="7">
        <v>210980.97880000001</v>
      </c>
      <c r="L227" s="8">
        <v>166.44685494473899</v>
      </c>
      <c r="M227" s="8">
        <v>-22.303400044498598</v>
      </c>
      <c r="N227" s="2">
        <v>3</v>
      </c>
      <c r="O227" s="2">
        <v>9</v>
      </c>
      <c r="P227" s="2">
        <v>6</v>
      </c>
      <c r="Q227" s="2" t="s">
        <v>35</v>
      </c>
      <c r="R227" s="2" t="s">
        <v>1052</v>
      </c>
      <c r="S227" s="2" t="s">
        <v>37</v>
      </c>
      <c r="U227" s="2">
        <f>P227-N227</f>
        <v>3</v>
      </c>
      <c r="W227" s="30" t="s">
        <v>1049</v>
      </c>
      <c r="X227" s="2" t="s">
        <v>39</v>
      </c>
      <c r="Y227" s="6" t="s">
        <v>1050</v>
      </c>
      <c r="Z227" s="2" t="s">
        <v>40</v>
      </c>
      <c r="AA227" s="2" t="s">
        <v>1051</v>
      </c>
      <c r="AB227" s="2" t="str">
        <f>LEFT(A227,3)</f>
        <v>LAN</v>
      </c>
    </row>
    <row r="228" spans="1:28">
      <c r="A228" s="6" t="s">
        <v>1053</v>
      </c>
      <c r="B228" s="6" t="s">
        <v>351</v>
      </c>
      <c r="C228" s="6" t="s">
        <v>129</v>
      </c>
      <c r="D228" s="6" t="s">
        <v>1054</v>
      </c>
      <c r="E228" s="6" t="s">
        <v>1054</v>
      </c>
      <c r="F228" s="6" t="s">
        <v>1054</v>
      </c>
      <c r="G228" s="2" t="s">
        <v>1055</v>
      </c>
      <c r="H228" s="2" t="s">
        <v>1056</v>
      </c>
      <c r="I228" s="2" t="s">
        <v>34</v>
      </c>
      <c r="J228" s="7">
        <v>595681.24708</v>
      </c>
      <c r="K228" s="7">
        <v>290817.2254</v>
      </c>
      <c r="L228" s="8">
        <v>167.88962233472199</v>
      </c>
      <c r="M228" s="8">
        <v>-21.572262147267999</v>
      </c>
      <c r="N228" s="2">
        <v>2</v>
      </c>
      <c r="O228" s="2">
        <v>2</v>
      </c>
      <c r="P228" s="2">
        <f>N228</f>
        <v>2</v>
      </c>
      <c r="Q228" s="2" t="s">
        <v>35</v>
      </c>
      <c r="R228" s="2" t="s">
        <v>1057</v>
      </c>
      <c r="S228" s="2" t="s">
        <v>47</v>
      </c>
      <c r="U228" s="2">
        <f>P228-N228</f>
        <v>0</v>
      </c>
      <c r="W228" s="30" t="s">
        <v>1054</v>
      </c>
      <c r="X228" s="2" t="s">
        <v>82</v>
      </c>
      <c r="Y228" s="6" t="s">
        <v>1054</v>
      </c>
      <c r="Z228" s="2" t="s">
        <v>73</v>
      </c>
      <c r="AA228" s="2" t="s">
        <v>1055</v>
      </c>
      <c r="AB228" s="2" t="str">
        <f>LEFT(A228,3)</f>
        <v>LAP</v>
      </c>
    </row>
    <row r="229" spans="1:28">
      <c r="A229" s="6" t="s">
        <v>1058</v>
      </c>
      <c r="B229" s="6" t="s">
        <v>142</v>
      </c>
      <c r="C229" s="6" t="s">
        <v>43</v>
      </c>
      <c r="D229" s="6" t="s">
        <v>1059</v>
      </c>
      <c r="E229" s="6" t="s">
        <v>52</v>
      </c>
      <c r="F229" s="6" t="s">
        <v>1060</v>
      </c>
      <c r="G229" s="6" t="s">
        <v>1060</v>
      </c>
      <c r="H229" s="6" t="s">
        <v>1060</v>
      </c>
      <c r="I229" s="2" t="s">
        <v>53</v>
      </c>
      <c r="J229" s="7">
        <v>486960</v>
      </c>
      <c r="K229" s="7">
        <v>214339</v>
      </c>
      <c r="L229" s="8">
        <v>166.843761</v>
      </c>
      <c r="M229" s="8">
        <v>-22.271550000000001</v>
      </c>
      <c r="N229" s="2">
        <v>3</v>
      </c>
      <c r="O229" s="2">
        <v>3</v>
      </c>
      <c r="P229" s="2">
        <f>N229</f>
        <v>3</v>
      </c>
      <c r="Q229" s="2" t="s">
        <v>35</v>
      </c>
      <c r="R229" s="2" t="s">
        <v>1061</v>
      </c>
      <c r="S229" s="2" t="s">
        <v>47</v>
      </c>
      <c r="U229" s="2">
        <f>P229-N229</f>
        <v>0</v>
      </c>
      <c r="W229" s="30" t="s">
        <v>52</v>
      </c>
      <c r="X229" s="2" t="s">
        <v>52</v>
      </c>
      <c r="Y229" s="6" t="s">
        <v>1060</v>
      </c>
      <c r="Z229" s="2" t="s">
        <v>40</v>
      </c>
      <c r="AA229" s="6" t="s">
        <v>1060</v>
      </c>
      <c r="AB229" s="2" t="str">
        <f>LEFT(A229,3)</f>
        <v>LAV</v>
      </c>
    </row>
    <row r="230" spans="1:28">
      <c r="A230" s="6" t="s">
        <v>1062</v>
      </c>
      <c r="B230" s="6" t="s">
        <v>29</v>
      </c>
      <c r="C230" s="6" t="s">
        <v>30</v>
      </c>
      <c r="D230" s="6" t="s">
        <v>1063</v>
      </c>
      <c r="E230" s="6" t="s">
        <v>1063</v>
      </c>
      <c r="F230" s="6" t="s">
        <v>1063</v>
      </c>
      <c r="G230" s="2" t="s">
        <v>1064</v>
      </c>
      <c r="H230" s="2" t="s">
        <v>1063</v>
      </c>
      <c r="I230" s="2" t="s">
        <v>34</v>
      </c>
      <c r="J230" s="7">
        <v>446522.37252999999</v>
      </c>
      <c r="K230" s="7">
        <v>211085.20206000001</v>
      </c>
      <c r="L230" s="8">
        <v>166.45149097249899</v>
      </c>
      <c r="M230" s="8">
        <v>-22.302448453833001</v>
      </c>
      <c r="N230" s="2">
        <v>3</v>
      </c>
      <c r="O230" s="2">
        <v>6</v>
      </c>
      <c r="P230" s="2">
        <v>9</v>
      </c>
      <c r="Q230" s="2" t="s">
        <v>35</v>
      </c>
      <c r="R230" s="2" t="s">
        <v>1065</v>
      </c>
      <c r="S230" s="2" t="s">
        <v>37</v>
      </c>
      <c r="U230" s="2">
        <f>P230-N230</f>
        <v>6</v>
      </c>
      <c r="W230" s="30" t="s">
        <v>52</v>
      </c>
      <c r="X230" s="2" t="s">
        <v>39</v>
      </c>
      <c r="Y230" s="6" t="s">
        <v>1063</v>
      </c>
      <c r="Z230" s="2" t="s">
        <v>40</v>
      </c>
      <c r="AA230" s="2" t="s">
        <v>1064</v>
      </c>
      <c r="AB230" s="2" t="str">
        <f>LEFT(A230,3)</f>
        <v>LCH</v>
      </c>
    </row>
    <row r="231" spans="1:28">
      <c r="A231" s="6" t="s">
        <v>1066</v>
      </c>
      <c r="B231" s="6" t="s">
        <v>191</v>
      </c>
      <c r="C231" s="6" t="s">
        <v>43</v>
      </c>
      <c r="D231" s="6" t="s">
        <v>1067</v>
      </c>
      <c r="E231" s="6" t="s">
        <v>1068</v>
      </c>
      <c r="F231" s="6" t="s">
        <v>1069</v>
      </c>
      <c r="G231" s="6" t="s">
        <v>1069</v>
      </c>
      <c r="H231" s="2" t="s">
        <v>1067</v>
      </c>
      <c r="I231" s="2" t="s">
        <v>34</v>
      </c>
      <c r="J231" s="7">
        <v>334514.08724000002</v>
      </c>
      <c r="K231" s="7">
        <v>304924.61463999999</v>
      </c>
      <c r="L231" s="8">
        <v>165.36814813631699</v>
      </c>
      <c r="M231" s="8">
        <v>-21.454319682344899</v>
      </c>
      <c r="N231" s="2">
        <v>2</v>
      </c>
      <c r="O231" s="2">
        <v>4</v>
      </c>
      <c r="P231" s="2">
        <f>N231</f>
        <v>2</v>
      </c>
      <c r="Q231" s="2" t="s">
        <v>151</v>
      </c>
      <c r="R231" s="2" t="s">
        <v>1070</v>
      </c>
      <c r="S231" s="2" t="s">
        <v>47</v>
      </c>
      <c r="U231" s="2">
        <f>P231-N231</f>
        <v>0</v>
      </c>
      <c r="W231" s="30" t="s">
        <v>1068</v>
      </c>
      <c r="X231" s="2" t="s">
        <v>82</v>
      </c>
      <c r="Y231" s="6" t="s">
        <v>1069</v>
      </c>
      <c r="Z231" s="2" t="s">
        <v>73</v>
      </c>
      <c r="AA231" s="2" t="s">
        <v>1069</v>
      </c>
      <c r="AB231" s="2" t="str">
        <f>LEFT(A231,3)</f>
        <v>LCP</v>
      </c>
    </row>
    <row r="232" spans="1:28">
      <c r="A232" s="2" t="s">
        <v>1071</v>
      </c>
      <c r="B232" s="2" t="s">
        <v>93</v>
      </c>
      <c r="C232" s="2" t="s">
        <v>50</v>
      </c>
      <c r="D232" s="2" t="s">
        <v>1072</v>
      </c>
      <c r="E232" s="2" t="s">
        <v>52</v>
      </c>
      <c r="F232" s="2" t="s">
        <v>1073</v>
      </c>
      <c r="G232" s="6" t="s">
        <v>1074</v>
      </c>
      <c r="H232" s="2" t="s">
        <v>1073</v>
      </c>
      <c r="I232" s="2" t="s">
        <v>53</v>
      </c>
      <c r="J232" s="7">
        <v>461719</v>
      </c>
      <c r="K232" s="7">
        <v>217953</v>
      </c>
      <c r="L232" s="8">
        <v>166.59871999999999</v>
      </c>
      <c r="M232" s="8">
        <v>-22.23996</v>
      </c>
      <c r="N232" s="2">
        <v>1</v>
      </c>
      <c r="O232" s="2">
        <v>1</v>
      </c>
      <c r="P232" s="2">
        <v>1</v>
      </c>
      <c r="Q232" s="2" t="s">
        <v>35</v>
      </c>
      <c r="R232" s="2" t="s">
        <v>1075</v>
      </c>
      <c r="S232" s="2" t="s">
        <v>47</v>
      </c>
      <c r="U232" s="2">
        <v>0</v>
      </c>
      <c r="W232" s="30" t="s">
        <v>52</v>
      </c>
      <c r="X232" s="6" t="s">
        <v>52</v>
      </c>
      <c r="Y232" s="2" t="s">
        <v>1073</v>
      </c>
      <c r="Z232" s="2" t="s">
        <v>40</v>
      </c>
      <c r="AA232" s="2" t="s">
        <v>1073</v>
      </c>
      <c r="AB232" s="2" t="str">
        <f>LEFT(A232,3)</f>
        <v>LCZ</v>
      </c>
    </row>
    <row r="233" spans="1:28">
      <c r="A233" s="6" t="s">
        <v>1076</v>
      </c>
      <c r="B233" s="6" t="s">
        <v>602</v>
      </c>
      <c r="C233" s="6" t="s">
        <v>43</v>
      </c>
      <c r="D233" s="6" t="s">
        <v>1077</v>
      </c>
      <c r="E233" s="6" t="s">
        <v>1078</v>
      </c>
      <c r="F233" s="6" t="s">
        <v>1077</v>
      </c>
      <c r="G233" s="6" t="s">
        <v>1077</v>
      </c>
      <c r="H233" s="2" t="s">
        <v>1079</v>
      </c>
      <c r="I233" s="2" t="s">
        <v>34</v>
      </c>
      <c r="J233" s="7">
        <v>376130.18057999999</v>
      </c>
      <c r="K233" s="7">
        <v>267826.02282999997</v>
      </c>
      <c r="L233" s="8">
        <v>165.769156915628</v>
      </c>
      <c r="M233" s="8">
        <v>-21.7904445351585</v>
      </c>
      <c r="N233" s="2">
        <v>4</v>
      </c>
      <c r="O233" s="2">
        <v>4</v>
      </c>
      <c r="P233" s="2">
        <v>8</v>
      </c>
      <c r="Q233" s="2" t="s">
        <v>35</v>
      </c>
      <c r="R233" s="2" t="s">
        <v>1080</v>
      </c>
      <c r="S233" s="2" t="s">
        <v>47</v>
      </c>
      <c r="U233" s="2">
        <f>P233-N233</f>
        <v>4</v>
      </c>
      <c r="W233" s="30" t="s">
        <v>1078</v>
      </c>
      <c r="X233" s="2" t="s">
        <v>39</v>
      </c>
      <c r="Y233" s="6" t="s">
        <v>1077</v>
      </c>
      <c r="Z233" s="2" t="s">
        <v>40</v>
      </c>
      <c r="AA233" s="2" t="s">
        <v>1077</v>
      </c>
      <c r="AB233" s="2" t="str">
        <f>LEFT(A233,3)</f>
        <v>LEB</v>
      </c>
    </row>
    <row r="234" spans="1:28">
      <c r="A234" s="2" t="s">
        <v>1081</v>
      </c>
      <c r="B234" s="2" t="s">
        <v>128</v>
      </c>
      <c r="C234" s="2" t="s">
        <v>129</v>
      </c>
      <c r="D234" s="2" t="s">
        <v>1082</v>
      </c>
      <c r="E234" s="2" t="s">
        <v>52</v>
      </c>
      <c r="F234" s="2" t="s">
        <v>1083</v>
      </c>
      <c r="G234" s="2" t="s">
        <v>1083</v>
      </c>
      <c r="H234" s="2" t="s">
        <v>1083</v>
      </c>
      <c r="I234" s="2" t="s">
        <v>53</v>
      </c>
      <c r="J234" s="7">
        <v>451362</v>
      </c>
      <c r="K234" s="7">
        <v>389500</v>
      </c>
      <c r="L234" s="8">
        <v>166.49299999999999</v>
      </c>
      <c r="M234" s="8">
        <v>-20.690850000000001</v>
      </c>
      <c r="N234" s="2">
        <v>3</v>
      </c>
      <c r="O234" s="2">
        <v>3</v>
      </c>
      <c r="P234" s="2">
        <f>N234</f>
        <v>3</v>
      </c>
      <c r="Q234" s="2" t="s">
        <v>35</v>
      </c>
      <c r="R234" s="2" t="s">
        <v>1084</v>
      </c>
      <c r="S234" s="2" t="s">
        <v>47</v>
      </c>
      <c r="U234" s="2">
        <f>P234-N234</f>
        <v>0</v>
      </c>
      <c r="W234" s="30" t="s">
        <v>52</v>
      </c>
      <c r="X234" s="6" t="s">
        <v>52</v>
      </c>
      <c r="Y234" s="2" t="s">
        <v>1083</v>
      </c>
      <c r="Z234" s="2" t="s">
        <v>73</v>
      </c>
      <c r="AA234" s="2" t="s">
        <v>1083</v>
      </c>
      <c r="AB234" s="2" t="str">
        <f>LEFT(A234,3)</f>
        <v>LEK</v>
      </c>
    </row>
    <row r="235" spans="1:28">
      <c r="A235" s="6" t="s">
        <v>1085</v>
      </c>
      <c r="B235" s="6" t="s">
        <v>351</v>
      </c>
      <c r="C235" s="6" t="s">
        <v>129</v>
      </c>
      <c r="D235" s="6" t="s">
        <v>1086</v>
      </c>
      <c r="E235" s="6" t="s">
        <v>1086</v>
      </c>
      <c r="F235" s="6" t="s">
        <v>1087</v>
      </c>
      <c r="G235" s="6" t="s">
        <v>1087</v>
      </c>
      <c r="H235" s="2" t="s">
        <v>1086</v>
      </c>
      <c r="I235" s="2" t="s">
        <v>34</v>
      </c>
      <c r="J235" s="7">
        <v>603113.12659</v>
      </c>
      <c r="K235" s="7">
        <v>302043.34133000002</v>
      </c>
      <c r="L235" s="8">
        <v>167.96002402410599</v>
      </c>
      <c r="M235" s="8">
        <v>-21.470045304997299</v>
      </c>
      <c r="N235" s="2">
        <v>2</v>
      </c>
      <c r="O235" s="2">
        <v>2</v>
      </c>
      <c r="P235" s="2">
        <v>2</v>
      </c>
      <c r="Q235" s="2" t="s">
        <v>35</v>
      </c>
      <c r="R235" s="2" t="s">
        <v>1088</v>
      </c>
      <c r="S235" s="2" t="s">
        <v>47</v>
      </c>
      <c r="U235" s="2">
        <f>P235-N235</f>
        <v>0</v>
      </c>
      <c r="V235" s="2" t="s">
        <v>102</v>
      </c>
      <c r="W235" s="30" t="s">
        <v>1086</v>
      </c>
      <c r="X235" s="2" t="s">
        <v>82</v>
      </c>
      <c r="Y235" s="6" t="s">
        <v>1087</v>
      </c>
      <c r="Z235" s="2" t="s">
        <v>73</v>
      </c>
      <c r="AA235" s="6" t="s">
        <v>1087</v>
      </c>
      <c r="AB235" s="2" t="str">
        <f>LEFT(A235,3)</f>
        <v>LIM</v>
      </c>
    </row>
    <row r="236" spans="1:28">
      <c r="A236" s="2" t="s">
        <v>1089</v>
      </c>
      <c r="B236" s="2" t="s">
        <v>29</v>
      </c>
      <c r="C236" s="2" t="s">
        <v>30</v>
      </c>
      <c r="D236" s="2" t="s">
        <v>1090</v>
      </c>
      <c r="E236" s="2" t="s">
        <v>52</v>
      </c>
      <c r="F236" s="2" t="s">
        <v>1090</v>
      </c>
      <c r="G236" s="2" t="s">
        <v>1090</v>
      </c>
      <c r="H236" s="2" t="s">
        <v>1090</v>
      </c>
      <c r="I236" s="2" t="s">
        <v>53</v>
      </c>
      <c r="J236" s="7">
        <v>443346</v>
      </c>
      <c r="K236" s="7">
        <v>214784</v>
      </c>
      <c r="L236" s="9">
        <v>166.42057181199999</v>
      </c>
      <c r="M236" s="9">
        <v>-22.269123864000001</v>
      </c>
      <c r="N236" s="2">
        <v>2</v>
      </c>
      <c r="O236" s="2">
        <v>2</v>
      </c>
      <c r="P236" s="2">
        <v>4</v>
      </c>
      <c r="Q236" s="2" t="s">
        <v>35</v>
      </c>
      <c r="R236" s="2" t="s">
        <v>1091</v>
      </c>
      <c r="S236" s="2" t="s">
        <v>37</v>
      </c>
      <c r="U236" s="2">
        <f>P236-N236</f>
        <v>2</v>
      </c>
      <c r="W236" s="30" t="s">
        <v>52</v>
      </c>
      <c r="X236" s="6" t="s">
        <v>52</v>
      </c>
      <c r="Y236" s="2" t="s">
        <v>1090</v>
      </c>
      <c r="Z236" s="2" t="s">
        <v>40</v>
      </c>
      <c r="AA236" s="2" t="s">
        <v>1090</v>
      </c>
      <c r="AB236" s="2" t="str">
        <f>LEFT(A236,3)</f>
        <v>LJG</v>
      </c>
    </row>
    <row r="237" spans="1:28">
      <c r="A237" s="6" t="s">
        <v>1092</v>
      </c>
      <c r="B237" s="6" t="s">
        <v>148</v>
      </c>
      <c r="C237" s="6" t="s">
        <v>68</v>
      </c>
      <c r="D237" s="6" t="s">
        <v>1093</v>
      </c>
      <c r="E237" s="6" t="s">
        <v>52</v>
      </c>
      <c r="F237" s="6" t="s">
        <v>1094</v>
      </c>
      <c r="G237" s="6" t="s">
        <v>1094</v>
      </c>
      <c r="H237" s="6" t="s">
        <v>1094</v>
      </c>
      <c r="I237" s="2" t="s">
        <v>53</v>
      </c>
      <c r="J237" s="7">
        <v>298730</v>
      </c>
      <c r="K237" s="7">
        <v>336071</v>
      </c>
      <c r="L237" s="8">
        <v>165.02476300000001</v>
      </c>
      <c r="M237" s="8">
        <v>-21.171333000000001</v>
      </c>
      <c r="N237" s="2">
        <v>1</v>
      </c>
      <c r="O237" s="2">
        <v>1</v>
      </c>
      <c r="P237" s="2">
        <v>1</v>
      </c>
      <c r="Q237" s="2" t="s">
        <v>35</v>
      </c>
      <c r="R237" s="2" t="s">
        <v>1095</v>
      </c>
      <c r="S237" s="2" t="s">
        <v>47</v>
      </c>
      <c r="U237" s="2">
        <f>P237-N237</f>
        <v>0</v>
      </c>
      <c r="W237" s="30" t="s">
        <v>52</v>
      </c>
      <c r="X237" s="6" t="s">
        <v>52</v>
      </c>
      <c r="Y237" s="6" t="s">
        <v>1094</v>
      </c>
      <c r="Z237" s="2" t="s">
        <v>73</v>
      </c>
      <c r="AA237" s="6" t="s">
        <v>1094</v>
      </c>
      <c r="AB237" s="2" t="str">
        <f>LEFT(A237,3)</f>
        <v>LKP</v>
      </c>
    </row>
    <row r="238" spans="1:28">
      <c r="A238" s="6" t="s">
        <v>1096</v>
      </c>
      <c r="B238" s="6" t="s">
        <v>373</v>
      </c>
      <c r="C238" s="6" t="s">
        <v>129</v>
      </c>
      <c r="D238" s="6" t="s">
        <v>1097</v>
      </c>
      <c r="E238" s="6" t="s">
        <v>1097</v>
      </c>
      <c r="F238" s="6" t="s">
        <v>1097</v>
      </c>
      <c r="G238" s="2" t="s">
        <v>1098</v>
      </c>
      <c r="H238" s="2" t="s">
        <v>1097</v>
      </c>
      <c r="I238" s="2" t="s">
        <v>34</v>
      </c>
      <c r="J238" s="7">
        <v>531002.91385000001</v>
      </c>
      <c r="K238" s="7">
        <v>366093.18556000001</v>
      </c>
      <c r="L238" s="8">
        <v>167.259228301326</v>
      </c>
      <c r="M238" s="8">
        <v>-20.898242121687598</v>
      </c>
      <c r="N238" s="2">
        <v>2</v>
      </c>
      <c r="O238" s="2">
        <v>4</v>
      </c>
      <c r="P238" s="2">
        <v>4</v>
      </c>
      <c r="Q238" s="2" t="s">
        <v>35</v>
      </c>
      <c r="R238" s="2" t="s">
        <v>1099</v>
      </c>
      <c r="S238" s="2" t="s">
        <v>47</v>
      </c>
      <c r="U238" s="2">
        <f>P238-N238</f>
        <v>2</v>
      </c>
      <c r="W238" s="30" t="s">
        <v>1097</v>
      </c>
      <c r="X238" s="2" t="s">
        <v>82</v>
      </c>
      <c r="Y238" s="6" t="s">
        <v>1097</v>
      </c>
      <c r="Z238" s="2" t="s">
        <v>73</v>
      </c>
      <c r="AA238" s="2" t="s">
        <v>1098</v>
      </c>
      <c r="AB238" s="2" t="str">
        <f>LEFT(A238,3)</f>
        <v>LLA</v>
      </c>
    </row>
    <row r="239" spans="1:28">
      <c r="A239" s="6" t="s">
        <v>1100</v>
      </c>
      <c r="B239" s="6" t="s">
        <v>373</v>
      </c>
      <c r="C239" s="6" t="s">
        <v>129</v>
      </c>
      <c r="D239" s="6" t="s">
        <v>1101</v>
      </c>
      <c r="E239" s="6" t="s">
        <v>1101</v>
      </c>
      <c r="F239" s="6" t="s">
        <v>1101</v>
      </c>
      <c r="G239" s="2" t="s">
        <v>1102</v>
      </c>
      <c r="H239" s="2" t="s">
        <v>1101</v>
      </c>
      <c r="I239" s="2" t="s">
        <v>34</v>
      </c>
      <c r="J239" s="7">
        <v>546750.00025000004</v>
      </c>
      <c r="K239" s="7">
        <v>350520.81527000002</v>
      </c>
      <c r="L239" s="8">
        <v>167.41193586763501</v>
      </c>
      <c r="M239" s="8">
        <v>-21.037677895122702</v>
      </c>
      <c r="N239" s="2">
        <v>1</v>
      </c>
      <c r="O239" s="2">
        <v>1</v>
      </c>
      <c r="P239" s="2">
        <v>1</v>
      </c>
      <c r="Q239" s="2" t="s">
        <v>35</v>
      </c>
      <c r="R239" s="2" t="s">
        <v>1103</v>
      </c>
      <c r="S239" s="2" t="s">
        <v>47</v>
      </c>
      <c r="U239" s="2">
        <f>P239-N239</f>
        <v>0</v>
      </c>
      <c r="W239" s="30" t="s">
        <v>1101</v>
      </c>
      <c r="X239" s="2" t="s">
        <v>82</v>
      </c>
      <c r="Y239" s="6" t="s">
        <v>1101</v>
      </c>
      <c r="Z239" s="2" t="s">
        <v>73</v>
      </c>
      <c r="AA239" s="2" t="s">
        <v>1102</v>
      </c>
      <c r="AB239" s="2" t="str">
        <f>LEFT(A239,3)</f>
        <v>LNI</v>
      </c>
    </row>
    <row r="240" spans="1:28">
      <c r="A240" s="2" t="s">
        <v>1104</v>
      </c>
      <c r="B240" s="2" t="s">
        <v>29</v>
      </c>
      <c r="C240" s="2" t="s">
        <v>30</v>
      </c>
      <c r="D240" s="6" t="s">
        <v>1105</v>
      </c>
      <c r="E240" s="2" t="s">
        <v>52</v>
      </c>
      <c r="F240" s="6" t="s">
        <v>1106</v>
      </c>
      <c r="G240" s="6" t="s">
        <v>1106</v>
      </c>
      <c r="H240" s="6" t="s">
        <v>1106</v>
      </c>
      <c r="I240" s="2" t="s">
        <v>53</v>
      </c>
      <c r="J240" s="7">
        <v>446876</v>
      </c>
      <c r="K240" s="7">
        <v>211937</v>
      </c>
      <c r="L240" s="8">
        <v>166.454902</v>
      </c>
      <c r="M240" s="8">
        <v>-22.294744999999999</v>
      </c>
      <c r="N240" s="2">
        <v>1</v>
      </c>
      <c r="O240" s="2">
        <v>1</v>
      </c>
      <c r="P240" s="2">
        <v>1</v>
      </c>
      <c r="Q240" s="2" t="s">
        <v>35</v>
      </c>
      <c r="R240" s="2" t="s">
        <v>1107</v>
      </c>
      <c r="S240" s="2" t="s">
        <v>37</v>
      </c>
      <c r="U240" s="2">
        <f>P240-N240</f>
        <v>0</v>
      </c>
      <c r="W240" s="30" t="s">
        <v>52</v>
      </c>
      <c r="X240" s="6" t="s">
        <v>52</v>
      </c>
      <c r="Y240" s="6" t="s">
        <v>1106</v>
      </c>
      <c r="Z240" s="2" t="s">
        <v>40</v>
      </c>
      <c r="AA240" s="6" t="s">
        <v>1106</v>
      </c>
      <c r="AB240" s="2" t="str">
        <f>LEFT(A240,3)</f>
        <v>LTU</v>
      </c>
    </row>
    <row r="241" spans="1:28">
      <c r="A241" s="2" t="s">
        <v>1108</v>
      </c>
      <c r="B241" s="2" t="s">
        <v>49</v>
      </c>
      <c r="C241" s="2" t="s">
        <v>50</v>
      </c>
      <c r="D241" s="6" t="s">
        <v>1109</v>
      </c>
      <c r="E241" s="2" t="s">
        <v>52</v>
      </c>
      <c r="F241" s="6" t="s">
        <v>1110</v>
      </c>
      <c r="G241" s="6" t="s">
        <v>1110</v>
      </c>
      <c r="H241" s="6" t="s">
        <v>1110</v>
      </c>
      <c r="I241" s="2" t="s">
        <v>53</v>
      </c>
      <c r="J241" s="7">
        <v>442464</v>
      </c>
      <c r="K241" s="7">
        <v>225260</v>
      </c>
      <c r="L241" s="8">
        <v>166.41175000000001</v>
      </c>
      <c r="M241" s="8">
        <v>-22.17454</v>
      </c>
      <c r="N241" s="2">
        <v>3</v>
      </c>
      <c r="O241" s="2">
        <v>6</v>
      </c>
      <c r="P241" s="2">
        <v>6</v>
      </c>
      <c r="Q241" s="2" t="s">
        <v>35</v>
      </c>
      <c r="R241" s="2" t="s">
        <v>1111</v>
      </c>
      <c r="S241" s="2" t="s">
        <v>37</v>
      </c>
      <c r="U241" s="2">
        <f>P241-N241</f>
        <v>3</v>
      </c>
      <c r="W241" s="30" t="s">
        <v>52</v>
      </c>
      <c r="X241" s="6" t="s">
        <v>52</v>
      </c>
      <c r="Y241" s="6" t="s">
        <v>1110</v>
      </c>
      <c r="Z241" s="2" t="s">
        <v>40</v>
      </c>
      <c r="AA241" s="6" t="s">
        <v>1110</v>
      </c>
      <c r="AB241" s="2" t="str">
        <f>LEFT(A241,3)</f>
        <v>LUZ</v>
      </c>
    </row>
    <row r="242" spans="1:28">
      <c r="A242" s="2" t="s">
        <v>1112</v>
      </c>
      <c r="B242" s="2" t="s">
        <v>29</v>
      </c>
      <c r="C242" s="2" t="s">
        <v>30</v>
      </c>
      <c r="D242" s="2" t="s">
        <v>1113</v>
      </c>
      <c r="E242" s="2" t="s">
        <v>52</v>
      </c>
      <c r="F242" s="6" t="s">
        <v>1114</v>
      </c>
      <c r="G242" s="6" t="s">
        <v>1114</v>
      </c>
      <c r="H242" s="6" t="s">
        <v>1114</v>
      </c>
      <c r="I242" s="2" t="s">
        <v>53</v>
      </c>
      <c r="J242" s="7">
        <v>447873</v>
      </c>
      <c r="K242" s="7">
        <v>215026</v>
      </c>
      <c r="L242" s="9">
        <v>166.46449000000001</v>
      </c>
      <c r="M242" s="9">
        <v>-22.266819999999999</v>
      </c>
      <c r="N242" s="2">
        <v>2</v>
      </c>
      <c r="O242" s="2">
        <v>2</v>
      </c>
      <c r="P242" s="2">
        <f>N242</f>
        <v>2</v>
      </c>
      <c r="Q242" s="2" t="s">
        <v>35</v>
      </c>
      <c r="R242" s="2" t="s">
        <v>1115</v>
      </c>
      <c r="S242" s="2" t="s">
        <v>37</v>
      </c>
      <c r="U242" s="2">
        <f>P242-N242</f>
        <v>0</v>
      </c>
      <c r="W242" s="30" t="s">
        <v>52</v>
      </c>
      <c r="X242" s="6" t="s">
        <v>52</v>
      </c>
      <c r="Y242" s="6" t="s">
        <v>1114</v>
      </c>
      <c r="Z242" s="2" t="s">
        <v>40</v>
      </c>
      <c r="AA242" s="6" t="s">
        <v>1114</v>
      </c>
      <c r="AB242" s="2" t="str">
        <f>LEFT(A242,3)</f>
        <v>MAG</v>
      </c>
    </row>
    <row r="243" spans="1:28">
      <c r="A243" s="6" t="s">
        <v>1116</v>
      </c>
      <c r="B243" s="6" t="s">
        <v>297</v>
      </c>
      <c r="C243" s="6" t="s">
        <v>68</v>
      </c>
      <c r="D243" s="6" t="s">
        <v>1117</v>
      </c>
      <c r="E243" s="6" t="s">
        <v>1117</v>
      </c>
      <c r="F243" s="6" t="s">
        <v>1118</v>
      </c>
      <c r="G243" s="2" t="s">
        <v>1118</v>
      </c>
      <c r="H243" s="2" t="s">
        <v>298</v>
      </c>
      <c r="I243" s="2" t="s">
        <v>34</v>
      </c>
      <c r="J243" s="7">
        <v>241219</v>
      </c>
      <c r="K243" s="7">
        <v>432204</v>
      </c>
      <c r="L243" s="8">
        <v>164.47995800349801</v>
      </c>
      <c r="M243" s="8">
        <v>-20.298903870331401</v>
      </c>
      <c r="N243" s="2">
        <v>2</v>
      </c>
      <c r="O243" s="2">
        <v>2</v>
      </c>
      <c r="P243" s="2">
        <v>2</v>
      </c>
      <c r="Q243" s="2" t="s">
        <v>35</v>
      </c>
      <c r="R243" s="2" t="s">
        <v>1119</v>
      </c>
      <c r="S243" s="2" t="s">
        <v>47</v>
      </c>
      <c r="U243" s="2">
        <f>P243-N243</f>
        <v>0</v>
      </c>
      <c r="W243" s="30" t="s">
        <v>1117</v>
      </c>
      <c r="X243" s="2" t="s">
        <v>82</v>
      </c>
      <c r="Y243" s="6" t="s">
        <v>1118</v>
      </c>
      <c r="Z243" s="2" t="s">
        <v>73</v>
      </c>
      <c r="AA243" s="2" t="s">
        <v>1118</v>
      </c>
      <c r="AB243" s="2" t="str">
        <f>LEFT(A243,3)</f>
        <v>MAH</v>
      </c>
    </row>
    <row r="244" spans="1:28">
      <c r="A244" s="2" t="s">
        <v>1120</v>
      </c>
      <c r="B244" s="2" t="s">
        <v>609</v>
      </c>
      <c r="C244" s="2" t="s">
        <v>68</v>
      </c>
      <c r="D244" s="2" t="s">
        <v>1121</v>
      </c>
      <c r="E244" s="2" t="s">
        <v>1121</v>
      </c>
      <c r="F244" s="2" t="s">
        <v>1121</v>
      </c>
      <c r="G244" s="2" t="s">
        <v>52</v>
      </c>
      <c r="H244" s="2" t="s">
        <v>1121</v>
      </c>
      <c r="I244" s="2" t="s">
        <v>34</v>
      </c>
      <c r="J244" s="7">
        <v>376005</v>
      </c>
      <c r="K244" s="7">
        <v>310866</v>
      </c>
      <c r="L244" s="8">
        <v>165.76856428092901</v>
      </c>
      <c r="M244" s="8">
        <v>-21.401692446866299</v>
      </c>
      <c r="N244" s="2">
        <v>1</v>
      </c>
      <c r="O244" s="2">
        <v>1</v>
      </c>
      <c r="P244" s="2">
        <v>0</v>
      </c>
      <c r="Q244" s="2" t="s">
        <v>587</v>
      </c>
      <c r="R244" s="2" t="s">
        <v>1121</v>
      </c>
      <c r="S244" s="2" t="s">
        <v>47</v>
      </c>
      <c r="U244" s="2">
        <f>P244-N244</f>
        <v>-1</v>
      </c>
      <c r="W244" s="30"/>
      <c r="X244" s="2" t="s">
        <v>82</v>
      </c>
      <c r="Y244" s="2" t="s">
        <v>1121</v>
      </c>
      <c r="Z244" s="2" t="s">
        <v>73</v>
      </c>
      <c r="AA244" s="2" t="s">
        <v>52</v>
      </c>
      <c r="AB244" s="2" t="str">
        <f>LEFT(A244,3)</f>
        <v>MAI</v>
      </c>
    </row>
    <row r="245" spans="1:28">
      <c r="A245" s="6" t="s">
        <v>1122</v>
      </c>
      <c r="B245" s="6" t="s">
        <v>142</v>
      </c>
      <c r="C245" s="6" t="s">
        <v>43</v>
      </c>
      <c r="D245" s="6" t="s">
        <v>1123</v>
      </c>
      <c r="E245" s="6" t="s">
        <v>52</v>
      </c>
      <c r="F245" s="6" t="s">
        <v>1124</v>
      </c>
      <c r="G245" s="2" t="s">
        <v>1124</v>
      </c>
      <c r="H245" s="2" t="s">
        <v>1124</v>
      </c>
      <c r="I245" s="2" t="s">
        <v>53</v>
      </c>
      <c r="J245" s="7">
        <v>492025</v>
      </c>
      <c r="K245" s="7">
        <v>237838</v>
      </c>
      <c r="L245" s="8">
        <v>166.891605</v>
      </c>
      <c r="M245" s="8">
        <v>-22.059076999999998</v>
      </c>
      <c r="N245" s="2">
        <v>3</v>
      </c>
      <c r="O245" s="2">
        <v>3</v>
      </c>
      <c r="P245" s="2">
        <f>N245</f>
        <v>3</v>
      </c>
      <c r="Q245" s="2" t="s">
        <v>35</v>
      </c>
      <c r="R245" s="2" t="s">
        <v>1125</v>
      </c>
      <c r="S245" s="2" t="s">
        <v>47</v>
      </c>
      <c r="U245" s="2">
        <f>P245-N245</f>
        <v>0</v>
      </c>
      <c r="W245" s="30" t="s">
        <v>52</v>
      </c>
      <c r="X245" s="2" t="s">
        <v>52</v>
      </c>
      <c r="Y245" s="6" t="s">
        <v>1124</v>
      </c>
      <c r="Z245" s="2" t="s">
        <v>73</v>
      </c>
      <c r="AA245" s="2" t="s">
        <v>1124</v>
      </c>
      <c r="AB245" s="2" t="str">
        <f>LEFT(A245,3)</f>
        <v>MAM</v>
      </c>
    </row>
    <row r="246" spans="1:28">
      <c r="A246" s="6" t="s">
        <v>1126</v>
      </c>
      <c r="B246" s="6" t="s">
        <v>297</v>
      </c>
      <c r="C246" s="6" t="s">
        <v>68</v>
      </c>
      <c r="D246" s="6" t="s">
        <v>228</v>
      </c>
      <c r="E246" s="6" t="s">
        <v>228</v>
      </c>
      <c r="F246" s="6" t="s">
        <v>228</v>
      </c>
      <c r="G246" s="2" t="s">
        <v>1127</v>
      </c>
      <c r="H246" s="2" t="s">
        <v>228</v>
      </c>
      <c r="I246" s="2" t="s">
        <v>34</v>
      </c>
      <c r="J246" s="7">
        <v>246772.65925</v>
      </c>
      <c r="K246" s="7">
        <v>421399.73358</v>
      </c>
      <c r="L246" s="8">
        <v>164.53215323559499</v>
      </c>
      <c r="M246" s="8">
        <v>-20.396958929040199</v>
      </c>
      <c r="N246" s="2">
        <v>2</v>
      </c>
      <c r="O246" s="2">
        <v>2</v>
      </c>
      <c r="P246" s="2">
        <f>N246</f>
        <v>2</v>
      </c>
      <c r="Q246" s="2" t="s">
        <v>35</v>
      </c>
      <c r="R246" s="2" t="s">
        <v>1128</v>
      </c>
      <c r="S246" s="2" t="s">
        <v>47</v>
      </c>
      <c r="U246" s="2">
        <f>P246-N246</f>
        <v>0</v>
      </c>
      <c r="W246" s="30" t="s">
        <v>228</v>
      </c>
      <c r="X246" s="2" t="s">
        <v>82</v>
      </c>
      <c r="Y246" s="6" t="s">
        <v>228</v>
      </c>
      <c r="Z246" s="2" t="s">
        <v>73</v>
      </c>
      <c r="AA246" s="2" t="s">
        <v>1127</v>
      </c>
      <c r="AB246" s="2" t="str">
        <f>LEFT(A246,3)</f>
        <v>MAN</v>
      </c>
    </row>
    <row r="247" spans="1:28">
      <c r="A247" s="6" t="s">
        <v>1129</v>
      </c>
      <c r="B247" s="6" t="s">
        <v>42</v>
      </c>
      <c r="C247" s="6" t="s">
        <v>43</v>
      </c>
      <c r="D247" s="6" t="s">
        <v>469</v>
      </c>
      <c r="E247" s="6" t="s">
        <v>468</v>
      </c>
      <c r="F247" s="6" t="s">
        <v>469</v>
      </c>
      <c r="G247" s="2" t="s">
        <v>469</v>
      </c>
      <c r="H247" s="2" t="s">
        <v>468</v>
      </c>
      <c r="I247" s="2" t="s">
        <v>34</v>
      </c>
      <c r="J247" s="7">
        <v>379838</v>
      </c>
      <c r="K247" s="7">
        <v>289563</v>
      </c>
      <c r="L247" s="8">
        <v>165.80527821707801</v>
      </c>
      <c r="M247" s="8">
        <v>-21.5941576780356</v>
      </c>
      <c r="N247" s="2">
        <v>2</v>
      </c>
      <c r="O247" s="2">
        <v>2</v>
      </c>
      <c r="P247" s="2">
        <v>2</v>
      </c>
      <c r="Q247" s="2" t="s">
        <v>35</v>
      </c>
      <c r="R247" s="2" t="s">
        <v>1130</v>
      </c>
      <c r="S247" s="2" t="s">
        <v>47</v>
      </c>
      <c r="U247" s="2">
        <f>P247-N247</f>
        <v>0</v>
      </c>
      <c r="V247" s="2" t="s">
        <v>102</v>
      </c>
      <c r="W247" s="30" t="s">
        <v>468</v>
      </c>
      <c r="X247" s="2" t="s">
        <v>39</v>
      </c>
      <c r="Y247" s="6" t="s">
        <v>469</v>
      </c>
      <c r="Z247" s="2" t="s">
        <v>40</v>
      </c>
      <c r="AA247" s="2" t="s">
        <v>469</v>
      </c>
      <c r="AB247" s="2" t="str">
        <f>LEFT(A247,3)</f>
        <v>MAT</v>
      </c>
    </row>
    <row r="248" spans="1:28">
      <c r="A248" s="6" t="s">
        <v>1131</v>
      </c>
      <c r="B248" s="6" t="s">
        <v>351</v>
      </c>
      <c r="C248" s="6" t="s">
        <v>129</v>
      </c>
      <c r="D248" s="6" t="s">
        <v>1132</v>
      </c>
      <c r="E248" s="6" t="s">
        <v>52</v>
      </c>
      <c r="F248" s="6" t="s">
        <v>1133</v>
      </c>
      <c r="G248" s="6" t="s">
        <v>1133</v>
      </c>
      <c r="H248" s="6" t="s">
        <v>1133</v>
      </c>
      <c r="I248" s="2" t="s">
        <v>53</v>
      </c>
      <c r="J248" s="7">
        <v>591737</v>
      </c>
      <c r="K248" s="7">
        <v>297254</v>
      </c>
      <c r="L248" s="8">
        <v>167.85080400000001</v>
      </c>
      <c r="M248" s="8">
        <v>-21.514551000000001</v>
      </c>
      <c r="N248" s="2">
        <v>3</v>
      </c>
      <c r="O248" s="2">
        <v>3</v>
      </c>
      <c r="P248" s="2">
        <v>3</v>
      </c>
      <c r="Q248" s="2" t="s">
        <v>35</v>
      </c>
      <c r="R248" s="2" t="s">
        <v>1134</v>
      </c>
      <c r="S248" s="2" t="s">
        <v>47</v>
      </c>
      <c r="U248" s="2">
        <f>P248-N248</f>
        <v>0</v>
      </c>
      <c r="W248" s="30" t="s">
        <v>52</v>
      </c>
      <c r="X248" s="2" t="s">
        <v>52</v>
      </c>
      <c r="Y248" s="6" t="s">
        <v>1133</v>
      </c>
      <c r="Z248" s="2" t="s">
        <v>73</v>
      </c>
      <c r="AA248" s="6" t="s">
        <v>1133</v>
      </c>
      <c r="AB248" s="2" t="str">
        <f>LEFT(A248,3)</f>
        <v>MBT</v>
      </c>
    </row>
    <row r="249" spans="1:28">
      <c r="A249" s="6" t="s">
        <v>1135</v>
      </c>
      <c r="B249" s="6" t="s">
        <v>351</v>
      </c>
      <c r="C249" s="6" t="s">
        <v>129</v>
      </c>
      <c r="D249" s="6" t="s">
        <v>1136</v>
      </c>
      <c r="E249" s="6" t="s">
        <v>52</v>
      </c>
      <c r="F249" s="6" t="s">
        <v>1133</v>
      </c>
      <c r="G249" s="6" t="s">
        <v>1133</v>
      </c>
      <c r="H249" s="6" t="s">
        <v>1133</v>
      </c>
      <c r="I249" s="2" t="s">
        <v>53</v>
      </c>
      <c r="J249" s="7">
        <v>592172</v>
      </c>
      <c r="K249" s="7">
        <v>296816</v>
      </c>
      <c r="L249" s="8">
        <v>167.855053</v>
      </c>
      <c r="M249" s="8">
        <v>-21.518460000000001</v>
      </c>
      <c r="N249" s="2">
        <v>1</v>
      </c>
      <c r="O249" s="2">
        <v>1</v>
      </c>
      <c r="P249" s="2">
        <v>1</v>
      </c>
      <c r="Q249" s="2" t="s">
        <v>35</v>
      </c>
      <c r="R249" s="2" t="s">
        <v>1137</v>
      </c>
      <c r="S249" s="2" t="s">
        <v>47</v>
      </c>
      <c r="U249" s="2">
        <f>P249-N249</f>
        <v>0</v>
      </c>
      <c r="W249" s="30" t="s">
        <v>52</v>
      </c>
      <c r="X249" s="2" t="s">
        <v>52</v>
      </c>
      <c r="Y249" s="6" t="s">
        <v>1138</v>
      </c>
      <c r="Z249" s="2" t="s">
        <v>73</v>
      </c>
      <c r="AA249" s="6" t="s">
        <v>1138</v>
      </c>
      <c r="AB249" s="2" t="str">
        <f>LEFT(A249,3)</f>
        <v>MBU</v>
      </c>
    </row>
    <row r="250" spans="1:28">
      <c r="A250" s="6" t="s">
        <v>1139</v>
      </c>
      <c r="B250" s="6" t="s">
        <v>29</v>
      </c>
      <c r="C250" s="6" t="s">
        <v>30</v>
      </c>
      <c r="D250" s="6" t="s">
        <v>1140</v>
      </c>
      <c r="E250" s="6" t="s">
        <v>1140</v>
      </c>
      <c r="F250" s="6" t="s">
        <v>1141</v>
      </c>
      <c r="G250" s="6" t="s">
        <v>1141</v>
      </c>
      <c r="H250" s="2" t="s">
        <v>1140</v>
      </c>
      <c r="I250" s="2" t="s">
        <v>53</v>
      </c>
      <c r="J250" s="7">
        <v>446389</v>
      </c>
      <c r="K250" s="7">
        <v>210146</v>
      </c>
      <c r="L250" s="8">
        <v>166.450226474532</v>
      </c>
      <c r="M250" s="8">
        <v>-22.310931685908599</v>
      </c>
      <c r="N250" s="2">
        <v>2</v>
      </c>
      <c r="O250" s="2">
        <v>2</v>
      </c>
      <c r="P250" s="2">
        <v>1</v>
      </c>
      <c r="Q250" s="2" t="s">
        <v>35</v>
      </c>
      <c r="R250" s="2" t="s">
        <v>1142</v>
      </c>
      <c r="S250" s="2" t="s">
        <v>37</v>
      </c>
      <c r="U250" s="2">
        <f>P250-N250</f>
        <v>-1</v>
      </c>
      <c r="W250" s="30" t="s">
        <v>52</v>
      </c>
      <c r="X250" s="2" t="s">
        <v>39</v>
      </c>
      <c r="Y250" s="6" t="s">
        <v>1141</v>
      </c>
      <c r="Z250" s="2" t="s">
        <v>40</v>
      </c>
      <c r="AA250" s="6" t="s">
        <v>1141</v>
      </c>
      <c r="AB250" s="2" t="str">
        <f>LEFT(A250,3)</f>
        <v>MCH</v>
      </c>
    </row>
    <row r="251" spans="1:28">
      <c r="A251" s="6" t="s">
        <v>1143</v>
      </c>
      <c r="B251" s="6" t="s">
        <v>29</v>
      </c>
      <c r="C251" s="6" t="s">
        <v>30</v>
      </c>
      <c r="D251" s="6" t="s">
        <v>1144</v>
      </c>
      <c r="E251" s="6" t="s">
        <v>52</v>
      </c>
      <c r="F251" s="6" t="s">
        <v>1145</v>
      </c>
      <c r="G251" s="6" t="s">
        <v>1145</v>
      </c>
      <c r="H251" s="6" t="s">
        <v>1145</v>
      </c>
      <c r="I251" s="2" t="s">
        <v>53</v>
      </c>
      <c r="J251" s="7">
        <v>446421</v>
      </c>
      <c r="K251" s="7">
        <v>216341</v>
      </c>
      <c r="L251" s="8">
        <v>166.45036400000001</v>
      </c>
      <c r="M251" s="8">
        <v>-22.254985999999999</v>
      </c>
      <c r="N251" s="2">
        <v>3</v>
      </c>
      <c r="O251" s="2">
        <v>3</v>
      </c>
      <c r="P251" s="2">
        <v>6</v>
      </c>
      <c r="Q251" s="2" t="s">
        <v>35</v>
      </c>
      <c r="R251" s="2" t="s">
        <v>1146</v>
      </c>
      <c r="S251" s="2" t="s">
        <v>37</v>
      </c>
      <c r="U251" s="2">
        <f>P251-N251</f>
        <v>3</v>
      </c>
      <c r="W251" s="30" t="s">
        <v>52</v>
      </c>
      <c r="X251" s="2" t="s">
        <v>39</v>
      </c>
      <c r="Y251" s="6" t="s">
        <v>1145</v>
      </c>
      <c r="Z251" s="2" t="s">
        <v>40</v>
      </c>
      <c r="AA251" s="6" t="s">
        <v>1145</v>
      </c>
      <c r="AB251" s="2" t="str">
        <f>LEFT(A251,3)</f>
        <v>MCP</v>
      </c>
    </row>
    <row r="252" spans="1:28">
      <c r="A252" s="2" t="s">
        <v>1147</v>
      </c>
      <c r="B252" s="2" t="s">
        <v>207</v>
      </c>
      <c r="C252" s="2" t="s">
        <v>43</v>
      </c>
      <c r="D252" s="2" t="s">
        <v>1148</v>
      </c>
      <c r="E252" s="2" t="s">
        <v>1148</v>
      </c>
      <c r="F252" s="2" t="s">
        <v>1148</v>
      </c>
      <c r="G252" s="2" t="s">
        <v>1149</v>
      </c>
      <c r="H252" s="2" t="s">
        <v>1079</v>
      </c>
      <c r="I252" s="2" t="s">
        <v>34</v>
      </c>
      <c r="J252" s="7">
        <v>399981.89140000002</v>
      </c>
      <c r="K252" s="7">
        <v>271913.60421000002</v>
      </c>
      <c r="L252" s="8">
        <v>165.999825968664</v>
      </c>
      <c r="M252" s="8">
        <v>-21.753680685675999</v>
      </c>
      <c r="N252" s="2">
        <v>1</v>
      </c>
      <c r="O252" s="2">
        <v>1</v>
      </c>
      <c r="P252" s="2">
        <f>N252</f>
        <v>1</v>
      </c>
      <c r="Q252" s="2" t="s">
        <v>35</v>
      </c>
      <c r="R252" s="2" t="s">
        <v>1150</v>
      </c>
      <c r="S252" s="2" t="s">
        <v>47</v>
      </c>
      <c r="U252" s="2">
        <f>P252-N252</f>
        <v>0</v>
      </c>
      <c r="W252" s="30" t="s">
        <v>1148</v>
      </c>
      <c r="X252" s="2" t="s">
        <v>39</v>
      </c>
      <c r="Y252" s="2" t="s">
        <v>1148</v>
      </c>
      <c r="Z252" s="2" t="s">
        <v>40</v>
      </c>
      <c r="AA252" s="2" t="s">
        <v>1149</v>
      </c>
      <c r="AB252" s="2" t="str">
        <f>LEFT(A252,3)</f>
        <v>MD2</v>
      </c>
    </row>
    <row r="253" spans="1:28">
      <c r="A253" s="6" t="s">
        <v>1151</v>
      </c>
      <c r="B253" s="6" t="s">
        <v>207</v>
      </c>
      <c r="C253" s="6" t="s">
        <v>43</v>
      </c>
      <c r="D253" s="6" t="s">
        <v>1079</v>
      </c>
      <c r="E253" s="6" t="s">
        <v>1079</v>
      </c>
      <c r="F253" s="6" t="s">
        <v>1079</v>
      </c>
      <c r="G253" s="2" t="s">
        <v>1152</v>
      </c>
      <c r="H253" s="2" t="s">
        <v>1152</v>
      </c>
      <c r="I253" s="2" t="s">
        <v>53</v>
      </c>
      <c r="J253" s="7">
        <v>399981.89140000002</v>
      </c>
      <c r="K253" s="7">
        <v>271913.60421000002</v>
      </c>
      <c r="L253" s="8">
        <v>165.999825968664</v>
      </c>
      <c r="M253" s="8">
        <v>-21.753680685675999</v>
      </c>
      <c r="N253" s="2">
        <v>4</v>
      </c>
      <c r="O253" s="2">
        <v>6</v>
      </c>
      <c r="P253" s="2">
        <v>8</v>
      </c>
      <c r="Q253" s="2" t="s">
        <v>35</v>
      </c>
      <c r="R253" s="2" t="s">
        <v>1153</v>
      </c>
      <c r="S253" s="2" t="s">
        <v>47</v>
      </c>
      <c r="U253" s="2">
        <f>P253-N253</f>
        <v>4</v>
      </c>
      <c r="W253" s="30" t="s">
        <v>1079</v>
      </c>
      <c r="X253" s="2" t="s">
        <v>39</v>
      </c>
      <c r="Y253" s="6" t="s">
        <v>1079</v>
      </c>
      <c r="Z253" s="2" t="s">
        <v>40</v>
      </c>
      <c r="AA253" s="2" t="s">
        <v>1152</v>
      </c>
      <c r="AB253" s="2" t="str">
        <f>LEFT(A253,3)</f>
        <v>MDO</v>
      </c>
    </row>
    <row r="254" spans="1:28">
      <c r="A254" s="6" t="s">
        <v>1154</v>
      </c>
      <c r="B254" s="6" t="s">
        <v>93</v>
      </c>
      <c r="C254" s="6" t="s">
        <v>43</v>
      </c>
      <c r="D254" s="6" t="s">
        <v>1155</v>
      </c>
      <c r="E254" s="6" t="s">
        <v>52</v>
      </c>
      <c r="F254" s="6" t="s">
        <v>1156</v>
      </c>
      <c r="G254" s="6" t="s">
        <v>1156</v>
      </c>
      <c r="H254" s="6" t="s">
        <v>1156</v>
      </c>
      <c r="I254" s="2" t="s">
        <v>53</v>
      </c>
      <c r="J254" s="7">
        <v>454360</v>
      </c>
      <c r="K254" s="7">
        <v>220003</v>
      </c>
      <c r="L254" s="8">
        <v>166.527265</v>
      </c>
      <c r="M254" s="8">
        <v>-22.221689999999999</v>
      </c>
      <c r="N254" s="2">
        <v>2</v>
      </c>
      <c r="O254" s="2">
        <v>2</v>
      </c>
      <c r="P254" s="2">
        <v>4</v>
      </c>
      <c r="Q254" s="2" t="s">
        <v>35</v>
      </c>
      <c r="R254" s="2" t="s">
        <v>1157</v>
      </c>
      <c r="S254" s="2" t="s">
        <v>37</v>
      </c>
      <c r="U254" s="2">
        <f>P254-N254</f>
        <v>2</v>
      </c>
      <c r="W254" s="30" t="s">
        <v>52</v>
      </c>
      <c r="X254" s="2" t="s">
        <v>52</v>
      </c>
      <c r="Y254" s="6" t="s">
        <v>1156</v>
      </c>
      <c r="Z254" s="2" t="s">
        <v>40</v>
      </c>
      <c r="AA254" s="6" t="s">
        <v>1156</v>
      </c>
      <c r="AB254" s="2" t="str">
        <f>LEFT(A254,3)</f>
        <v>MDR</v>
      </c>
    </row>
    <row r="255" spans="1:28">
      <c r="A255" s="2" t="s">
        <v>1158</v>
      </c>
      <c r="B255" s="2" t="s">
        <v>609</v>
      </c>
      <c r="C255" s="2" t="s">
        <v>68</v>
      </c>
      <c r="D255" s="6" t="s">
        <v>1159</v>
      </c>
      <c r="E255" s="6" t="s">
        <v>1159</v>
      </c>
      <c r="F255" s="6" t="s">
        <v>1159</v>
      </c>
      <c r="G255" s="2" t="s">
        <v>1160</v>
      </c>
      <c r="H255" s="2" t="s">
        <v>1159</v>
      </c>
      <c r="I255" s="2" t="s">
        <v>145</v>
      </c>
      <c r="J255" s="7">
        <v>375904</v>
      </c>
      <c r="K255" s="7">
        <v>304915</v>
      </c>
      <c r="L255" s="9">
        <v>165.767505</v>
      </c>
      <c r="M255" s="8">
        <v>-21.455444</v>
      </c>
      <c r="N255" s="2">
        <v>3</v>
      </c>
      <c r="O255" s="2">
        <v>3</v>
      </c>
      <c r="P255" s="2">
        <f>N255</f>
        <v>3</v>
      </c>
      <c r="Q255" s="2" t="s">
        <v>86</v>
      </c>
      <c r="R255" s="2" t="s">
        <v>1161</v>
      </c>
      <c r="S255" s="2" t="s">
        <v>47</v>
      </c>
      <c r="T255" s="2" t="s">
        <v>205</v>
      </c>
      <c r="U255" s="2">
        <f>P255-N255</f>
        <v>0</v>
      </c>
      <c r="W255" s="30" t="s">
        <v>1159</v>
      </c>
      <c r="X255" s="2" t="s">
        <v>82</v>
      </c>
      <c r="Y255" s="6" t="s">
        <v>1159</v>
      </c>
      <c r="Z255" s="2" t="s">
        <v>73</v>
      </c>
      <c r="AA255" s="2" t="s">
        <v>1160</v>
      </c>
      <c r="AB255" s="2" t="str">
        <f>LEFT(A255,3)</f>
        <v>MEA</v>
      </c>
    </row>
    <row r="256" spans="1:28">
      <c r="A256" s="6" t="s">
        <v>1162</v>
      </c>
      <c r="B256" s="6" t="s">
        <v>609</v>
      </c>
      <c r="C256" s="6" t="s">
        <v>68</v>
      </c>
      <c r="D256" s="6" t="s">
        <v>1163</v>
      </c>
      <c r="E256" s="6" t="s">
        <v>1164</v>
      </c>
      <c r="F256" s="6" t="s">
        <v>1163</v>
      </c>
      <c r="G256" s="2" t="s">
        <v>1163</v>
      </c>
      <c r="H256" s="2" t="s">
        <v>1163</v>
      </c>
      <c r="I256" s="2" t="s">
        <v>53</v>
      </c>
      <c r="J256" s="7">
        <v>370765.49258000002</v>
      </c>
      <c r="K256" s="7">
        <v>299664.39805000002</v>
      </c>
      <c r="L256" s="8">
        <v>165.71782869640299</v>
      </c>
      <c r="M256" s="8">
        <v>-21.502796582650198</v>
      </c>
      <c r="N256" s="2">
        <v>2</v>
      </c>
      <c r="O256" s="2">
        <v>2</v>
      </c>
      <c r="P256" s="2">
        <v>2</v>
      </c>
      <c r="Q256" s="2" t="s">
        <v>195</v>
      </c>
      <c r="R256" s="2" t="s">
        <v>1165</v>
      </c>
      <c r="S256" s="2" t="s">
        <v>47</v>
      </c>
      <c r="U256" s="2">
        <f>P256-N256</f>
        <v>0</v>
      </c>
      <c r="W256" s="30" t="s">
        <v>1164</v>
      </c>
      <c r="X256" s="2" t="s">
        <v>82</v>
      </c>
      <c r="Y256" s="6" t="s">
        <v>1163</v>
      </c>
      <c r="Z256" s="2" t="s">
        <v>73</v>
      </c>
      <c r="AA256" s="6" t="s">
        <v>1163</v>
      </c>
      <c r="AB256" s="2" t="str">
        <f>LEFT(A256,3)</f>
        <v>MEB</v>
      </c>
    </row>
    <row r="257" spans="1:28">
      <c r="A257" s="6" t="s">
        <v>1166</v>
      </c>
      <c r="B257" s="6" t="s">
        <v>351</v>
      </c>
      <c r="C257" s="6" t="s">
        <v>129</v>
      </c>
      <c r="D257" s="6" t="s">
        <v>1167</v>
      </c>
      <c r="E257" s="6" t="s">
        <v>1167</v>
      </c>
      <c r="F257" s="6" t="s">
        <v>1167</v>
      </c>
      <c r="G257" s="2" t="s">
        <v>1168</v>
      </c>
      <c r="H257" s="2" t="s">
        <v>1167</v>
      </c>
      <c r="I257" s="2" t="s">
        <v>34</v>
      </c>
      <c r="J257" s="7">
        <v>602286.08476999996</v>
      </c>
      <c r="K257" s="7">
        <v>285281.13772</v>
      </c>
      <c r="L257" s="8">
        <v>167.954066156577</v>
      </c>
      <c r="M257" s="8">
        <v>-21.621527942811898</v>
      </c>
      <c r="N257" s="2">
        <v>2</v>
      </c>
      <c r="O257" s="2">
        <v>2</v>
      </c>
      <c r="P257" s="2">
        <f>N257</f>
        <v>2</v>
      </c>
      <c r="Q257" s="2" t="s">
        <v>35</v>
      </c>
      <c r="R257" s="2" t="s">
        <v>1169</v>
      </c>
      <c r="S257" s="2" t="s">
        <v>47</v>
      </c>
      <c r="U257" s="2">
        <f>P257-N257</f>
        <v>0</v>
      </c>
      <c r="W257" s="30" t="s">
        <v>1167</v>
      </c>
      <c r="X257" s="2" t="s">
        <v>82</v>
      </c>
      <c r="Y257" s="6" t="s">
        <v>1167</v>
      </c>
      <c r="Z257" s="2" t="s">
        <v>73</v>
      </c>
      <c r="AA257" s="2" t="s">
        <v>1168</v>
      </c>
      <c r="AB257" s="2" t="str">
        <f>LEFT(A257,3)</f>
        <v>MED</v>
      </c>
    </row>
    <row r="258" spans="1:28">
      <c r="A258" s="6" t="s">
        <v>1170</v>
      </c>
      <c r="B258" s="6" t="s">
        <v>178</v>
      </c>
      <c r="C258" s="6" t="s">
        <v>68</v>
      </c>
      <c r="D258" s="6" t="s">
        <v>1171</v>
      </c>
      <c r="E258" s="6" t="s">
        <v>1171</v>
      </c>
      <c r="F258" s="6" t="s">
        <v>1171</v>
      </c>
      <c r="G258" s="2" t="s">
        <v>1172</v>
      </c>
      <c r="H258" s="2" t="s">
        <v>1171</v>
      </c>
      <c r="I258" s="2" t="s">
        <v>34</v>
      </c>
      <c r="J258" s="7">
        <v>288134.31682000001</v>
      </c>
      <c r="K258" s="7">
        <v>327233.20922000002</v>
      </c>
      <c r="L258" s="8">
        <v>164.92213880710099</v>
      </c>
      <c r="M258" s="8">
        <v>-21.250532968566301</v>
      </c>
      <c r="N258" s="2">
        <v>2</v>
      </c>
      <c r="O258" s="2">
        <v>2</v>
      </c>
      <c r="P258" s="2">
        <v>2</v>
      </c>
      <c r="Q258" s="2" t="s">
        <v>35</v>
      </c>
      <c r="R258" s="2" t="s">
        <v>1173</v>
      </c>
      <c r="S258" s="2" t="s">
        <v>47</v>
      </c>
      <c r="U258" s="2">
        <f>P258-N258</f>
        <v>0</v>
      </c>
      <c r="W258" s="30" t="s">
        <v>1171</v>
      </c>
      <c r="X258" s="2" t="s">
        <v>82</v>
      </c>
      <c r="Y258" s="6" t="s">
        <v>1171</v>
      </c>
      <c r="Z258" s="2" t="s">
        <v>73</v>
      </c>
      <c r="AA258" s="2" t="s">
        <v>1172</v>
      </c>
      <c r="AB258" s="2" t="str">
        <f>LEFT(A258,3)</f>
        <v>MEM</v>
      </c>
    </row>
    <row r="259" spans="1:28">
      <c r="A259" s="6" t="s">
        <v>1174</v>
      </c>
      <c r="B259" s="6" t="s">
        <v>351</v>
      </c>
      <c r="C259" s="6" t="s">
        <v>129</v>
      </c>
      <c r="D259" s="6" t="s">
        <v>1175</v>
      </c>
      <c r="E259" s="6" t="s">
        <v>1175</v>
      </c>
      <c r="F259" s="6" t="s">
        <v>1176</v>
      </c>
      <c r="G259" s="2" t="s">
        <v>1176</v>
      </c>
      <c r="H259" s="2" t="s">
        <v>1175</v>
      </c>
      <c r="I259" s="2" t="s">
        <v>34</v>
      </c>
      <c r="J259" s="7">
        <v>604311.67134</v>
      </c>
      <c r="K259" s="7">
        <v>305177.81618000002</v>
      </c>
      <c r="L259" s="8">
        <v>167.97121160206399</v>
      </c>
      <c r="M259" s="8">
        <v>-21.441594504605099</v>
      </c>
      <c r="N259" s="2">
        <v>2</v>
      </c>
      <c r="O259" s="2">
        <v>2</v>
      </c>
      <c r="P259" s="2">
        <v>2</v>
      </c>
      <c r="Q259" s="2" t="s">
        <v>35</v>
      </c>
      <c r="R259" s="2" t="s">
        <v>1177</v>
      </c>
      <c r="S259" s="2" t="s">
        <v>47</v>
      </c>
      <c r="U259" s="2">
        <f>P259-N259</f>
        <v>0</v>
      </c>
      <c r="V259" s="2" t="s">
        <v>102</v>
      </c>
      <c r="W259" s="30" t="s">
        <v>1175</v>
      </c>
      <c r="X259" s="2" t="s">
        <v>82</v>
      </c>
      <c r="Y259" s="6" t="s">
        <v>1176</v>
      </c>
      <c r="Z259" s="2" t="s">
        <v>73</v>
      </c>
      <c r="AA259" s="2" t="s">
        <v>1176</v>
      </c>
      <c r="AB259" s="2" t="str">
        <f>LEFT(A259,3)</f>
        <v>MEN</v>
      </c>
    </row>
    <row r="260" spans="1:28">
      <c r="A260" s="6" t="s">
        <v>1178</v>
      </c>
      <c r="B260" s="6" t="s">
        <v>29</v>
      </c>
      <c r="C260" s="6" t="s">
        <v>30</v>
      </c>
      <c r="D260" s="6" t="s">
        <v>1179</v>
      </c>
      <c r="E260" s="6" t="s">
        <v>1179</v>
      </c>
      <c r="F260" s="6" t="s">
        <v>1179</v>
      </c>
      <c r="G260" s="2" t="s">
        <v>1180</v>
      </c>
      <c r="H260" s="2" t="s">
        <v>1179</v>
      </c>
      <c r="I260" s="2" t="s">
        <v>34</v>
      </c>
      <c r="J260" s="7">
        <v>446366.96642000001</v>
      </c>
      <c r="K260" s="7">
        <v>210185.53044999999</v>
      </c>
      <c r="L260" s="8">
        <v>166.45001183809299</v>
      </c>
      <c r="M260" s="8">
        <v>-22.310571033022502</v>
      </c>
      <c r="N260" s="2">
        <v>2</v>
      </c>
      <c r="O260" s="2">
        <v>4</v>
      </c>
      <c r="P260" s="2">
        <v>4</v>
      </c>
      <c r="Q260" s="2" t="s">
        <v>35</v>
      </c>
      <c r="R260" s="2" t="s">
        <v>1181</v>
      </c>
      <c r="S260" s="2" t="s">
        <v>37</v>
      </c>
      <c r="U260" s="2">
        <f>P260-N260</f>
        <v>2</v>
      </c>
      <c r="W260" s="30" t="s">
        <v>52</v>
      </c>
      <c r="X260" s="2" t="s">
        <v>39</v>
      </c>
      <c r="Y260" s="6" t="s">
        <v>1179</v>
      </c>
      <c r="Z260" s="2" t="s">
        <v>40</v>
      </c>
      <c r="AA260" s="2" t="s">
        <v>1180</v>
      </c>
      <c r="AB260" s="2" t="str">
        <f>LEFT(A260,3)</f>
        <v>MER</v>
      </c>
    </row>
    <row r="261" spans="1:28">
      <c r="A261" s="6" t="s">
        <v>1182</v>
      </c>
      <c r="B261" s="6" t="s">
        <v>29</v>
      </c>
      <c r="C261" s="6" t="s">
        <v>30</v>
      </c>
      <c r="D261" s="6" t="s">
        <v>1183</v>
      </c>
      <c r="E261" s="6" t="s">
        <v>52</v>
      </c>
      <c r="F261" s="6" t="s">
        <v>1183</v>
      </c>
      <c r="G261" s="6" t="s">
        <v>1183</v>
      </c>
      <c r="H261" s="2" t="s">
        <v>1114</v>
      </c>
      <c r="I261" s="2" t="s">
        <v>53</v>
      </c>
      <c r="J261" s="7">
        <v>448530</v>
      </c>
      <c r="K261" s="7">
        <v>215082</v>
      </c>
      <c r="L261" s="8">
        <v>166.47086100000001</v>
      </c>
      <c r="M261" s="8">
        <v>-22.266299</v>
      </c>
      <c r="N261" s="2">
        <v>3</v>
      </c>
      <c r="O261" s="2">
        <v>3</v>
      </c>
      <c r="P261" s="2">
        <v>3</v>
      </c>
      <c r="Q261" s="2" t="s">
        <v>35</v>
      </c>
      <c r="R261" s="2" t="s">
        <v>1184</v>
      </c>
      <c r="S261" s="2" t="s">
        <v>37</v>
      </c>
      <c r="U261" s="2">
        <f>P261-N261</f>
        <v>0</v>
      </c>
      <c r="W261" s="30" t="s">
        <v>52</v>
      </c>
      <c r="X261" s="2" t="s">
        <v>52</v>
      </c>
      <c r="Y261" s="6" t="s">
        <v>1185</v>
      </c>
      <c r="Z261" s="2" t="s">
        <v>40</v>
      </c>
      <c r="AA261" s="6" t="s">
        <v>1185</v>
      </c>
      <c r="AB261" s="2" t="str">
        <f>LEFT(A261,3)</f>
        <v>MGP</v>
      </c>
    </row>
    <row r="262" spans="1:28">
      <c r="A262" s="6" t="s">
        <v>1186</v>
      </c>
      <c r="B262" s="6" t="s">
        <v>29</v>
      </c>
      <c r="C262" s="6" t="s">
        <v>30</v>
      </c>
      <c r="D262" s="6" t="s">
        <v>1187</v>
      </c>
      <c r="E262" s="6" t="s">
        <v>52</v>
      </c>
      <c r="F262" s="6" t="s">
        <v>1188</v>
      </c>
      <c r="G262" s="6" t="s">
        <v>1188</v>
      </c>
      <c r="H262" s="6" t="s">
        <v>1188</v>
      </c>
      <c r="I262" s="2" t="s">
        <v>53</v>
      </c>
      <c r="J262" s="7">
        <v>447797</v>
      </c>
      <c r="K262" s="7">
        <v>214812</v>
      </c>
      <c r="L262" s="8">
        <v>166.46375699999999</v>
      </c>
      <c r="M262" s="8">
        <v>-22.268757000000001</v>
      </c>
      <c r="N262" s="2">
        <v>3</v>
      </c>
      <c r="O262" s="2">
        <v>3</v>
      </c>
      <c r="P262" s="2">
        <v>9</v>
      </c>
      <c r="Q262" s="2" t="s">
        <v>35</v>
      </c>
      <c r="R262" s="2" t="s">
        <v>1189</v>
      </c>
      <c r="S262" s="2" t="s">
        <v>37</v>
      </c>
      <c r="U262" s="2">
        <f>P262-N262</f>
        <v>6</v>
      </c>
      <c r="W262" s="30" t="s">
        <v>52</v>
      </c>
      <c r="X262" s="2" t="s">
        <v>52</v>
      </c>
      <c r="Y262" s="6" t="s">
        <v>1188</v>
      </c>
      <c r="Z262" s="2" t="s">
        <v>40</v>
      </c>
      <c r="AA262" s="6" t="s">
        <v>1188</v>
      </c>
      <c r="AB262" s="2" t="str">
        <f>LEFT(A262,3)</f>
        <v>MGT</v>
      </c>
    </row>
    <row r="263" spans="1:28">
      <c r="A263" s="6" t="s">
        <v>1190</v>
      </c>
      <c r="B263" s="6" t="s">
        <v>331</v>
      </c>
      <c r="C263" s="6" t="s">
        <v>43</v>
      </c>
      <c r="D263" s="6" t="s">
        <v>1191</v>
      </c>
      <c r="E263" s="6" t="s">
        <v>1191</v>
      </c>
      <c r="F263" s="6" t="s">
        <v>1191</v>
      </c>
      <c r="G263" s="2" t="s">
        <v>1192</v>
      </c>
      <c r="H263" s="2" t="s">
        <v>1191</v>
      </c>
      <c r="I263" s="2" t="s">
        <v>34</v>
      </c>
      <c r="J263" s="7">
        <v>556189.37861999997</v>
      </c>
      <c r="K263" s="7">
        <v>179641.77421</v>
      </c>
      <c r="L263" s="8">
        <v>167.518718427756</v>
      </c>
      <c r="M263" s="8">
        <v>-22.580140267147101</v>
      </c>
      <c r="N263" s="2">
        <v>2</v>
      </c>
      <c r="O263" s="2">
        <v>2</v>
      </c>
      <c r="P263" s="2">
        <f>N263</f>
        <v>2</v>
      </c>
      <c r="Q263" s="2" t="s">
        <v>35</v>
      </c>
      <c r="R263" s="2" t="s">
        <v>1193</v>
      </c>
      <c r="S263" s="2" t="s">
        <v>37</v>
      </c>
      <c r="U263" s="2">
        <f>P263-N263</f>
        <v>0</v>
      </c>
      <c r="W263" s="30" t="s">
        <v>1191</v>
      </c>
      <c r="X263" s="2" t="s">
        <v>39</v>
      </c>
      <c r="Y263" s="6" t="s">
        <v>1191</v>
      </c>
      <c r="Z263" s="2" t="s">
        <v>40</v>
      </c>
      <c r="AA263" s="2" t="s">
        <v>1192</v>
      </c>
      <c r="AB263" s="2" t="str">
        <f>LEFT(A263,3)</f>
        <v>MID</v>
      </c>
    </row>
    <row r="264" spans="1:28">
      <c r="A264" s="6" t="s">
        <v>1194</v>
      </c>
      <c r="B264" s="6" t="s">
        <v>249</v>
      </c>
      <c r="C264" s="6" t="s">
        <v>68</v>
      </c>
      <c r="D264" s="6" t="s">
        <v>1195</v>
      </c>
      <c r="E264" s="6" t="s">
        <v>1195</v>
      </c>
      <c r="F264" s="6" t="s">
        <v>1195</v>
      </c>
      <c r="G264" s="2" t="s">
        <v>1196</v>
      </c>
      <c r="H264" s="2" t="s">
        <v>1195</v>
      </c>
      <c r="I264" s="2" t="s">
        <v>34</v>
      </c>
      <c r="J264" s="7">
        <v>275076</v>
      </c>
      <c r="K264" s="7">
        <v>356057</v>
      </c>
      <c r="L264" s="8">
        <v>164.798460515356</v>
      </c>
      <c r="M264" s="8">
        <v>-20.989322845437599</v>
      </c>
      <c r="N264" s="2">
        <v>3</v>
      </c>
      <c r="O264" s="2">
        <v>3</v>
      </c>
      <c r="P264" s="2">
        <f>N264</f>
        <v>3</v>
      </c>
      <c r="Q264" s="2" t="s">
        <v>35</v>
      </c>
      <c r="R264" s="2" t="s">
        <v>1197</v>
      </c>
      <c r="S264" s="2" t="s">
        <v>47</v>
      </c>
      <c r="U264" s="2">
        <f>P264-N264</f>
        <v>0</v>
      </c>
      <c r="W264" s="30" t="s">
        <v>1195</v>
      </c>
      <c r="X264" s="2" t="s">
        <v>82</v>
      </c>
      <c r="Y264" s="6" t="s">
        <v>1195</v>
      </c>
      <c r="Z264" s="2" t="s">
        <v>73</v>
      </c>
      <c r="AA264" s="2" t="s">
        <v>1196</v>
      </c>
      <c r="AB264" s="2" t="str">
        <f>LEFT(A264,3)</f>
        <v>MIN</v>
      </c>
    </row>
    <row r="265" spans="1:28">
      <c r="A265" s="6" t="s">
        <v>1198</v>
      </c>
      <c r="B265" s="6" t="s">
        <v>402</v>
      </c>
      <c r="C265" s="6" t="s">
        <v>68</v>
      </c>
      <c r="D265" s="6" t="s">
        <v>1199</v>
      </c>
      <c r="E265" s="6" t="s">
        <v>1199</v>
      </c>
      <c r="F265" s="6" t="s">
        <v>1199</v>
      </c>
      <c r="G265" s="6" t="s">
        <v>1200</v>
      </c>
      <c r="H265" s="2" t="s">
        <v>1201</v>
      </c>
      <c r="I265" s="2" t="s">
        <v>34</v>
      </c>
      <c r="J265" s="7">
        <v>367756</v>
      </c>
      <c r="K265" s="7">
        <v>316582</v>
      </c>
      <c r="L265" s="8">
        <v>165.689111</v>
      </c>
      <c r="M265" s="8">
        <v>-21.349933</v>
      </c>
      <c r="N265" s="2">
        <v>3</v>
      </c>
      <c r="O265" s="2">
        <v>3</v>
      </c>
      <c r="P265" s="2">
        <v>4</v>
      </c>
      <c r="Q265" s="2" t="s">
        <v>35</v>
      </c>
      <c r="R265" s="2" t="s">
        <v>1202</v>
      </c>
      <c r="S265" s="2" t="s">
        <v>47</v>
      </c>
      <c r="U265" s="2">
        <f>P265-N265</f>
        <v>1</v>
      </c>
      <c r="W265" s="30" t="s">
        <v>1199</v>
      </c>
      <c r="X265" s="2" t="s">
        <v>82</v>
      </c>
      <c r="Y265" s="6" t="s">
        <v>1199</v>
      </c>
      <c r="Z265" s="2" t="s">
        <v>73</v>
      </c>
      <c r="AA265" s="6" t="s">
        <v>1200</v>
      </c>
      <c r="AB265" s="2" t="str">
        <f>LEFT(A265,3)</f>
        <v>MKA</v>
      </c>
    </row>
    <row r="266" spans="1:28">
      <c r="A266" s="6" t="s">
        <v>1203</v>
      </c>
      <c r="B266" s="6" t="s">
        <v>93</v>
      </c>
      <c r="C266" s="6" t="s">
        <v>50</v>
      </c>
      <c r="D266" s="6" t="s">
        <v>1204</v>
      </c>
      <c r="E266" s="6" t="s">
        <v>1204</v>
      </c>
      <c r="F266" s="6" t="s">
        <v>1205</v>
      </c>
      <c r="G266" s="2" t="s">
        <v>1206</v>
      </c>
      <c r="H266" s="2" t="s">
        <v>1205</v>
      </c>
      <c r="I266" s="2" t="s">
        <v>34</v>
      </c>
      <c r="J266" s="7">
        <v>474169.40312999999</v>
      </c>
      <c r="K266" s="7">
        <v>208352.95249</v>
      </c>
      <c r="L266" s="8">
        <v>166.71992112947501</v>
      </c>
      <c r="M266" s="8">
        <v>-22.3261845863179</v>
      </c>
      <c r="N266" s="2">
        <v>3</v>
      </c>
      <c r="O266" s="2">
        <v>3</v>
      </c>
      <c r="P266" s="2">
        <v>6</v>
      </c>
      <c r="Q266" s="2" t="s">
        <v>587</v>
      </c>
      <c r="R266" s="2" t="s">
        <v>1207</v>
      </c>
      <c r="S266" s="2" t="s">
        <v>47</v>
      </c>
      <c r="U266" s="2">
        <f>P266-N266</f>
        <v>3</v>
      </c>
      <c r="W266" s="30" t="s">
        <v>1204</v>
      </c>
      <c r="X266" s="2" t="s">
        <v>39</v>
      </c>
      <c r="Y266" s="6" t="s">
        <v>1205</v>
      </c>
      <c r="Z266" s="2" t="s">
        <v>40</v>
      </c>
      <c r="AA266" s="2" t="s">
        <v>1206</v>
      </c>
      <c r="AB266" s="2" t="str">
        <f>LEFT(A266,3)</f>
        <v>MKO</v>
      </c>
    </row>
    <row r="267" spans="1:28">
      <c r="A267" s="6" t="s">
        <v>1208</v>
      </c>
      <c r="B267" s="6" t="s">
        <v>123</v>
      </c>
      <c r="C267" s="6" t="s">
        <v>68</v>
      </c>
      <c r="D267" s="6" t="s">
        <v>1209</v>
      </c>
      <c r="E267" s="6" t="s">
        <v>1210</v>
      </c>
      <c r="F267" s="6" t="s">
        <v>1210</v>
      </c>
      <c r="G267" s="2" t="s">
        <v>1209</v>
      </c>
      <c r="H267" s="2" t="s">
        <v>1210</v>
      </c>
      <c r="I267" s="2" t="s">
        <v>34</v>
      </c>
      <c r="J267" s="7">
        <v>202231.01427000001</v>
      </c>
      <c r="K267" s="7">
        <v>432673.04285999999</v>
      </c>
      <c r="L267" s="8">
        <v>164.106805417939</v>
      </c>
      <c r="M267" s="8">
        <v>-20.290824097968802</v>
      </c>
      <c r="N267" s="2">
        <v>1</v>
      </c>
      <c r="O267" s="2">
        <v>1</v>
      </c>
      <c r="P267" s="2">
        <f>N267</f>
        <v>1</v>
      </c>
      <c r="Q267" s="2" t="s">
        <v>35</v>
      </c>
      <c r="R267" s="2" t="s">
        <v>1211</v>
      </c>
      <c r="S267" s="2" t="s">
        <v>47</v>
      </c>
      <c r="U267" s="2">
        <f>P267-N267</f>
        <v>0</v>
      </c>
      <c r="W267" s="30" t="s">
        <v>1210</v>
      </c>
      <c r="X267" s="2" t="s">
        <v>82</v>
      </c>
      <c r="Y267" s="6" t="s">
        <v>1210</v>
      </c>
      <c r="Z267" s="2" t="s">
        <v>73</v>
      </c>
      <c r="AA267" s="2" t="s">
        <v>1209</v>
      </c>
      <c r="AB267" s="2" t="str">
        <f>LEFT(A267,3)</f>
        <v>MLB</v>
      </c>
    </row>
    <row r="268" spans="1:28">
      <c r="A268" s="6" t="s">
        <v>1212</v>
      </c>
      <c r="B268" s="6" t="s">
        <v>128</v>
      </c>
      <c r="C268" s="6" t="s">
        <v>129</v>
      </c>
      <c r="D268" s="6" t="s">
        <v>1213</v>
      </c>
      <c r="E268" s="6" t="s">
        <v>1213</v>
      </c>
      <c r="F268" s="6" t="s">
        <v>1213</v>
      </c>
      <c r="G268" s="2" t="s">
        <v>1214</v>
      </c>
      <c r="H268" s="2" t="s">
        <v>1213</v>
      </c>
      <c r="I268" s="2" t="s">
        <v>34</v>
      </c>
      <c r="J268" s="7">
        <v>444055.07504999998</v>
      </c>
      <c r="K268" s="7">
        <v>385949.18031000003</v>
      </c>
      <c r="L268" s="8">
        <v>166.42295761798499</v>
      </c>
      <c r="M268" s="8">
        <v>-20.723119682424699</v>
      </c>
      <c r="N268" s="2">
        <v>2</v>
      </c>
      <c r="O268" s="2">
        <v>2</v>
      </c>
      <c r="P268" s="2">
        <f>N268</f>
        <v>2</v>
      </c>
      <c r="Q268" s="2" t="s">
        <v>35</v>
      </c>
      <c r="R268" s="2" t="s">
        <v>1215</v>
      </c>
      <c r="S268" s="2" t="s">
        <v>47</v>
      </c>
      <c r="U268" s="2">
        <f>P268-N268</f>
        <v>0</v>
      </c>
      <c r="W268" s="30" t="s">
        <v>1213</v>
      </c>
      <c r="X268" s="2" t="s">
        <v>82</v>
      </c>
      <c r="Y268" s="6" t="s">
        <v>1213</v>
      </c>
      <c r="Z268" s="2" t="s">
        <v>73</v>
      </c>
      <c r="AA268" s="2" t="s">
        <v>1214</v>
      </c>
      <c r="AB268" s="2" t="str">
        <f>LEFT(A268,3)</f>
        <v>MLI</v>
      </c>
    </row>
    <row r="269" spans="1:28">
      <c r="A269" s="6" t="s">
        <v>1216</v>
      </c>
      <c r="B269" s="6" t="s">
        <v>93</v>
      </c>
      <c r="C269" s="6" t="s">
        <v>50</v>
      </c>
      <c r="D269" s="6" t="s">
        <v>1217</v>
      </c>
      <c r="E269" s="6" t="s">
        <v>1217</v>
      </c>
      <c r="F269" s="6" t="s">
        <v>1218</v>
      </c>
      <c r="G269" s="6" t="s">
        <v>1218</v>
      </c>
      <c r="H269" s="6" t="s">
        <v>1218</v>
      </c>
      <c r="I269" s="2" t="s">
        <v>53</v>
      </c>
      <c r="J269" s="7">
        <v>453977.91375000001</v>
      </c>
      <c r="K269" s="7">
        <v>219104.23235000001</v>
      </c>
      <c r="L269" s="8">
        <v>166.52358948455</v>
      </c>
      <c r="M269" s="8">
        <v>-22.2298207722461</v>
      </c>
      <c r="N269" s="2">
        <v>3</v>
      </c>
      <c r="O269" s="2">
        <v>3</v>
      </c>
      <c r="P269" s="2">
        <v>6</v>
      </c>
      <c r="Q269" s="2" t="s">
        <v>35</v>
      </c>
      <c r="R269" s="2" t="s">
        <v>1219</v>
      </c>
      <c r="S269" s="2" t="s">
        <v>37</v>
      </c>
      <c r="U269" s="2">
        <f>P269-N269</f>
        <v>3</v>
      </c>
      <c r="W269" s="30" t="s">
        <v>52</v>
      </c>
      <c r="X269" s="2" t="s">
        <v>39</v>
      </c>
      <c r="Y269" s="6" t="s">
        <v>1218</v>
      </c>
      <c r="Z269" s="2" t="s">
        <v>40</v>
      </c>
      <c r="AA269" s="6" t="s">
        <v>1218</v>
      </c>
      <c r="AB269" s="2" t="str">
        <f>LEFT(A269,3)</f>
        <v>MMD</v>
      </c>
    </row>
    <row r="270" spans="1:28">
      <c r="A270" s="6" t="s">
        <v>1220</v>
      </c>
      <c r="B270" s="6" t="s">
        <v>56</v>
      </c>
      <c r="C270" s="6" t="s">
        <v>50</v>
      </c>
      <c r="D270" s="6" t="s">
        <v>1221</v>
      </c>
      <c r="E270" s="6" t="s">
        <v>1221</v>
      </c>
      <c r="F270" s="6" t="s">
        <v>1222</v>
      </c>
      <c r="G270" s="6" t="s">
        <v>1222</v>
      </c>
      <c r="H270" s="6" t="s">
        <v>1222</v>
      </c>
      <c r="I270" s="2" t="s">
        <v>53</v>
      </c>
      <c r="J270" s="7">
        <v>438495</v>
      </c>
      <c r="K270" s="7">
        <v>234043</v>
      </c>
      <c r="L270" s="8">
        <v>166.37305843057601</v>
      </c>
      <c r="M270" s="8">
        <v>-22.095306385950501</v>
      </c>
      <c r="N270" s="2">
        <v>3</v>
      </c>
      <c r="O270" s="2">
        <v>3</v>
      </c>
      <c r="P270" s="2">
        <v>6</v>
      </c>
      <c r="Q270" s="2" t="s">
        <v>35</v>
      </c>
      <c r="R270" s="2" t="s">
        <v>1223</v>
      </c>
      <c r="S270" s="2" t="s">
        <v>47</v>
      </c>
      <c r="U270" s="2">
        <f>P270-N270</f>
        <v>3</v>
      </c>
      <c r="W270" s="30" t="s">
        <v>1221</v>
      </c>
      <c r="X270" s="2" t="s">
        <v>39</v>
      </c>
      <c r="Y270" s="6" t="s">
        <v>1222</v>
      </c>
      <c r="Z270" s="2" t="s">
        <v>40</v>
      </c>
      <c r="AA270" s="6" t="s">
        <v>1222</v>
      </c>
      <c r="AB270" s="2" t="str">
        <f>LEFT(A270,3)</f>
        <v>MME</v>
      </c>
    </row>
    <row r="271" spans="1:28">
      <c r="A271" s="6" t="s">
        <v>1224</v>
      </c>
      <c r="B271" s="6" t="s">
        <v>56</v>
      </c>
      <c r="C271" s="6" t="s">
        <v>50</v>
      </c>
      <c r="D271" s="6" t="s">
        <v>1225</v>
      </c>
      <c r="E271" s="6" t="s">
        <v>1225</v>
      </c>
      <c r="F271" s="6" t="s">
        <v>1225</v>
      </c>
      <c r="G271" s="2" t="s">
        <v>327</v>
      </c>
      <c r="H271" s="2" t="s">
        <v>1225</v>
      </c>
      <c r="I271" s="2" t="s">
        <v>34</v>
      </c>
      <c r="J271" s="7">
        <v>438335</v>
      </c>
      <c r="K271" s="7">
        <v>233642.9688</v>
      </c>
      <c r="L271" s="8">
        <v>166.37151707488599</v>
      </c>
      <c r="M271" s="8">
        <v>-22.098922340839302</v>
      </c>
      <c r="N271" s="2">
        <v>3</v>
      </c>
      <c r="O271" s="2">
        <v>6</v>
      </c>
      <c r="P271" s="2">
        <f>N271</f>
        <v>3</v>
      </c>
      <c r="Q271" s="2" t="s">
        <v>35</v>
      </c>
      <c r="R271" s="2" t="s">
        <v>1226</v>
      </c>
      <c r="S271" s="2" t="s">
        <v>47</v>
      </c>
      <c r="U271" s="2">
        <v>3</v>
      </c>
      <c r="W271" s="30" t="s">
        <v>1225</v>
      </c>
      <c r="X271" s="2" t="s">
        <v>39</v>
      </c>
      <c r="Y271" s="6" t="s">
        <v>327</v>
      </c>
      <c r="Z271" s="2" t="s">
        <v>40</v>
      </c>
      <c r="AA271" s="2" t="s">
        <v>327</v>
      </c>
      <c r="AB271" s="2" t="str">
        <f>LEFT(A271,3)</f>
        <v>MMO</v>
      </c>
    </row>
    <row r="272" spans="1:28">
      <c r="A272" s="6" t="s">
        <v>1227</v>
      </c>
      <c r="B272" s="6" t="s">
        <v>29</v>
      </c>
      <c r="C272" s="6" t="s">
        <v>30</v>
      </c>
      <c r="D272" s="6" t="s">
        <v>1228</v>
      </c>
      <c r="E272" s="6" t="s">
        <v>1229</v>
      </c>
      <c r="F272" s="6" t="s">
        <v>1228</v>
      </c>
      <c r="G272" s="2" t="s">
        <v>1228</v>
      </c>
      <c r="H272" s="2" t="s">
        <v>1228</v>
      </c>
      <c r="I272" s="2" t="s">
        <v>53</v>
      </c>
      <c r="J272" s="7">
        <v>446894</v>
      </c>
      <c r="K272" s="7">
        <v>211347</v>
      </c>
      <c r="L272" s="8">
        <v>166.45509376971299</v>
      </c>
      <c r="M272" s="8">
        <v>-22.300072681200099</v>
      </c>
      <c r="N272" s="2">
        <v>3</v>
      </c>
      <c r="O272" s="2">
        <v>6</v>
      </c>
      <c r="P272" s="2">
        <v>6</v>
      </c>
      <c r="Q272" s="2" t="s">
        <v>35</v>
      </c>
      <c r="R272" s="2" t="s">
        <v>1230</v>
      </c>
      <c r="S272" s="2" t="s">
        <v>37</v>
      </c>
      <c r="U272" s="2">
        <f>P272-N272</f>
        <v>3</v>
      </c>
      <c r="W272" s="30" t="s">
        <v>1229</v>
      </c>
      <c r="X272" s="2" t="s">
        <v>39</v>
      </c>
      <c r="Y272" s="6" t="s">
        <v>1228</v>
      </c>
      <c r="Z272" s="2" t="s">
        <v>40</v>
      </c>
      <c r="AA272" s="2" t="s">
        <v>1228</v>
      </c>
      <c r="AB272" s="2" t="str">
        <f>LEFT(A272,3)</f>
        <v>MMR</v>
      </c>
    </row>
    <row r="273" spans="1:28">
      <c r="A273" s="6" t="s">
        <v>1231</v>
      </c>
      <c r="B273" s="6" t="s">
        <v>602</v>
      </c>
      <c r="C273" s="6" t="s">
        <v>43</v>
      </c>
      <c r="D273" s="6" t="s">
        <v>1232</v>
      </c>
      <c r="E273" s="6" t="s">
        <v>1232</v>
      </c>
      <c r="F273" s="6" t="s">
        <v>1232</v>
      </c>
      <c r="G273" s="6" t="s">
        <v>1233</v>
      </c>
      <c r="H273" s="2" t="s">
        <v>1232</v>
      </c>
      <c r="I273" s="2" t="s">
        <v>34</v>
      </c>
      <c r="J273" s="7">
        <v>389092.04551999999</v>
      </c>
      <c r="K273" s="7">
        <v>279833.93235000002</v>
      </c>
      <c r="L273" s="8">
        <v>165.89458866086801</v>
      </c>
      <c r="M273" s="8">
        <v>-21.682112860008498</v>
      </c>
      <c r="N273" s="2">
        <v>3</v>
      </c>
      <c r="O273" s="2">
        <v>3</v>
      </c>
      <c r="P273" s="2">
        <v>3</v>
      </c>
      <c r="Q273" s="2" t="s">
        <v>35</v>
      </c>
      <c r="R273" s="2" t="s">
        <v>1234</v>
      </c>
      <c r="S273" s="2" t="s">
        <v>47</v>
      </c>
      <c r="U273" s="2">
        <f>P273-N273</f>
        <v>0</v>
      </c>
      <c r="W273" s="30" t="s">
        <v>1232</v>
      </c>
      <c r="X273" s="2" t="s">
        <v>39</v>
      </c>
      <c r="Y273" s="6" t="s">
        <v>1232</v>
      </c>
      <c r="Z273" s="2" t="s">
        <v>40</v>
      </c>
      <c r="AA273" s="6" t="s">
        <v>1233</v>
      </c>
      <c r="AB273" s="2" t="str">
        <f>LEFT(A273,3)</f>
        <v>MMU</v>
      </c>
    </row>
    <row r="274" spans="1:28">
      <c r="A274" s="2" t="s">
        <v>1235</v>
      </c>
      <c r="B274" s="2" t="s">
        <v>978</v>
      </c>
      <c r="C274" s="2" t="s">
        <v>68</v>
      </c>
      <c r="D274" s="2" t="s">
        <v>1236</v>
      </c>
      <c r="E274" s="2" t="s">
        <v>52</v>
      </c>
      <c r="F274" s="2" t="s">
        <v>1237</v>
      </c>
      <c r="G274" s="2" t="s">
        <v>1237</v>
      </c>
      <c r="H274" s="2" t="s">
        <v>1237</v>
      </c>
      <c r="I274" s="2" t="s">
        <v>53</v>
      </c>
      <c r="J274" s="7">
        <v>300594</v>
      </c>
      <c r="K274" s="7">
        <v>385247</v>
      </c>
      <c r="L274" s="9">
        <v>165.04560000000001</v>
      </c>
      <c r="M274" s="8">
        <v>-20.727260000000001</v>
      </c>
      <c r="N274" s="2">
        <v>3</v>
      </c>
      <c r="O274" s="2">
        <v>3</v>
      </c>
      <c r="P274" s="2">
        <v>3</v>
      </c>
      <c r="Q274" s="2" t="s">
        <v>35</v>
      </c>
      <c r="R274" s="2" t="s">
        <v>1238</v>
      </c>
      <c r="S274" s="2" t="s">
        <v>47</v>
      </c>
      <c r="U274" s="2">
        <f>P274-N274</f>
        <v>0</v>
      </c>
      <c r="W274" s="30" t="s">
        <v>52</v>
      </c>
      <c r="X274" s="6" t="s">
        <v>52</v>
      </c>
      <c r="Y274" s="2" t="s">
        <v>1237</v>
      </c>
      <c r="Z274" s="2" t="s">
        <v>73</v>
      </c>
      <c r="AA274" s="2" t="s">
        <v>1237</v>
      </c>
      <c r="AB274" s="2" t="str">
        <f>LEFT(A274,3)</f>
        <v>MNA</v>
      </c>
    </row>
    <row r="275" spans="1:28">
      <c r="A275" s="6" t="s">
        <v>1239</v>
      </c>
      <c r="B275" s="6" t="s">
        <v>29</v>
      </c>
      <c r="C275" s="6" t="s">
        <v>30</v>
      </c>
      <c r="D275" s="6" t="s">
        <v>1240</v>
      </c>
      <c r="E275" s="6" t="s">
        <v>52</v>
      </c>
      <c r="F275" s="6" t="s">
        <v>1241</v>
      </c>
      <c r="G275" s="6" t="s">
        <v>1241</v>
      </c>
      <c r="H275" s="6" t="s">
        <v>1241</v>
      </c>
      <c r="I275" s="2" t="s">
        <v>53</v>
      </c>
      <c r="J275" s="7">
        <v>446275</v>
      </c>
      <c r="K275" s="7">
        <v>211198</v>
      </c>
      <c r="L275" s="8">
        <v>166.44908899999999</v>
      </c>
      <c r="M275" s="8">
        <v>-22.301438999999998</v>
      </c>
      <c r="N275" s="2">
        <v>3</v>
      </c>
      <c r="O275" s="2">
        <v>9</v>
      </c>
      <c r="P275" s="2">
        <v>9</v>
      </c>
      <c r="Q275" s="2" t="s">
        <v>35</v>
      </c>
      <c r="R275" s="2" t="s">
        <v>1242</v>
      </c>
      <c r="S275" s="2" t="s">
        <v>37</v>
      </c>
      <c r="U275" s="2">
        <f>P275-N275</f>
        <v>6</v>
      </c>
      <c r="W275" s="30" t="s">
        <v>52</v>
      </c>
      <c r="X275" s="2" t="s">
        <v>52</v>
      </c>
      <c r="Y275" s="6" t="s">
        <v>1241</v>
      </c>
      <c r="Z275" s="2" t="s">
        <v>40</v>
      </c>
      <c r="AA275" s="2" t="s">
        <v>1241</v>
      </c>
      <c r="AB275" s="2" t="str">
        <f>LEFT(A275,3)</f>
        <v>MOB</v>
      </c>
    </row>
    <row r="276" spans="1:28">
      <c r="A276" s="6" t="s">
        <v>1243</v>
      </c>
      <c r="B276" s="6" t="s">
        <v>29</v>
      </c>
      <c r="C276" s="6" t="s">
        <v>30</v>
      </c>
      <c r="D276" s="6" t="s">
        <v>1244</v>
      </c>
      <c r="E276" s="6" t="s">
        <v>1244</v>
      </c>
      <c r="F276" s="6" t="s">
        <v>1244</v>
      </c>
      <c r="G276" s="2" t="s">
        <v>1245</v>
      </c>
      <c r="H276" s="2" t="s">
        <v>1244</v>
      </c>
      <c r="I276" s="2" t="s">
        <v>34</v>
      </c>
      <c r="J276" s="7">
        <v>445197.74446000002</v>
      </c>
      <c r="K276" s="7">
        <v>211903.91047999999</v>
      </c>
      <c r="L276" s="8">
        <v>166.43861946301101</v>
      </c>
      <c r="M276" s="8">
        <v>-22.2950863800496</v>
      </c>
      <c r="N276" s="2">
        <v>2</v>
      </c>
      <c r="O276" s="2">
        <v>6</v>
      </c>
      <c r="P276" s="2">
        <v>4</v>
      </c>
      <c r="Q276" s="2" t="s">
        <v>35</v>
      </c>
      <c r="R276" s="2" t="s">
        <v>1246</v>
      </c>
      <c r="S276" s="2" t="s">
        <v>37</v>
      </c>
      <c r="U276" s="2">
        <f>P276-N276</f>
        <v>2</v>
      </c>
      <c r="W276" s="30" t="s">
        <v>1244</v>
      </c>
      <c r="X276" s="2" t="s">
        <v>39</v>
      </c>
      <c r="Y276" s="6" t="s">
        <v>1244</v>
      </c>
      <c r="Z276" s="2" t="s">
        <v>40</v>
      </c>
      <c r="AA276" s="2" t="s">
        <v>1245</v>
      </c>
      <c r="AB276" s="2" t="str">
        <f>LEFT(A276,3)</f>
        <v>MOC</v>
      </c>
    </row>
    <row r="277" spans="1:28">
      <c r="A277" s="6" t="s">
        <v>1247</v>
      </c>
      <c r="B277" s="6" t="s">
        <v>148</v>
      </c>
      <c r="C277" s="6" t="s">
        <v>68</v>
      </c>
      <c r="D277" s="6" t="s">
        <v>1248</v>
      </c>
      <c r="E277" s="6" t="s">
        <v>1248</v>
      </c>
      <c r="F277" s="6" t="s">
        <v>1248</v>
      </c>
      <c r="G277" s="2" t="s">
        <v>1249</v>
      </c>
      <c r="H277" s="2" t="s">
        <v>115</v>
      </c>
      <c r="I277" s="2" t="s">
        <v>34</v>
      </c>
      <c r="J277" s="7">
        <v>325994.98489999998</v>
      </c>
      <c r="K277" s="7">
        <v>325215.91470000002</v>
      </c>
      <c r="L277" s="8">
        <v>165.28684545463301</v>
      </c>
      <c r="M277" s="8">
        <v>-21.270710526030498</v>
      </c>
      <c r="N277" s="2">
        <v>2</v>
      </c>
      <c r="O277" s="2">
        <v>2</v>
      </c>
      <c r="P277" s="2">
        <f>N277</f>
        <v>2</v>
      </c>
      <c r="Q277" s="2" t="s">
        <v>35</v>
      </c>
      <c r="R277" s="2" t="s">
        <v>1250</v>
      </c>
      <c r="S277" s="2" t="s">
        <v>47</v>
      </c>
      <c r="U277" s="2">
        <f>P277-N277</f>
        <v>0</v>
      </c>
      <c r="W277" s="30" t="s">
        <v>1248</v>
      </c>
      <c r="X277" s="2" t="s">
        <v>82</v>
      </c>
      <c r="Y277" s="6" t="s">
        <v>1248</v>
      </c>
      <c r="Z277" s="2" t="s">
        <v>73</v>
      </c>
      <c r="AA277" s="2" t="s">
        <v>1249</v>
      </c>
      <c r="AB277" s="2" t="str">
        <f>LEFT(A277,3)</f>
        <v>MOF</v>
      </c>
    </row>
    <row r="278" spans="1:28">
      <c r="A278" s="6" t="s">
        <v>1251</v>
      </c>
      <c r="B278" s="6" t="s">
        <v>421</v>
      </c>
      <c r="C278" s="6" t="s">
        <v>43</v>
      </c>
      <c r="D278" s="6" t="s">
        <v>421</v>
      </c>
      <c r="E278" s="6" t="s">
        <v>421</v>
      </c>
      <c r="F278" s="6" t="s">
        <v>421</v>
      </c>
      <c r="G278" s="2" t="s">
        <v>1252</v>
      </c>
      <c r="H278" s="2" t="s">
        <v>421</v>
      </c>
      <c r="I278" s="2" t="s">
        <v>34</v>
      </c>
      <c r="J278" s="7">
        <v>366629.76136</v>
      </c>
      <c r="K278" s="7">
        <v>278773.58786000003</v>
      </c>
      <c r="L278" s="8">
        <v>165.67750252668699</v>
      </c>
      <c r="M278" s="8">
        <v>-21.691409312824302</v>
      </c>
      <c r="N278" s="2">
        <v>3</v>
      </c>
      <c r="O278" s="2">
        <v>3</v>
      </c>
      <c r="P278" s="2">
        <v>4</v>
      </c>
      <c r="Q278" s="2" t="s">
        <v>35</v>
      </c>
      <c r="R278" s="2" t="s">
        <v>1253</v>
      </c>
      <c r="S278" s="2" t="s">
        <v>47</v>
      </c>
      <c r="U278" s="2">
        <f>P278-N278</f>
        <v>1</v>
      </c>
      <c r="W278" s="30" t="s">
        <v>421</v>
      </c>
      <c r="X278" s="2" t="s">
        <v>39</v>
      </c>
      <c r="Y278" s="6" t="s">
        <v>421</v>
      </c>
      <c r="Z278" s="2" t="s">
        <v>40</v>
      </c>
      <c r="AA278" s="2" t="s">
        <v>1252</v>
      </c>
      <c r="AB278" s="2" t="str">
        <f>LEFT(A278,3)</f>
        <v>MOI</v>
      </c>
    </row>
    <row r="279" spans="1:28">
      <c r="A279" s="2" t="s">
        <v>1254</v>
      </c>
      <c r="B279" s="2" t="s">
        <v>402</v>
      </c>
      <c r="C279" s="2" t="s">
        <v>68</v>
      </c>
      <c r="D279" s="2" t="s">
        <v>1255</v>
      </c>
      <c r="E279" s="2" t="s">
        <v>1255</v>
      </c>
      <c r="F279" s="2" t="s">
        <v>1256</v>
      </c>
      <c r="G279" s="2" t="s">
        <v>1256</v>
      </c>
      <c r="H279" s="2" t="s">
        <v>1257</v>
      </c>
      <c r="I279" s="2" t="s">
        <v>34</v>
      </c>
      <c r="J279" s="7">
        <v>341198</v>
      </c>
      <c r="K279" s="7">
        <v>319204</v>
      </c>
      <c r="L279" s="8">
        <v>165.43313873601099</v>
      </c>
      <c r="M279" s="8">
        <v>-21.325576332869201</v>
      </c>
      <c r="N279" s="2">
        <v>3</v>
      </c>
      <c r="O279" s="2">
        <v>3</v>
      </c>
      <c r="P279" s="2">
        <v>3</v>
      </c>
      <c r="Q279" s="2" t="s">
        <v>35</v>
      </c>
      <c r="R279" s="2" t="s">
        <v>1258</v>
      </c>
      <c r="S279" s="2" t="s">
        <v>47</v>
      </c>
      <c r="U279" s="2">
        <f>P279-N279</f>
        <v>0</v>
      </c>
      <c r="W279" s="30" t="s">
        <v>1255</v>
      </c>
      <c r="X279" s="2" t="s">
        <v>82</v>
      </c>
      <c r="Y279" s="2" t="s">
        <v>1256</v>
      </c>
      <c r="Z279" s="2" t="s">
        <v>73</v>
      </c>
      <c r="AA279" s="2" t="s">
        <v>1256</v>
      </c>
      <c r="AB279" s="2" t="str">
        <f>LEFT(A279,3)</f>
        <v>MOO</v>
      </c>
    </row>
    <row r="280" spans="1:28">
      <c r="A280" s="6" t="s">
        <v>1259</v>
      </c>
      <c r="B280" s="6" t="s">
        <v>373</v>
      </c>
      <c r="C280" s="6" t="s">
        <v>129</v>
      </c>
      <c r="D280" s="6" t="s">
        <v>1260</v>
      </c>
      <c r="E280" s="6" t="s">
        <v>1260</v>
      </c>
      <c r="F280" s="6" t="s">
        <v>1261</v>
      </c>
      <c r="G280" s="2" t="s">
        <v>1261</v>
      </c>
      <c r="H280" s="2" t="s">
        <v>1261</v>
      </c>
      <c r="I280" s="2" t="s">
        <v>53</v>
      </c>
      <c r="J280" s="7">
        <v>544390.06449999998</v>
      </c>
      <c r="K280" s="7">
        <v>344232.07874999999</v>
      </c>
      <c r="L280" s="8">
        <v>167.389768563372</v>
      </c>
      <c r="M280" s="8">
        <v>-21.094673006524999</v>
      </c>
      <c r="N280" s="2">
        <v>3</v>
      </c>
      <c r="O280" s="2">
        <v>3</v>
      </c>
      <c r="P280" s="2">
        <v>6</v>
      </c>
      <c r="Q280" s="2" t="s">
        <v>35</v>
      </c>
      <c r="R280" s="2" t="s">
        <v>1260</v>
      </c>
      <c r="S280" s="2" t="s">
        <v>47</v>
      </c>
      <c r="U280" s="2">
        <f>P280-N280</f>
        <v>3</v>
      </c>
      <c r="W280" s="30" t="s">
        <v>1260</v>
      </c>
      <c r="X280" s="2" t="s">
        <v>82</v>
      </c>
      <c r="Y280" s="6" t="s">
        <v>1261</v>
      </c>
      <c r="Z280" s="2" t="s">
        <v>73</v>
      </c>
      <c r="AA280" s="2" t="s">
        <v>1261</v>
      </c>
      <c r="AB280" s="2" t="str">
        <f>LEFT(A280,3)</f>
        <v>MOU</v>
      </c>
    </row>
    <row r="281" spans="1:28">
      <c r="A281" s="2" t="s">
        <v>1262</v>
      </c>
      <c r="B281" s="2" t="s">
        <v>56</v>
      </c>
      <c r="C281" s="2" t="s">
        <v>50</v>
      </c>
      <c r="D281" s="2" t="s">
        <v>1263</v>
      </c>
      <c r="E281" s="2" t="s">
        <v>52</v>
      </c>
      <c r="F281" s="6" t="s">
        <v>1264</v>
      </c>
      <c r="G281" s="6" t="s">
        <v>1264</v>
      </c>
      <c r="H281" s="6" t="s">
        <v>1264</v>
      </c>
      <c r="I281" s="2" t="s">
        <v>53</v>
      </c>
      <c r="J281" s="7">
        <v>437279</v>
      </c>
      <c r="K281" s="7">
        <v>230308</v>
      </c>
      <c r="L281" s="9">
        <v>166.36135999999999</v>
      </c>
      <c r="M281" s="8">
        <v>-22.129059999999999</v>
      </c>
      <c r="N281" s="2">
        <v>3</v>
      </c>
      <c r="O281" s="2">
        <v>9</v>
      </c>
      <c r="P281" s="2">
        <v>6</v>
      </c>
      <c r="Q281" s="2" t="s">
        <v>35</v>
      </c>
      <c r="R281" s="2" t="s">
        <v>1265</v>
      </c>
      <c r="S281" s="2" t="s">
        <v>37</v>
      </c>
      <c r="U281" s="2">
        <f>P281-N281</f>
        <v>3</v>
      </c>
      <c r="W281" s="30" t="s">
        <v>52</v>
      </c>
      <c r="X281" s="6" t="s">
        <v>52</v>
      </c>
      <c r="Y281" s="6" t="s">
        <v>1264</v>
      </c>
      <c r="Z281" s="2" t="s">
        <v>40</v>
      </c>
      <c r="AA281" s="6" t="s">
        <v>1264</v>
      </c>
      <c r="AB281" s="2" t="str">
        <f>LEFT(A281,3)</f>
        <v>MPA</v>
      </c>
    </row>
    <row r="282" spans="1:28">
      <c r="A282" s="2" t="s">
        <v>1266</v>
      </c>
      <c r="B282" s="2" t="s">
        <v>29</v>
      </c>
      <c r="C282" s="2" t="s">
        <v>30</v>
      </c>
      <c r="D282" s="6" t="s">
        <v>1267</v>
      </c>
      <c r="E282" s="6" t="s">
        <v>1267</v>
      </c>
      <c r="F282" s="6" t="s">
        <v>1267</v>
      </c>
      <c r="G282" s="2" t="s">
        <v>1268</v>
      </c>
      <c r="H282" s="6" t="s">
        <v>1267</v>
      </c>
      <c r="I282" s="2" t="s">
        <v>145</v>
      </c>
      <c r="J282" s="7">
        <v>446555</v>
      </c>
      <c r="K282" s="7">
        <v>216815</v>
      </c>
      <c r="L282" s="9">
        <v>166.451651</v>
      </c>
      <c r="M282" s="8">
        <v>-22.250700999999999</v>
      </c>
      <c r="N282" s="2">
        <v>2</v>
      </c>
      <c r="O282" s="2">
        <v>4</v>
      </c>
      <c r="P282" s="2">
        <v>4</v>
      </c>
      <c r="Q282" s="2" t="s">
        <v>35</v>
      </c>
      <c r="R282" s="2" t="s">
        <v>1269</v>
      </c>
      <c r="S282" s="2" t="s">
        <v>37</v>
      </c>
      <c r="U282" s="2">
        <f>P282-N282</f>
        <v>2</v>
      </c>
      <c r="W282" s="30" t="s">
        <v>52</v>
      </c>
      <c r="X282" s="2" t="s">
        <v>39</v>
      </c>
      <c r="Y282" s="6" t="s">
        <v>1267</v>
      </c>
      <c r="Z282" s="2" t="s">
        <v>40</v>
      </c>
      <c r="AA282" s="2" t="s">
        <v>1268</v>
      </c>
      <c r="AB282" s="2" t="str">
        <f>LEFT(A282,3)</f>
        <v>MRA</v>
      </c>
    </row>
    <row r="283" spans="1:28">
      <c r="A283" s="6" t="s">
        <v>1270</v>
      </c>
      <c r="B283" s="6" t="s">
        <v>602</v>
      </c>
      <c r="C283" s="6" t="s">
        <v>43</v>
      </c>
      <c r="D283" s="6" t="s">
        <v>1271</v>
      </c>
      <c r="E283" s="6" t="s">
        <v>1271</v>
      </c>
      <c r="F283" s="6" t="s">
        <v>1271</v>
      </c>
      <c r="G283" s="2" t="s">
        <v>1272</v>
      </c>
      <c r="H283" s="2" t="s">
        <v>1271</v>
      </c>
      <c r="I283" s="2" t="s">
        <v>34</v>
      </c>
      <c r="J283" s="7">
        <v>384863.65919999999</v>
      </c>
      <c r="K283" s="7">
        <v>276781.51113</v>
      </c>
      <c r="L283" s="8">
        <v>165.85370307290501</v>
      </c>
      <c r="M283" s="8">
        <v>-21.709648334029598</v>
      </c>
      <c r="N283" s="2">
        <v>2</v>
      </c>
      <c r="O283" s="2">
        <v>5</v>
      </c>
      <c r="P283" s="2">
        <v>6</v>
      </c>
      <c r="Q283" s="2" t="s">
        <v>35</v>
      </c>
      <c r="R283" s="2" t="s">
        <v>1273</v>
      </c>
      <c r="S283" s="2" t="s">
        <v>47</v>
      </c>
      <c r="U283" s="2">
        <f>P283-N283</f>
        <v>4</v>
      </c>
      <c r="W283" s="30" t="s">
        <v>1271</v>
      </c>
      <c r="X283" s="2" t="s">
        <v>39</v>
      </c>
      <c r="Y283" s="6" t="s">
        <v>1271</v>
      </c>
      <c r="Z283" s="2" t="s">
        <v>40</v>
      </c>
      <c r="AA283" s="2" t="s">
        <v>1272</v>
      </c>
      <c r="AB283" s="2" t="str">
        <f>LEFT(A283,3)</f>
        <v>MRE</v>
      </c>
    </row>
    <row r="284" spans="1:28">
      <c r="A284" s="2" t="s">
        <v>1274</v>
      </c>
      <c r="B284" s="2" t="s">
        <v>93</v>
      </c>
      <c r="C284" s="2" t="s">
        <v>50</v>
      </c>
      <c r="D284" s="6" t="s">
        <v>1275</v>
      </c>
      <c r="E284" s="2" t="s">
        <v>52</v>
      </c>
      <c r="F284" s="6" t="s">
        <v>1276</v>
      </c>
      <c r="G284" s="6" t="s">
        <v>1276</v>
      </c>
      <c r="H284" s="6" t="s">
        <v>1276</v>
      </c>
      <c r="I284" s="2" t="s">
        <v>53</v>
      </c>
      <c r="J284" s="7">
        <v>466367</v>
      </c>
      <c r="K284" s="7">
        <v>219730</v>
      </c>
      <c r="L284" s="9">
        <v>166.64374000000001</v>
      </c>
      <c r="M284" s="8">
        <v>-22.223749999999999</v>
      </c>
      <c r="N284" s="2">
        <v>2</v>
      </c>
      <c r="O284" s="2">
        <v>2</v>
      </c>
      <c r="P284" s="2">
        <v>2</v>
      </c>
      <c r="Q284" s="2" t="s">
        <v>35</v>
      </c>
      <c r="R284" s="2" t="s">
        <v>1277</v>
      </c>
      <c r="S284" s="2" t="s">
        <v>47</v>
      </c>
      <c r="U284" s="2">
        <f>P284-N284</f>
        <v>0</v>
      </c>
      <c r="W284" s="30" t="s">
        <v>52</v>
      </c>
      <c r="X284" s="6" t="s">
        <v>52</v>
      </c>
      <c r="Y284" s="6" t="s">
        <v>1276</v>
      </c>
      <c r="Z284" s="2" t="s">
        <v>40</v>
      </c>
      <c r="AA284" s="6" t="s">
        <v>1276</v>
      </c>
      <c r="AB284" s="2" t="str">
        <f>LEFT(A284,3)</f>
        <v>MRG</v>
      </c>
    </row>
    <row r="285" spans="1:28">
      <c r="A285" s="6" t="s">
        <v>1278</v>
      </c>
      <c r="B285" s="2" t="s">
        <v>29</v>
      </c>
      <c r="C285" s="2" t="s">
        <v>30</v>
      </c>
      <c r="D285" s="6" t="s">
        <v>1279</v>
      </c>
      <c r="E285" s="6" t="s">
        <v>1279</v>
      </c>
      <c r="F285" s="6" t="s">
        <v>1279</v>
      </c>
      <c r="G285" s="2" t="s">
        <v>1280</v>
      </c>
      <c r="H285" s="6" t="s">
        <v>1279</v>
      </c>
      <c r="I285" s="2" t="s">
        <v>34</v>
      </c>
      <c r="J285" s="7">
        <v>447465</v>
      </c>
      <c r="K285" s="7">
        <v>217099</v>
      </c>
      <c r="L285" s="8">
        <v>166.46047071416999</v>
      </c>
      <c r="M285" s="8">
        <v>-22.248112751192501</v>
      </c>
      <c r="N285" s="2">
        <v>3</v>
      </c>
      <c r="O285" s="2">
        <v>9</v>
      </c>
      <c r="P285" s="2">
        <v>6</v>
      </c>
      <c r="Q285" s="2" t="s">
        <v>35</v>
      </c>
      <c r="R285" s="2" t="s">
        <v>1281</v>
      </c>
      <c r="S285" s="2" t="s">
        <v>37</v>
      </c>
      <c r="T285" s="2" t="s">
        <v>205</v>
      </c>
      <c r="U285" s="2">
        <f>P285-N285</f>
        <v>3</v>
      </c>
      <c r="V285" s="2" t="s">
        <v>38</v>
      </c>
      <c r="W285" s="30" t="s">
        <v>1279</v>
      </c>
      <c r="X285" s="2" t="s">
        <v>39</v>
      </c>
      <c r="Y285" s="6" t="s">
        <v>1279</v>
      </c>
      <c r="Z285" s="2" t="s">
        <v>40</v>
      </c>
      <c r="AA285" s="2" t="s">
        <v>1280</v>
      </c>
      <c r="AB285" s="2" t="str">
        <f>LEFT(A285,3)</f>
        <v>MTE</v>
      </c>
    </row>
    <row r="286" spans="1:28">
      <c r="A286" s="6" t="s">
        <v>1282</v>
      </c>
      <c r="B286" s="6" t="s">
        <v>373</v>
      </c>
      <c r="C286" s="6" t="s">
        <v>129</v>
      </c>
      <c r="D286" s="6" t="s">
        <v>1283</v>
      </c>
      <c r="E286" s="6" t="s">
        <v>1283</v>
      </c>
      <c r="F286" s="6" t="s">
        <v>1283</v>
      </c>
      <c r="G286" s="2" t="s">
        <v>1284</v>
      </c>
      <c r="H286" s="2" t="s">
        <v>1283</v>
      </c>
      <c r="I286" s="2" t="s">
        <v>34</v>
      </c>
      <c r="J286" s="7">
        <v>520985.96299000003</v>
      </c>
      <c r="K286" s="7">
        <v>384119.95085000002</v>
      </c>
      <c r="L286" s="8">
        <v>167.16165887831801</v>
      </c>
      <c r="M286" s="8">
        <v>-20.7361180434871</v>
      </c>
      <c r="N286" s="2">
        <v>2</v>
      </c>
      <c r="O286" s="2">
        <v>2</v>
      </c>
      <c r="P286" s="2">
        <v>2</v>
      </c>
      <c r="Q286" s="2" t="s">
        <v>35</v>
      </c>
      <c r="R286" s="2" t="s">
        <v>1285</v>
      </c>
      <c r="S286" s="2" t="s">
        <v>47</v>
      </c>
      <c r="U286" s="2">
        <f>P286-N286</f>
        <v>0</v>
      </c>
      <c r="W286" s="30" t="s">
        <v>1283</v>
      </c>
      <c r="X286" s="2" t="s">
        <v>82</v>
      </c>
      <c r="Y286" s="6" t="s">
        <v>1283</v>
      </c>
      <c r="Z286" s="2" t="s">
        <v>73</v>
      </c>
      <c r="AA286" s="2" t="s">
        <v>1284</v>
      </c>
      <c r="AB286" s="2" t="str">
        <f>LEFT(A286,3)</f>
        <v>MUC</v>
      </c>
    </row>
    <row r="287" spans="1:28">
      <c r="A287" s="6" t="s">
        <v>1286</v>
      </c>
      <c r="B287" s="6" t="s">
        <v>331</v>
      </c>
      <c r="C287" s="6" t="s">
        <v>43</v>
      </c>
      <c r="D287" s="6" t="s">
        <v>975</v>
      </c>
      <c r="E287" s="6" t="s">
        <v>975</v>
      </c>
      <c r="F287" s="6" t="s">
        <v>1287</v>
      </c>
      <c r="G287" s="2" t="s">
        <v>1287</v>
      </c>
      <c r="H287" s="2" t="s">
        <v>975</v>
      </c>
      <c r="I287" s="2" t="s">
        <v>34</v>
      </c>
      <c r="J287" s="7">
        <v>549397.61257</v>
      </c>
      <c r="K287" s="7">
        <v>177825.62273</v>
      </c>
      <c r="L287" s="8">
        <v>167.452853493427</v>
      </c>
      <c r="M287" s="8">
        <v>-22.597120131702699</v>
      </c>
      <c r="N287" s="2">
        <v>2</v>
      </c>
      <c r="O287" s="2">
        <v>2</v>
      </c>
      <c r="P287" s="2">
        <v>2</v>
      </c>
      <c r="Q287" s="2" t="s">
        <v>35</v>
      </c>
      <c r="R287" s="2" t="s">
        <v>975</v>
      </c>
      <c r="S287" s="2" t="s">
        <v>47</v>
      </c>
      <c r="U287" s="2">
        <f>P287-N287</f>
        <v>0</v>
      </c>
      <c r="V287" s="2" t="s">
        <v>102</v>
      </c>
      <c r="W287" s="30" t="s">
        <v>975</v>
      </c>
      <c r="X287" s="2" t="s">
        <v>39</v>
      </c>
      <c r="Y287" s="6" t="s">
        <v>1287</v>
      </c>
      <c r="Z287" s="2" t="s">
        <v>40</v>
      </c>
      <c r="AA287" s="2" t="s">
        <v>1287</v>
      </c>
      <c r="AB287" s="2" t="str">
        <f>LEFT(A287,3)</f>
        <v>MUE</v>
      </c>
    </row>
    <row r="288" spans="1:28">
      <c r="A288" s="6" t="s">
        <v>1288</v>
      </c>
      <c r="B288" s="6" t="s">
        <v>148</v>
      </c>
      <c r="C288" s="6" t="s">
        <v>68</v>
      </c>
      <c r="D288" s="6" t="s">
        <v>1289</v>
      </c>
      <c r="E288" s="6" t="s">
        <v>1289</v>
      </c>
      <c r="F288" s="6" t="s">
        <v>1289</v>
      </c>
      <c r="G288" s="2" t="s">
        <v>1290</v>
      </c>
      <c r="H288" s="2" t="s">
        <v>1289</v>
      </c>
      <c r="I288" s="2" t="s">
        <v>34</v>
      </c>
      <c r="J288" s="7">
        <v>294872</v>
      </c>
      <c r="K288" s="7">
        <v>318555.03125</v>
      </c>
      <c r="L288" s="8">
        <v>164.98651742556399</v>
      </c>
      <c r="M288" s="8">
        <v>-21.3293233415381</v>
      </c>
      <c r="N288" s="2">
        <v>3</v>
      </c>
      <c r="O288" s="2">
        <v>3</v>
      </c>
      <c r="P288" s="2">
        <v>3</v>
      </c>
      <c r="Q288" s="2" t="s">
        <v>35</v>
      </c>
      <c r="R288" s="2" t="s">
        <v>1291</v>
      </c>
      <c r="S288" s="2" t="s">
        <v>47</v>
      </c>
      <c r="T288" s="2" t="s">
        <v>205</v>
      </c>
      <c r="U288" s="2">
        <f>P288-N288</f>
        <v>0</v>
      </c>
      <c r="W288" s="30" t="s">
        <v>1289</v>
      </c>
      <c r="X288" s="2" t="s">
        <v>82</v>
      </c>
      <c r="Y288" s="6" t="s">
        <v>1289</v>
      </c>
      <c r="Z288" s="2" t="s">
        <v>73</v>
      </c>
      <c r="AA288" s="2" t="s">
        <v>1290</v>
      </c>
      <c r="AB288" s="2" t="str">
        <f>LEFT(A288,3)</f>
        <v>MUO</v>
      </c>
    </row>
    <row r="289" spans="1:28">
      <c r="A289" s="6" t="s">
        <v>1292</v>
      </c>
      <c r="B289" s="6" t="s">
        <v>331</v>
      </c>
      <c r="C289" s="6" t="s">
        <v>43</v>
      </c>
      <c r="D289" s="6" t="s">
        <v>1293</v>
      </c>
      <c r="E289" s="6" t="s">
        <v>1293</v>
      </c>
      <c r="F289" s="6" t="s">
        <v>1294</v>
      </c>
      <c r="G289" s="2" t="s">
        <v>1295</v>
      </c>
      <c r="H289" s="2" t="s">
        <v>1293</v>
      </c>
      <c r="I289" s="2" t="s">
        <v>34</v>
      </c>
      <c r="J289" s="7">
        <v>553584.09878</v>
      </c>
      <c r="K289" s="7">
        <v>175689.80718</v>
      </c>
      <c r="L289" s="8">
        <v>167.49375719982001</v>
      </c>
      <c r="M289" s="8">
        <v>-22.616050177521799</v>
      </c>
      <c r="N289" s="2">
        <v>2</v>
      </c>
      <c r="O289" s="2">
        <v>2</v>
      </c>
      <c r="P289" s="2">
        <v>3</v>
      </c>
      <c r="Q289" s="2" t="s">
        <v>35</v>
      </c>
      <c r="R289" s="2" t="s">
        <v>1296</v>
      </c>
      <c r="S289" s="2" t="s">
        <v>47</v>
      </c>
      <c r="U289" s="2">
        <f>P289-N289</f>
        <v>1</v>
      </c>
      <c r="V289" s="2" t="s">
        <v>102</v>
      </c>
      <c r="W289" s="30" t="s">
        <v>1293</v>
      </c>
      <c r="X289" s="2" t="s">
        <v>39</v>
      </c>
      <c r="Y289" s="6" t="s">
        <v>1294</v>
      </c>
      <c r="Z289" s="2" t="s">
        <v>40</v>
      </c>
      <c r="AA289" s="6" t="s">
        <v>1294</v>
      </c>
      <c r="AB289" s="2" t="str">
        <f>LEFT(A289,3)</f>
        <v>MWN</v>
      </c>
    </row>
    <row r="290" spans="1:28">
      <c r="A290" s="6" t="s">
        <v>1297</v>
      </c>
      <c r="B290" s="6" t="s">
        <v>56</v>
      </c>
      <c r="C290" s="6" t="s">
        <v>50</v>
      </c>
      <c r="D290" s="6" t="s">
        <v>1298</v>
      </c>
      <c r="E290" s="6" t="s">
        <v>1298</v>
      </c>
      <c r="F290" s="6" t="s">
        <v>1299</v>
      </c>
      <c r="G290" s="2" t="s">
        <v>1300</v>
      </c>
      <c r="H290" s="2" t="s">
        <v>1300</v>
      </c>
      <c r="I290" s="2" t="s">
        <v>53</v>
      </c>
      <c r="J290" s="7">
        <v>425605.82775</v>
      </c>
      <c r="K290" s="7">
        <v>227278.12494000001</v>
      </c>
      <c r="L290" s="8">
        <v>166.24825437384999</v>
      </c>
      <c r="M290" s="8">
        <v>-22.156633855488099</v>
      </c>
      <c r="N290" s="2">
        <v>2</v>
      </c>
      <c r="O290" s="2">
        <v>4</v>
      </c>
      <c r="P290" s="2">
        <v>6</v>
      </c>
      <c r="Q290" s="2" t="s">
        <v>35</v>
      </c>
      <c r="R290" s="2" t="s">
        <v>1301</v>
      </c>
      <c r="S290" s="2" t="s">
        <v>47</v>
      </c>
      <c r="U290" s="2">
        <f>P290-N290</f>
        <v>4</v>
      </c>
      <c r="W290" s="30" t="s">
        <v>1298</v>
      </c>
      <c r="X290" s="2" t="s">
        <v>39</v>
      </c>
      <c r="Y290" s="6" t="s">
        <v>1299</v>
      </c>
      <c r="Z290" s="2" t="s">
        <v>40</v>
      </c>
      <c r="AA290" s="2" t="s">
        <v>1300</v>
      </c>
      <c r="AB290" s="2" t="str">
        <f>LEFT(A290,3)</f>
        <v>N87</v>
      </c>
    </row>
    <row r="291" spans="1:28">
      <c r="A291" s="6" t="s">
        <v>1302</v>
      </c>
      <c r="B291" s="6" t="s">
        <v>207</v>
      </c>
      <c r="C291" s="6" t="s">
        <v>43</v>
      </c>
      <c r="D291" s="6" t="s">
        <v>1303</v>
      </c>
      <c r="E291" s="6" t="s">
        <v>52</v>
      </c>
      <c r="F291" s="6" t="s">
        <v>1304</v>
      </c>
      <c r="G291" s="6" t="s">
        <v>1304</v>
      </c>
      <c r="H291" s="6" t="s">
        <v>1304</v>
      </c>
      <c r="I291" s="2" t="s">
        <v>53</v>
      </c>
      <c r="J291" s="7">
        <v>406922</v>
      </c>
      <c r="K291" s="7">
        <v>267799</v>
      </c>
      <c r="L291" s="8">
        <v>166.06694200000001</v>
      </c>
      <c r="M291" s="8">
        <v>-21.790834</v>
      </c>
      <c r="N291" s="2">
        <v>2</v>
      </c>
      <c r="O291" s="2">
        <v>2</v>
      </c>
      <c r="P291" s="2">
        <v>2</v>
      </c>
      <c r="Q291" s="2" t="s">
        <v>35</v>
      </c>
      <c r="R291" s="2" t="s">
        <v>1305</v>
      </c>
      <c r="S291" s="2" t="s">
        <v>47</v>
      </c>
      <c r="U291" s="2">
        <f>P291-N291</f>
        <v>0</v>
      </c>
      <c r="W291" s="30" t="s">
        <v>52</v>
      </c>
      <c r="X291" s="2" t="s">
        <v>52</v>
      </c>
      <c r="Y291" s="6" t="s">
        <v>1304</v>
      </c>
      <c r="Z291" s="2" t="s">
        <v>40</v>
      </c>
      <c r="AA291" s="6" t="s">
        <v>1304</v>
      </c>
      <c r="AB291" s="2" t="str">
        <f>LEFT(A291,3)</f>
        <v>NAH</v>
      </c>
    </row>
    <row r="292" spans="1:28">
      <c r="A292" s="6" t="s">
        <v>1306</v>
      </c>
      <c r="B292" s="6" t="s">
        <v>56</v>
      </c>
      <c r="C292" s="6" t="s">
        <v>50</v>
      </c>
      <c r="D292" s="6" t="s">
        <v>1307</v>
      </c>
      <c r="E292" s="6" t="s">
        <v>1307</v>
      </c>
      <c r="F292" s="6" t="s">
        <v>1307</v>
      </c>
      <c r="G292" s="2" t="s">
        <v>1308</v>
      </c>
      <c r="H292" s="2" t="s">
        <v>1307</v>
      </c>
      <c r="I292" s="2" t="s">
        <v>34</v>
      </c>
      <c r="J292" s="7">
        <v>425982.64325000002</v>
      </c>
      <c r="K292" s="7">
        <v>227108.59286999999</v>
      </c>
      <c r="L292" s="8">
        <v>166.251912084797</v>
      </c>
      <c r="M292" s="8">
        <v>-22.158154669373001</v>
      </c>
      <c r="N292" s="2">
        <v>2</v>
      </c>
      <c r="O292" s="2">
        <v>2</v>
      </c>
      <c r="P292" s="2">
        <v>2</v>
      </c>
      <c r="Q292" s="2" t="s">
        <v>35</v>
      </c>
      <c r="R292" s="2" t="s">
        <v>1309</v>
      </c>
      <c r="S292" s="2" t="s">
        <v>47</v>
      </c>
      <c r="U292" s="2">
        <f>P292-N292</f>
        <v>0</v>
      </c>
      <c r="W292" s="30" t="s">
        <v>1307</v>
      </c>
      <c r="X292" s="2" t="s">
        <v>39</v>
      </c>
      <c r="Y292" s="6" t="s">
        <v>1307</v>
      </c>
      <c r="Z292" s="2" t="s">
        <v>40</v>
      </c>
      <c r="AA292" s="2" t="s">
        <v>1308</v>
      </c>
      <c r="AB292" s="2" t="str">
        <f>LEFT(A292,3)</f>
        <v>NAI</v>
      </c>
    </row>
    <row r="293" spans="1:28">
      <c r="A293" s="6" t="s">
        <v>1310</v>
      </c>
      <c r="B293" s="6" t="s">
        <v>49</v>
      </c>
      <c r="C293" s="6" t="s">
        <v>50</v>
      </c>
      <c r="D293" s="6" t="s">
        <v>1311</v>
      </c>
      <c r="E293" s="6" t="s">
        <v>52</v>
      </c>
      <c r="F293" s="6" t="s">
        <v>1312</v>
      </c>
      <c r="G293" s="2" t="s">
        <v>1312</v>
      </c>
      <c r="H293" s="2" t="s">
        <v>1312</v>
      </c>
      <c r="I293" s="2" t="s">
        <v>53</v>
      </c>
      <c r="J293" s="7">
        <v>442727</v>
      </c>
      <c r="K293" s="7">
        <v>225310</v>
      </c>
      <c r="L293" s="8">
        <v>166.41429500000001</v>
      </c>
      <c r="M293" s="8">
        <v>-22.174078999999999</v>
      </c>
      <c r="N293" s="2">
        <v>3</v>
      </c>
      <c r="O293" s="2">
        <v>3</v>
      </c>
      <c r="P293" s="2">
        <v>3</v>
      </c>
      <c r="Q293" s="2" t="s">
        <v>35</v>
      </c>
      <c r="R293" s="2" t="s">
        <v>1313</v>
      </c>
      <c r="S293" s="2" t="s">
        <v>37</v>
      </c>
      <c r="U293" s="2">
        <f>P293-N293</f>
        <v>0</v>
      </c>
      <c r="W293" s="30" t="s">
        <v>52</v>
      </c>
      <c r="X293" s="2" t="s">
        <v>52</v>
      </c>
      <c r="Y293" s="6" t="s">
        <v>1312</v>
      </c>
      <c r="Z293" s="2" t="s">
        <v>40</v>
      </c>
      <c r="AA293" s="6" t="s">
        <v>1312</v>
      </c>
      <c r="AB293" s="2" t="str">
        <f>LEFT(A293,3)</f>
        <v>NAK</v>
      </c>
    </row>
    <row r="294" spans="1:28">
      <c r="A294" s="6" t="s">
        <v>1314</v>
      </c>
      <c r="B294" s="6" t="s">
        <v>56</v>
      </c>
      <c r="C294" s="6" t="s">
        <v>50</v>
      </c>
      <c r="D294" s="6" t="s">
        <v>1315</v>
      </c>
      <c r="E294" s="6" t="s">
        <v>1315</v>
      </c>
      <c r="F294" s="6" t="s">
        <v>1315</v>
      </c>
      <c r="G294" s="2" t="s">
        <v>1316</v>
      </c>
      <c r="H294" s="2" t="s">
        <v>1315</v>
      </c>
      <c r="I294" s="2" t="s">
        <v>34</v>
      </c>
      <c r="J294" s="7">
        <v>429278.08601000003</v>
      </c>
      <c r="K294" s="7">
        <v>229963.91670999999</v>
      </c>
      <c r="L294" s="8">
        <v>166.28380766599801</v>
      </c>
      <c r="M294" s="8">
        <v>-22.132319714779602</v>
      </c>
      <c r="N294" s="2">
        <v>2</v>
      </c>
      <c r="O294" s="2">
        <v>2</v>
      </c>
      <c r="P294" s="2">
        <f>N294</f>
        <v>2</v>
      </c>
      <c r="Q294" s="2" t="s">
        <v>35</v>
      </c>
      <c r="R294" s="2" t="s">
        <v>1317</v>
      </c>
      <c r="S294" s="2" t="s">
        <v>47</v>
      </c>
      <c r="U294" s="2">
        <f>P294-N294</f>
        <v>0</v>
      </c>
      <c r="W294" s="30" t="s">
        <v>1315</v>
      </c>
      <c r="X294" s="2" t="s">
        <v>39</v>
      </c>
      <c r="Y294" s="6" t="s">
        <v>1315</v>
      </c>
      <c r="Z294" s="2" t="s">
        <v>40</v>
      </c>
      <c r="AA294" s="2" t="s">
        <v>1316</v>
      </c>
      <c r="AB294" s="2" t="str">
        <f>LEFT(A294,3)</f>
        <v>NAN</v>
      </c>
    </row>
    <row r="295" spans="1:28">
      <c r="A295" s="2" t="s">
        <v>1318</v>
      </c>
      <c r="B295" s="2" t="s">
        <v>104</v>
      </c>
      <c r="C295" s="2" t="s">
        <v>68</v>
      </c>
      <c r="D295" s="2" t="s">
        <v>1319</v>
      </c>
      <c r="E295" s="2" t="s">
        <v>52</v>
      </c>
      <c r="F295" s="2" t="s">
        <v>1320</v>
      </c>
      <c r="G295" s="2" t="s">
        <v>1320</v>
      </c>
      <c r="H295" s="2" t="s">
        <v>1320</v>
      </c>
      <c r="I295" s="2" t="s">
        <v>53</v>
      </c>
      <c r="J295" s="2">
        <v>331639</v>
      </c>
      <c r="K295" s="2">
        <v>358253</v>
      </c>
      <c r="L295" s="2">
        <v>165.34256999999999</v>
      </c>
      <c r="M295" s="8">
        <v>-20.972529999999999</v>
      </c>
      <c r="N295" s="2">
        <v>2</v>
      </c>
      <c r="O295" s="2">
        <v>2</v>
      </c>
      <c r="P295" s="2">
        <v>2</v>
      </c>
      <c r="Q295" s="2" t="s">
        <v>35</v>
      </c>
      <c r="R295" s="2" t="s">
        <v>1321</v>
      </c>
      <c r="S295" s="2" t="s">
        <v>47</v>
      </c>
      <c r="U295" s="2">
        <f>P295-N295</f>
        <v>0</v>
      </c>
      <c r="W295" s="30" t="s">
        <v>52</v>
      </c>
      <c r="X295" s="6" t="s">
        <v>52</v>
      </c>
      <c r="Y295" s="2" t="s">
        <v>1320</v>
      </c>
      <c r="Z295" s="2" t="s">
        <v>73</v>
      </c>
      <c r="AA295" s="2" t="s">
        <v>1320</v>
      </c>
      <c r="AB295" s="2" t="str">
        <f>LEFT(A295,3)</f>
        <v>NAP</v>
      </c>
    </row>
    <row r="296" spans="1:28">
      <c r="A296" s="6" t="s">
        <v>1322</v>
      </c>
      <c r="B296" s="6" t="s">
        <v>207</v>
      </c>
      <c r="C296" s="6" t="s">
        <v>43</v>
      </c>
      <c r="D296" s="6" t="s">
        <v>1323</v>
      </c>
      <c r="E296" s="6" t="s">
        <v>1323</v>
      </c>
      <c r="F296" s="6" t="s">
        <v>1324</v>
      </c>
      <c r="G296" s="6" t="s">
        <v>1324</v>
      </c>
      <c r="H296" s="2" t="s">
        <v>1323</v>
      </c>
      <c r="I296" s="2" t="s">
        <v>34</v>
      </c>
      <c r="J296" s="7">
        <v>406663.79596999998</v>
      </c>
      <c r="K296" s="7">
        <v>266428.36226000002</v>
      </c>
      <c r="L296" s="8">
        <v>166.06445213237899</v>
      </c>
      <c r="M296" s="8">
        <v>-21.803218053856401</v>
      </c>
      <c r="N296" s="2">
        <v>2</v>
      </c>
      <c r="O296" s="2">
        <v>2</v>
      </c>
      <c r="P296" s="2">
        <v>2</v>
      </c>
      <c r="Q296" s="2" t="s">
        <v>35</v>
      </c>
      <c r="R296" s="2" t="s">
        <v>1325</v>
      </c>
      <c r="S296" s="2" t="s">
        <v>47</v>
      </c>
      <c r="U296" s="2">
        <f>P296-N296</f>
        <v>0</v>
      </c>
      <c r="V296" s="2" t="s">
        <v>102</v>
      </c>
      <c r="W296" s="30" t="s">
        <v>1323</v>
      </c>
      <c r="X296" s="2" t="s">
        <v>39</v>
      </c>
      <c r="Y296" s="6" t="s">
        <v>1324</v>
      </c>
      <c r="Z296" s="2" t="s">
        <v>40</v>
      </c>
      <c r="AA296" s="6" t="s">
        <v>1324</v>
      </c>
      <c r="AB296" s="2" t="str">
        <f>LEFT(A296,3)</f>
        <v>NAS</v>
      </c>
    </row>
    <row r="297" spans="1:28">
      <c r="A297" s="6" t="s">
        <v>1326</v>
      </c>
      <c r="B297" s="2" t="s">
        <v>56</v>
      </c>
      <c r="C297" s="2" t="s">
        <v>50</v>
      </c>
      <c r="D297" s="6" t="s">
        <v>1327</v>
      </c>
      <c r="E297" s="2" t="s">
        <v>1307</v>
      </c>
      <c r="F297" s="2" t="s">
        <v>1307</v>
      </c>
      <c r="G297" s="2" t="s">
        <v>1308</v>
      </c>
      <c r="H297" s="2" t="s">
        <v>1307</v>
      </c>
      <c r="I297" s="2" t="s">
        <v>34</v>
      </c>
      <c r="J297" s="7">
        <v>428160</v>
      </c>
      <c r="K297" s="7">
        <v>226453</v>
      </c>
      <c r="L297" s="8">
        <v>166.273029744784</v>
      </c>
      <c r="M297" s="8">
        <v>-22.164046071146601</v>
      </c>
      <c r="N297" s="2">
        <v>2</v>
      </c>
      <c r="O297" s="2">
        <v>2</v>
      </c>
      <c r="P297" s="2">
        <v>1</v>
      </c>
      <c r="Q297" s="2" t="s">
        <v>35</v>
      </c>
      <c r="R297" s="2" t="s">
        <v>1328</v>
      </c>
      <c r="S297" s="2" t="s">
        <v>47</v>
      </c>
      <c r="U297" s="2">
        <f>P297-N297</f>
        <v>-1</v>
      </c>
      <c r="W297" s="30" t="s">
        <v>1329</v>
      </c>
      <c r="X297" s="2" t="s">
        <v>39</v>
      </c>
      <c r="Y297" s="2" t="s">
        <v>1329</v>
      </c>
      <c r="Z297" s="2" t="s">
        <v>40</v>
      </c>
      <c r="AA297" s="2" t="s">
        <v>1330</v>
      </c>
      <c r="AB297" s="2" t="str">
        <f>LEFT(A297,3)</f>
        <v>NAT</v>
      </c>
    </row>
    <row r="298" spans="1:28">
      <c r="A298" s="2" t="s">
        <v>1331</v>
      </c>
      <c r="B298" s="2" t="s">
        <v>56</v>
      </c>
      <c r="C298" s="2" t="s">
        <v>50</v>
      </c>
      <c r="D298" s="2" t="s">
        <v>1332</v>
      </c>
      <c r="E298" s="2" t="s">
        <v>1332</v>
      </c>
      <c r="F298" s="2" t="s">
        <v>1332</v>
      </c>
      <c r="G298" s="2" t="s">
        <v>1333</v>
      </c>
      <c r="H298" s="2" t="s">
        <v>1332</v>
      </c>
      <c r="I298" s="2" t="s">
        <v>34</v>
      </c>
      <c r="J298" s="7">
        <v>430705</v>
      </c>
      <c r="K298" s="7">
        <v>228194</v>
      </c>
      <c r="L298" s="9">
        <v>166.29767299583199</v>
      </c>
      <c r="M298" s="8">
        <v>-22.1482809226952</v>
      </c>
      <c r="N298" s="2">
        <v>2</v>
      </c>
      <c r="O298" s="2">
        <v>2</v>
      </c>
      <c r="P298" s="2">
        <f>N298</f>
        <v>2</v>
      </c>
      <c r="Q298" s="2" t="s">
        <v>35</v>
      </c>
      <c r="R298" s="2" t="s">
        <v>1334</v>
      </c>
      <c r="S298" s="2" t="s">
        <v>47</v>
      </c>
      <c r="U298" s="2">
        <f>P298-N298</f>
        <v>0</v>
      </c>
      <c r="W298" s="30" t="s">
        <v>1332</v>
      </c>
      <c r="X298" s="2" t="s">
        <v>39</v>
      </c>
      <c r="Y298" s="2" t="s">
        <v>1332</v>
      </c>
      <c r="Z298" s="2" t="s">
        <v>40</v>
      </c>
      <c r="AA298" s="2" t="s">
        <v>1333</v>
      </c>
      <c r="AB298" s="2" t="str">
        <f>LEFT(A298,3)</f>
        <v>NBE</v>
      </c>
    </row>
    <row r="299" spans="1:28">
      <c r="A299" s="2" t="s">
        <v>1335</v>
      </c>
      <c r="B299" s="2" t="s">
        <v>191</v>
      </c>
      <c r="C299" s="2" t="s">
        <v>43</v>
      </c>
      <c r="D299" s="2" t="s">
        <v>1336</v>
      </c>
      <c r="E299" s="2" t="s">
        <v>52</v>
      </c>
      <c r="F299" s="2" t="s">
        <v>1337</v>
      </c>
      <c r="G299" s="2" t="s">
        <v>1337</v>
      </c>
      <c r="H299" s="2" t="s">
        <v>1337</v>
      </c>
      <c r="I299" s="2" t="s">
        <v>53</v>
      </c>
      <c r="J299" s="2">
        <v>344178</v>
      </c>
      <c r="K299" s="2">
        <v>298317</v>
      </c>
      <c r="L299" s="2">
        <v>165.46117000000001</v>
      </c>
      <c r="M299" s="8">
        <v>-21.514330000000001</v>
      </c>
      <c r="N299" s="2">
        <v>2</v>
      </c>
      <c r="O299" s="2">
        <v>4</v>
      </c>
      <c r="P299" s="2">
        <v>2</v>
      </c>
      <c r="Q299" s="2" t="s">
        <v>35</v>
      </c>
      <c r="R299" s="2" t="s">
        <v>1338</v>
      </c>
      <c r="S299" s="2" t="s">
        <v>47</v>
      </c>
      <c r="U299" s="2">
        <f>P299-N299</f>
        <v>0</v>
      </c>
      <c r="W299" s="30" t="s">
        <v>52</v>
      </c>
      <c r="X299" s="6" t="s">
        <v>52</v>
      </c>
      <c r="Y299" s="2" t="s">
        <v>1337</v>
      </c>
      <c r="Z299" s="2" t="s">
        <v>73</v>
      </c>
      <c r="AA299" s="2" t="s">
        <v>1337</v>
      </c>
      <c r="AB299" s="2" t="str">
        <f>LEFT(A299,3)</f>
        <v>NDA</v>
      </c>
    </row>
    <row r="300" spans="1:28">
      <c r="A300" s="6" t="s">
        <v>1339</v>
      </c>
      <c r="B300" s="6" t="s">
        <v>93</v>
      </c>
      <c r="C300" s="6" t="s">
        <v>50</v>
      </c>
      <c r="D300" s="6" t="s">
        <v>1340</v>
      </c>
      <c r="E300" s="6" t="s">
        <v>52</v>
      </c>
      <c r="F300" s="6" t="s">
        <v>1341</v>
      </c>
      <c r="G300" s="6" t="s">
        <v>1341</v>
      </c>
      <c r="H300" s="6" t="s">
        <v>1341</v>
      </c>
      <c r="I300" s="2" t="s">
        <v>53</v>
      </c>
      <c r="J300" s="7">
        <v>450261</v>
      </c>
      <c r="K300" s="7">
        <v>219565</v>
      </c>
      <c r="L300" s="8">
        <v>166.48752099999999</v>
      </c>
      <c r="M300" s="8">
        <v>-22.225766</v>
      </c>
      <c r="N300" s="2">
        <v>3</v>
      </c>
      <c r="O300" s="2">
        <v>3</v>
      </c>
      <c r="P300" s="2">
        <f>N300</f>
        <v>3</v>
      </c>
      <c r="Q300" s="2" t="s">
        <v>35</v>
      </c>
      <c r="R300" s="2" t="s">
        <v>1342</v>
      </c>
      <c r="S300" s="2" t="s">
        <v>37</v>
      </c>
      <c r="U300" s="2">
        <f>P300-N300</f>
        <v>0</v>
      </c>
      <c r="W300" s="30" t="s">
        <v>52</v>
      </c>
      <c r="X300" s="6" t="s">
        <v>52</v>
      </c>
      <c r="Y300" s="6" t="s">
        <v>1343</v>
      </c>
      <c r="Z300" s="2" t="s">
        <v>40</v>
      </c>
      <c r="AA300" s="6" t="s">
        <v>1343</v>
      </c>
      <c r="AB300" s="2" t="str">
        <f>LEFT(A300,3)</f>
        <v>NDI</v>
      </c>
    </row>
    <row r="301" spans="1:28">
      <c r="A301" s="6" t="s">
        <v>1344</v>
      </c>
      <c r="B301" s="6" t="s">
        <v>402</v>
      </c>
      <c r="C301" s="6" t="s">
        <v>68</v>
      </c>
      <c r="D301" s="6" t="s">
        <v>1201</v>
      </c>
      <c r="E301" s="6" t="s">
        <v>1201</v>
      </c>
      <c r="F301" s="6" t="s">
        <v>1201</v>
      </c>
      <c r="G301" s="2" t="s">
        <v>1345</v>
      </c>
      <c r="H301" s="2" t="s">
        <v>1201</v>
      </c>
      <c r="I301" s="2" t="s">
        <v>34</v>
      </c>
      <c r="J301" s="7">
        <v>375003.53865</v>
      </c>
      <c r="K301" s="7">
        <v>320423.49677999999</v>
      </c>
      <c r="L301" s="8">
        <v>165.75905156328301</v>
      </c>
      <c r="M301" s="8">
        <v>-21.315354584544501</v>
      </c>
      <c r="N301" s="2">
        <v>3</v>
      </c>
      <c r="O301" s="2">
        <v>4</v>
      </c>
      <c r="P301" s="2">
        <f>N301</f>
        <v>3</v>
      </c>
      <c r="Q301" s="2" t="s">
        <v>35</v>
      </c>
      <c r="R301" s="2" t="s">
        <v>1346</v>
      </c>
      <c r="S301" s="2" t="s">
        <v>47</v>
      </c>
      <c r="U301" s="2">
        <f>P301-N301</f>
        <v>0</v>
      </c>
      <c r="W301" s="30" t="s">
        <v>1201</v>
      </c>
      <c r="X301" s="2" t="s">
        <v>82</v>
      </c>
      <c r="Y301" s="6" t="s">
        <v>1201</v>
      </c>
      <c r="Z301" s="2" t="s">
        <v>73</v>
      </c>
      <c r="AA301" s="2" t="s">
        <v>1345</v>
      </c>
      <c r="AB301" s="2" t="str">
        <f>LEFT(A301,3)</f>
        <v>NDJ</v>
      </c>
    </row>
    <row r="302" spans="1:28">
      <c r="A302" s="6" t="s">
        <v>1347</v>
      </c>
      <c r="B302" s="6" t="s">
        <v>67</v>
      </c>
      <c r="C302" s="6" t="s">
        <v>68</v>
      </c>
      <c r="D302" s="6" t="s">
        <v>1348</v>
      </c>
      <c r="E302" s="6" t="s">
        <v>1348</v>
      </c>
      <c r="F302" s="6" t="s">
        <v>1348</v>
      </c>
      <c r="G302" s="2" t="s">
        <v>1349</v>
      </c>
      <c r="H302" s="2" t="s">
        <v>67</v>
      </c>
      <c r="I302" s="2" t="s">
        <v>34</v>
      </c>
      <c r="J302" s="7">
        <v>280607</v>
      </c>
      <c r="K302" s="7">
        <v>348742</v>
      </c>
      <c r="L302" s="8">
        <v>164.85113999999999</v>
      </c>
      <c r="M302" s="8">
        <v>-21.055769999999999</v>
      </c>
      <c r="N302" s="2">
        <v>1</v>
      </c>
      <c r="O302" s="2">
        <v>1</v>
      </c>
      <c r="P302" s="2">
        <v>1</v>
      </c>
      <c r="Q302" s="2" t="s">
        <v>35</v>
      </c>
      <c r="R302" s="2" t="s">
        <v>30</v>
      </c>
      <c r="S302" s="2" t="s">
        <v>47</v>
      </c>
      <c r="U302" s="2">
        <f>P302-N302</f>
        <v>0</v>
      </c>
      <c r="W302" s="30" t="s">
        <v>1348</v>
      </c>
      <c r="X302" s="2" t="s">
        <v>82</v>
      </c>
      <c r="Y302" s="6" t="s">
        <v>1348</v>
      </c>
      <c r="Z302" s="2" t="s">
        <v>73</v>
      </c>
      <c r="AA302" s="2" t="s">
        <v>1349</v>
      </c>
      <c r="AB302" s="2" t="str">
        <f>LEFT(A302,3)</f>
        <v>NEA</v>
      </c>
    </row>
    <row r="303" spans="1:28">
      <c r="A303" s="6" t="s">
        <v>1350</v>
      </c>
      <c r="B303" s="6" t="s">
        <v>351</v>
      </c>
      <c r="C303" s="6" t="s">
        <v>129</v>
      </c>
      <c r="D303" s="6" t="s">
        <v>1351</v>
      </c>
      <c r="E303" s="6" t="s">
        <v>1351</v>
      </c>
      <c r="F303" s="6" t="s">
        <v>1351</v>
      </c>
      <c r="G303" s="2" t="s">
        <v>1352</v>
      </c>
      <c r="H303" s="2" t="s">
        <v>1351</v>
      </c>
      <c r="I303" s="2" t="s">
        <v>34</v>
      </c>
      <c r="J303" s="7">
        <v>590966.27598999999</v>
      </c>
      <c r="K303" s="7">
        <v>299363.2365</v>
      </c>
      <c r="L303" s="8">
        <v>167.843122565166</v>
      </c>
      <c r="M303" s="8">
        <v>-21.4955851127236</v>
      </c>
      <c r="N303" s="2">
        <v>2</v>
      </c>
      <c r="O303" s="2">
        <v>2</v>
      </c>
      <c r="P303" s="2">
        <f>N303</f>
        <v>2</v>
      </c>
      <c r="Q303" s="2" t="s">
        <v>35</v>
      </c>
      <c r="R303" s="2" t="s">
        <v>1353</v>
      </c>
      <c r="S303" s="2" t="s">
        <v>47</v>
      </c>
      <c r="U303" s="2">
        <f>P303-N303</f>
        <v>0</v>
      </c>
      <c r="W303" s="30" t="s">
        <v>1351</v>
      </c>
      <c r="X303" s="2" t="s">
        <v>82</v>
      </c>
      <c r="Y303" s="6" t="s">
        <v>1351</v>
      </c>
      <c r="Z303" s="2" t="s">
        <v>73</v>
      </c>
      <c r="AA303" s="2" t="s">
        <v>1352</v>
      </c>
      <c r="AB303" s="2" t="str">
        <f>LEFT(A303,3)</f>
        <v>NEC</v>
      </c>
    </row>
    <row r="304" spans="1:28">
      <c r="A304" s="6" t="s">
        <v>1354</v>
      </c>
      <c r="B304" s="6" t="s">
        <v>148</v>
      </c>
      <c r="C304" s="6" t="s">
        <v>68</v>
      </c>
      <c r="D304" s="6" t="s">
        <v>1355</v>
      </c>
      <c r="E304" s="6" t="s">
        <v>52</v>
      </c>
      <c r="F304" s="6" t="s">
        <v>1025</v>
      </c>
      <c r="G304" s="2" t="s">
        <v>1025</v>
      </c>
      <c r="H304" s="2" t="s">
        <v>1025</v>
      </c>
      <c r="I304" s="2" t="s">
        <v>53</v>
      </c>
      <c r="J304" s="7">
        <v>315572</v>
      </c>
      <c r="K304" s="7">
        <v>321881</v>
      </c>
      <c r="L304" s="8">
        <v>165.186238</v>
      </c>
      <c r="M304" s="8">
        <v>-21.300374000000001</v>
      </c>
      <c r="N304" s="2">
        <v>3</v>
      </c>
      <c r="O304" s="2">
        <v>3</v>
      </c>
      <c r="P304" s="2">
        <f>N304</f>
        <v>3</v>
      </c>
      <c r="Q304" s="2" t="s">
        <v>35</v>
      </c>
      <c r="R304" s="2" t="s">
        <v>1356</v>
      </c>
      <c r="S304" s="2" t="s">
        <v>47</v>
      </c>
      <c r="U304" s="2">
        <f>P304-N304</f>
        <v>0</v>
      </c>
      <c r="W304" s="30" t="s">
        <v>52</v>
      </c>
      <c r="X304" s="2" t="s">
        <v>52</v>
      </c>
      <c r="Y304" s="6" t="s">
        <v>1357</v>
      </c>
      <c r="Z304" s="2" t="s">
        <v>73</v>
      </c>
      <c r="AA304" s="6" t="s">
        <v>1357</v>
      </c>
      <c r="AB304" s="2" t="str">
        <f>LEFT(A304,3)</f>
        <v>NEK</v>
      </c>
    </row>
    <row r="305" spans="1:28">
      <c r="A305" s="6" t="s">
        <v>1358</v>
      </c>
      <c r="B305" s="6" t="s">
        <v>191</v>
      </c>
      <c r="C305" s="6" t="s">
        <v>43</v>
      </c>
      <c r="D305" s="6" t="s">
        <v>1359</v>
      </c>
      <c r="E305" s="6" t="s">
        <v>52</v>
      </c>
      <c r="F305" s="6" t="s">
        <v>1360</v>
      </c>
      <c r="G305" s="6" t="s">
        <v>1360</v>
      </c>
      <c r="H305" s="6" t="s">
        <v>1360</v>
      </c>
      <c r="I305" s="2" t="s">
        <v>53</v>
      </c>
      <c r="J305" s="7">
        <v>345681</v>
      </c>
      <c r="K305" s="7">
        <v>299210</v>
      </c>
      <c r="L305" s="8">
        <v>165.47570899999999</v>
      </c>
      <c r="M305" s="8">
        <v>-21.506312999999999</v>
      </c>
      <c r="N305" s="2">
        <v>3</v>
      </c>
      <c r="O305" s="2">
        <v>3</v>
      </c>
      <c r="P305" s="2">
        <v>3</v>
      </c>
      <c r="Q305" s="2" t="s">
        <v>35</v>
      </c>
      <c r="R305" s="2" t="s">
        <v>1361</v>
      </c>
      <c r="S305" s="2" t="s">
        <v>47</v>
      </c>
      <c r="U305" s="2">
        <f>P305-N305</f>
        <v>0</v>
      </c>
      <c r="W305" s="30" t="s">
        <v>52</v>
      </c>
      <c r="X305" s="2" t="s">
        <v>52</v>
      </c>
      <c r="Y305" s="6" t="s">
        <v>1360</v>
      </c>
      <c r="Z305" s="2" t="s">
        <v>73</v>
      </c>
      <c r="AA305" s="6" t="s">
        <v>1360</v>
      </c>
      <c r="AB305" s="2" t="str">
        <f>LEFT(A305,3)</f>
        <v>NEM</v>
      </c>
    </row>
    <row r="306" spans="1:28">
      <c r="A306" s="6" t="s">
        <v>1362</v>
      </c>
      <c r="B306" s="6" t="s">
        <v>148</v>
      </c>
      <c r="C306" s="6" t="s">
        <v>68</v>
      </c>
      <c r="D306" s="6" t="s">
        <v>182</v>
      </c>
      <c r="E306" s="6" t="s">
        <v>182</v>
      </c>
      <c r="F306" s="6" t="s">
        <v>182</v>
      </c>
      <c r="G306" s="2" t="s">
        <v>1363</v>
      </c>
      <c r="H306" s="2" t="s">
        <v>182</v>
      </c>
      <c r="I306" s="2" t="s">
        <v>34</v>
      </c>
      <c r="J306" s="7">
        <v>295930.46753000002</v>
      </c>
      <c r="K306" s="7">
        <v>318706.84020999999</v>
      </c>
      <c r="L306" s="8">
        <v>164.99672615795899</v>
      </c>
      <c r="M306" s="8">
        <v>-21.3280120594153</v>
      </c>
      <c r="N306" s="2">
        <v>3</v>
      </c>
      <c r="O306" s="2">
        <v>5</v>
      </c>
      <c r="P306" s="2">
        <v>6</v>
      </c>
      <c r="Q306" s="2" t="s">
        <v>35</v>
      </c>
      <c r="R306" s="2" t="s">
        <v>1364</v>
      </c>
      <c r="S306" s="2" t="s">
        <v>47</v>
      </c>
      <c r="U306" s="2">
        <f>P306-N306</f>
        <v>3</v>
      </c>
      <c r="W306" s="30" t="s">
        <v>182</v>
      </c>
      <c r="X306" s="2" t="s">
        <v>82</v>
      </c>
      <c r="Y306" s="6" t="s">
        <v>182</v>
      </c>
      <c r="Z306" s="2" t="s">
        <v>73</v>
      </c>
      <c r="AA306" s="2" t="s">
        <v>1363</v>
      </c>
      <c r="AB306" s="2" t="str">
        <f>LEFT(A306,3)</f>
        <v>NEP</v>
      </c>
    </row>
    <row r="307" spans="1:28">
      <c r="A307" s="6" t="s">
        <v>1365</v>
      </c>
      <c r="B307" s="6" t="s">
        <v>98</v>
      </c>
      <c r="C307" s="6" t="s">
        <v>68</v>
      </c>
      <c r="D307" s="6" t="s">
        <v>1366</v>
      </c>
      <c r="E307" s="6" t="s">
        <v>1366</v>
      </c>
      <c r="F307" s="6" t="s">
        <v>1366</v>
      </c>
      <c r="G307" s="2" t="s">
        <v>1367</v>
      </c>
      <c r="H307" s="2" t="s">
        <v>1366</v>
      </c>
      <c r="I307" s="2" t="s">
        <v>34</v>
      </c>
      <c r="J307" s="7">
        <v>403796.32564</v>
      </c>
      <c r="K307" s="7">
        <v>295904.03084999998</v>
      </c>
      <c r="L307" s="8">
        <v>166.036646900287</v>
      </c>
      <c r="M307" s="8">
        <v>-21.536992808107701</v>
      </c>
      <c r="N307" s="2">
        <v>3</v>
      </c>
      <c r="O307" s="2">
        <v>3</v>
      </c>
      <c r="P307" s="2">
        <v>6</v>
      </c>
      <c r="Q307" s="2" t="s">
        <v>35</v>
      </c>
      <c r="R307" s="2" t="s">
        <v>1368</v>
      </c>
      <c r="S307" s="2" t="s">
        <v>47</v>
      </c>
      <c r="U307" s="2">
        <f>P307-N307</f>
        <v>3</v>
      </c>
      <c r="W307" s="30" t="s">
        <v>1366</v>
      </c>
      <c r="X307" s="2" t="s">
        <v>39</v>
      </c>
      <c r="Y307" s="6" t="s">
        <v>1366</v>
      </c>
      <c r="Z307" s="2" t="s">
        <v>40</v>
      </c>
      <c r="AA307" s="2" t="s">
        <v>1367</v>
      </c>
      <c r="AB307" s="2" t="str">
        <f>LEFT(A307,3)</f>
        <v>NER</v>
      </c>
    </row>
    <row r="308" spans="1:28">
      <c r="A308" s="6" t="s">
        <v>1369</v>
      </c>
      <c r="B308" s="6" t="s">
        <v>191</v>
      </c>
      <c r="C308" s="6" t="s">
        <v>43</v>
      </c>
      <c r="D308" s="6" t="s">
        <v>1370</v>
      </c>
      <c r="E308" s="6" t="s">
        <v>1371</v>
      </c>
      <c r="F308" s="6" t="s">
        <v>1370</v>
      </c>
      <c r="G308" s="6" t="s">
        <v>1370</v>
      </c>
      <c r="H308" s="2" t="s">
        <v>1371</v>
      </c>
      <c r="I308" s="2" t="s">
        <v>34</v>
      </c>
      <c r="J308" s="7">
        <v>350757.59094999998</v>
      </c>
      <c r="K308" s="7">
        <v>283527.91330000001</v>
      </c>
      <c r="L308" s="8">
        <v>165.52425147680501</v>
      </c>
      <c r="M308" s="8">
        <v>-21.648104229366201</v>
      </c>
      <c r="N308" s="2">
        <v>3</v>
      </c>
      <c r="O308" s="2">
        <v>3</v>
      </c>
      <c r="P308" s="2">
        <f>N308</f>
        <v>3</v>
      </c>
      <c r="Q308" s="2" t="s">
        <v>35</v>
      </c>
      <c r="R308" s="2" t="s">
        <v>1372</v>
      </c>
      <c r="S308" s="2" t="s">
        <v>47</v>
      </c>
      <c r="U308" s="2">
        <f>P308-N308</f>
        <v>0</v>
      </c>
      <c r="W308" s="30" t="s">
        <v>1371</v>
      </c>
      <c r="X308" s="2" t="s">
        <v>82</v>
      </c>
      <c r="Y308" s="6" t="s">
        <v>1370</v>
      </c>
      <c r="Z308" s="2" t="s">
        <v>73</v>
      </c>
      <c r="AA308" s="2" t="s">
        <v>1370</v>
      </c>
      <c r="AB308" s="2" t="str">
        <f>LEFT(A308,3)</f>
        <v>NES</v>
      </c>
    </row>
    <row r="309" spans="1:28">
      <c r="A309" s="6" t="s">
        <v>1373</v>
      </c>
      <c r="B309" s="6" t="s">
        <v>402</v>
      </c>
      <c r="C309" s="6" t="s">
        <v>68</v>
      </c>
      <c r="D309" s="6" t="s">
        <v>1374</v>
      </c>
      <c r="E309" s="6" t="s">
        <v>52</v>
      </c>
      <c r="F309" s="6" t="s">
        <v>1374</v>
      </c>
      <c r="G309" s="6" t="s">
        <v>1374</v>
      </c>
      <c r="H309" s="6" t="s">
        <v>1374</v>
      </c>
      <c r="I309" s="6" t="s">
        <v>53</v>
      </c>
      <c r="J309" s="7">
        <v>363608</v>
      </c>
      <c r="K309" s="7">
        <v>308254</v>
      </c>
      <c r="L309" s="8">
        <v>165.64893699999999</v>
      </c>
      <c r="M309" s="8">
        <v>-21.425077000000002</v>
      </c>
      <c r="N309" s="2">
        <v>3</v>
      </c>
      <c r="O309" s="2">
        <v>3</v>
      </c>
      <c r="P309" s="2">
        <f>N309</f>
        <v>3</v>
      </c>
      <c r="Q309" s="2" t="s">
        <v>35</v>
      </c>
      <c r="R309" s="2" t="s">
        <v>1375</v>
      </c>
      <c r="S309" s="2" t="s">
        <v>47</v>
      </c>
      <c r="U309" s="2">
        <f>P309-N309</f>
        <v>0</v>
      </c>
      <c r="W309" s="30" t="s">
        <v>52</v>
      </c>
      <c r="X309" s="2" t="s">
        <v>52</v>
      </c>
      <c r="Y309" s="6" t="s">
        <v>1374</v>
      </c>
      <c r="Z309" s="2" t="s">
        <v>73</v>
      </c>
      <c r="AA309" s="2" t="s">
        <v>1374</v>
      </c>
      <c r="AB309" s="2" t="str">
        <f>LEFT(A309,3)</f>
        <v>NEW</v>
      </c>
    </row>
    <row r="310" spans="1:28">
      <c r="A310" s="6" t="s">
        <v>1376</v>
      </c>
      <c r="B310" s="6" t="s">
        <v>351</v>
      </c>
      <c r="C310" s="6" t="s">
        <v>129</v>
      </c>
      <c r="D310" s="6" t="s">
        <v>1377</v>
      </c>
      <c r="E310" s="6" t="s">
        <v>52</v>
      </c>
      <c r="F310" s="6" t="s">
        <v>1377</v>
      </c>
      <c r="G310" s="6" t="s">
        <v>1377</v>
      </c>
      <c r="H310" s="2" t="s">
        <v>352</v>
      </c>
      <c r="I310" s="2" t="s">
        <v>34</v>
      </c>
      <c r="J310" s="7">
        <v>595239</v>
      </c>
      <c r="K310" s="7">
        <v>287861</v>
      </c>
      <c r="L310" s="8">
        <v>167.88569899999999</v>
      </c>
      <c r="M310" s="8">
        <v>-21.599008000000001</v>
      </c>
      <c r="N310" s="2">
        <v>1</v>
      </c>
      <c r="O310" s="2">
        <v>1</v>
      </c>
      <c r="P310" s="2">
        <v>1</v>
      </c>
      <c r="Q310" s="2" t="s">
        <v>35</v>
      </c>
      <c r="R310" s="2" t="s">
        <v>1378</v>
      </c>
      <c r="S310" s="2" t="s">
        <v>47</v>
      </c>
      <c r="U310" s="2">
        <f>P310-N310</f>
        <v>0</v>
      </c>
      <c r="W310" s="30" t="s">
        <v>52</v>
      </c>
      <c r="X310" s="2" t="s">
        <v>52</v>
      </c>
      <c r="Y310" s="6" t="s">
        <v>1379</v>
      </c>
      <c r="Z310" s="6" t="s">
        <v>1379</v>
      </c>
      <c r="AA310" s="6" t="s">
        <v>1380</v>
      </c>
      <c r="AB310" s="2" t="str">
        <f>LEFT(A310,3)</f>
        <v>NGV</v>
      </c>
    </row>
    <row r="311" spans="1:28">
      <c r="A311" s="6" t="s">
        <v>1381</v>
      </c>
      <c r="B311" s="6" t="s">
        <v>602</v>
      </c>
      <c r="C311" s="6" t="s">
        <v>43</v>
      </c>
      <c r="D311" s="6" t="s">
        <v>1382</v>
      </c>
      <c r="E311" s="6" t="s">
        <v>1382</v>
      </c>
      <c r="F311" s="6" t="s">
        <v>1382</v>
      </c>
      <c r="G311" s="2" t="s">
        <v>1383</v>
      </c>
      <c r="H311" s="2" t="s">
        <v>1382</v>
      </c>
      <c r="I311" s="2" t="s">
        <v>34</v>
      </c>
      <c r="J311" s="7">
        <v>381545.20101999998</v>
      </c>
      <c r="K311" s="7">
        <v>277529.79661000002</v>
      </c>
      <c r="L311" s="8">
        <v>165.821631570688</v>
      </c>
      <c r="M311" s="8">
        <v>-21.702861146701899</v>
      </c>
      <c r="N311" s="2">
        <v>3</v>
      </c>
      <c r="O311" s="2">
        <v>6</v>
      </c>
      <c r="P311" s="2">
        <v>6</v>
      </c>
      <c r="Q311" s="2" t="s">
        <v>35</v>
      </c>
      <c r="R311" s="2" t="s">
        <v>1384</v>
      </c>
      <c r="S311" s="2" t="s">
        <v>47</v>
      </c>
      <c r="U311" s="2">
        <f>P311-N311</f>
        <v>3</v>
      </c>
      <c r="W311" s="30" t="s">
        <v>1382</v>
      </c>
      <c r="X311" s="2" t="s">
        <v>39</v>
      </c>
      <c r="Y311" s="6" t="s">
        <v>1382</v>
      </c>
      <c r="Z311" s="2" t="s">
        <v>40</v>
      </c>
      <c r="AA311" s="2" t="s">
        <v>1383</v>
      </c>
      <c r="AB311" s="2" t="str">
        <f>LEFT(A311,3)</f>
        <v>NIL</v>
      </c>
    </row>
    <row r="312" spans="1:28">
      <c r="A312" s="2" t="s">
        <v>1385</v>
      </c>
      <c r="B312" s="3" t="s">
        <v>402</v>
      </c>
      <c r="C312" s="2" t="s">
        <v>68</v>
      </c>
      <c r="D312" s="6" t="s">
        <v>1386</v>
      </c>
      <c r="E312" s="2" t="s">
        <v>52</v>
      </c>
      <c r="F312" s="6" t="s">
        <v>1387</v>
      </c>
      <c r="G312" s="6" t="s">
        <v>1387</v>
      </c>
      <c r="H312" s="6" t="s">
        <v>1387</v>
      </c>
      <c r="I312" s="6" t="s">
        <v>53</v>
      </c>
      <c r="J312" s="7">
        <v>351063</v>
      </c>
      <c r="K312" s="7">
        <v>323769</v>
      </c>
      <c r="L312" s="9">
        <v>165.52837</v>
      </c>
      <c r="M312" s="8">
        <v>-21.28464</v>
      </c>
      <c r="N312" s="2">
        <v>1</v>
      </c>
      <c r="O312" s="2">
        <v>1</v>
      </c>
      <c r="P312" s="2">
        <v>1</v>
      </c>
      <c r="Q312" s="2" t="s">
        <v>35</v>
      </c>
      <c r="R312" s="2" t="s">
        <v>1388</v>
      </c>
      <c r="S312" s="2" t="s">
        <v>47</v>
      </c>
      <c r="U312" s="2">
        <v>0</v>
      </c>
      <c r="W312" s="30" t="s">
        <v>52</v>
      </c>
      <c r="X312" s="6" t="s">
        <v>52</v>
      </c>
      <c r="Y312" s="6" t="s">
        <v>1387</v>
      </c>
      <c r="Z312" s="2" t="s">
        <v>73</v>
      </c>
      <c r="AA312" s="6" t="s">
        <v>1387</v>
      </c>
      <c r="AB312" s="2" t="str">
        <f>LEFT(A312,3)</f>
        <v>NKA</v>
      </c>
    </row>
    <row r="313" spans="1:28">
      <c r="A313" s="2" t="s">
        <v>1389</v>
      </c>
      <c r="B313" s="3" t="s">
        <v>402</v>
      </c>
      <c r="C313" s="2" t="s">
        <v>68</v>
      </c>
      <c r="D313" s="6" t="s">
        <v>1390</v>
      </c>
      <c r="E313" s="2" t="s">
        <v>52</v>
      </c>
      <c r="F313" s="6" t="s">
        <v>1387</v>
      </c>
      <c r="G313" s="6" t="s">
        <v>1387</v>
      </c>
      <c r="H313" s="6" t="s">
        <v>1387</v>
      </c>
      <c r="I313" s="6" t="s">
        <v>53</v>
      </c>
      <c r="J313" s="3">
        <v>349861</v>
      </c>
      <c r="K313" s="3">
        <v>322755</v>
      </c>
      <c r="L313" s="9">
        <v>165.51676</v>
      </c>
      <c r="M313" s="8">
        <v>-21.293759999999999</v>
      </c>
      <c r="N313" s="2">
        <v>2</v>
      </c>
      <c r="O313" s="2">
        <v>2</v>
      </c>
      <c r="P313" s="2">
        <v>2</v>
      </c>
      <c r="Q313" s="2" t="s">
        <v>35</v>
      </c>
      <c r="R313" s="2" t="s">
        <v>1391</v>
      </c>
      <c r="S313" s="2" t="s">
        <v>47</v>
      </c>
      <c r="U313" s="2">
        <v>0</v>
      </c>
      <c r="W313" s="30" t="s">
        <v>52</v>
      </c>
      <c r="X313" s="6" t="s">
        <v>52</v>
      </c>
      <c r="Y313" s="6" t="s">
        <v>1387</v>
      </c>
      <c r="Z313" s="2" t="s">
        <v>73</v>
      </c>
      <c r="AA313" s="6" t="s">
        <v>1387</v>
      </c>
      <c r="AB313" s="2" t="str">
        <f>LEFT(A313,3)</f>
        <v>NKA</v>
      </c>
    </row>
    <row r="314" spans="1:28">
      <c r="A314" s="2" t="s">
        <v>1392</v>
      </c>
      <c r="B314" s="2" t="s">
        <v>562</v>
      </c>
      <c r="C314" s="2" t="s">
        <v>43</v>
      </c>
      <c r="D314" s="2" t="s">
        <v>1393</v>
      </c>
      <c r="E314" s="2" t="s">
        <v>52</v>
      </c>
      <c r="F314" s="2" t="s">
        <v>1393</v>
      </c>
      <c r="G314" s="2" t="s">
        <v>1393</v>
      </c>
      <c r="H314" s="2" t="s">
        <v>1393</v>
      </c>
      <c r="I314" s="2" t="s">
        <v>53</v>
      </c>
      <c r="J314" s="7">
        <v>414022</v>
      </c>
      <c r="K314" s="2">
        <v>277783</v>
      </c>
      <c r="L314" s="2">
        <v>166.13552100000001</v>
      </c>
      <c r="M314" s="2">
        <v>-21.700616</v>
      </c>
      <c r="O314" s="2">
        <v>1</v>
      </c>
      <c r="P314" s="2">
        <v>1</v>
      </c>
      <c r="Q314" s="2" t="s">
        <v>35</v>
      </c>
      <c r="R314" s="2" t="s">
        <v>1394</v>
      </c>
      <c r="S314" s="2" t="s">
        <v>47</v>
      </c>
      <c r="U314" s="2">
        <v>0</v>
      </c>
      <c r="W314" s="30" t="s">
        <v>52</v>
      </c>
      <c r="X314" s="2" t="s">
        <v>52</v>
      </c>
      <c r="Y314" s="2" t="s">
        <v>1393</v>
      </c>
      <c r="Z314" s="2" t="s">
        <v>40</v>
      </c>
      <c r="AA314" s="2" t="s">
        <v>1393</v>
      </c>
      <c r="AB314" s="2" t="str">
        <f>LEFT(A314,3)</f>
        <v>NKL</v>
      </c>
    </row>
    <row r="315" spans="1:28">
      <c r="A315" s="2" t="s">
        <v>1395</v>
      </c>
      <c r="B315" s="2" t="s">
        <v>98</v>
      </c>
      <c r="C315" s="2" t="s">
        <v>68</v>
      </c>
      <c r="D315" s="2" t="s">
        <v>1396</v>
      </c>
      <c r="E315" s="2" t="s">
        <v>52</v>
      </c>
      <c r="F315" s="2" t="s">
        <v>1397</v>
      </c>
      <c r="G315" s="2" t="s">
        <v>1397</v>
      </c>
      <c r="H315" s="2" t="s">
        <v>1397</v>
      </c>
      <c r="I315" s="2" t="s">
        <v>53</v>
      </c>
      <c r="J315" s="7">
        <v>388321</v>
      </c>
      <c r="K315" s="7">
        <v>294568</v>
      </c>
      <c r="L315" s="8">
        <v>165.88723999999999</v>
      </c>
      <c r="M315" s="8">
        <v>-21.549029999999998</v>
      </c>
      <c r="N315" s="7">
        <v>2</v>
      </c>
      <c r="O315" s="2">
        <v>2</v>
      </c>
      <c r="P315" s="2">
        <f>N315</f>
        <v>2</v>
      </c>
      <c r="Q315" s="2" t="s">
        <v>35</v>
      </c>
      <c r="R315" s="2" t="s">
        <v>1398</v>
      </c>
      <c r="S315" s="2" t="s">
        <v>47</v>
      </c>
      <c r="U315" s="2">
        <f>P315-N315</f>
        <v>0</v>
      </c>
      <c r="W315" s="30" t="s">
        <v>52</v>
      </c>
      <c r="X315" s="6" t="s">
        <v>52</v>
      </c>
      <c r="Y315" s="2" t="s">
        <v>1397</v>
      </c>
      <c r="Z315" s="2" t="s">
        <v>40</v>
      </c>
      <c r="AA315" s="2" t="s">
        <v>1397</v>
      </c>
      <c r="AB315" s="2" t="str">
        <f>LEFT(A315,3)</f>
        <v>NKR</v>
      </c>
    </row>
    <row r="316" spans="1:28">
      <c r="A316" s="6" t="s">
        <v>1399</v>
      </c>
      <c r="B316" s="6" t="s">
        <v>191</v>
      </c>
      <c r="C316" s="6" t="s">
        <v>43</v>
      </c>
      <c r="D316" s="6" t="s">
        <v>1400</v>
      </c>
      <c r="E316" s="6" t="s">
        <v>1400</v>
      </c>
      <c r="F316" s="6" t="s">
        <v>1400</v>
      </c>
      <c r="G316" s="2" t="s">
        <v>1401</v>
      </c>
      <c r="H316" s="2" t="s">
        <v>1400</v>
      </c>
      <c r="I316" s="2" t="s">
        <v>34</v>
      </c>
      <c r="J316" s="7">
        <v>345075.82543999999</v>
      </c>
      <c r="K316" s="7">
        <v>294502.61793000001</v>
      </c>
      <c r="L316" s="8">
        <v>165.46971527138999</v>
      </c>
      <c r="M316" s="8">
        <v>-21.548809798698699</v>
      </c>
      <c r="N316" s="2">
        <v>2</v>
      </c>
      <c r="O316" s="2">
        <v>2</v>
      </c>
      <c r="P316" s="2">
        <f>N316</f>
        <v>2</v>
      </c>
      <c r="Q316" s="2" t="s">
        <v>35</v>
      </c>
      <c r="R316" s="2" t="s">
        <v>1402</v>
      </c>
      <c r="S316" s="2" t="s">
        <v>47</v>
      </c>
      <c r="U316" s="2">
        <f>P316-N316</f>
        <v>0</v>
      </c>
      <c r="W316" s="30" t="s">
        <v>1400</v>
      </c>
      <c r="X316" s="2" t="s">
        <v>82</v>
      </c>
      <c r="Y316" s="6" t="s">
        <v>1400</v>
      </c>
      <c r="Z316" s="2" t="s">
        <v>73</v>
      </c>
      <c r="AA316" s="2" t="s">
        <v>1401</v>
      </c>
      <c r="AB316" s="2" t="str">
        <f>LEFT(A316,3)</f>
        <v>NKU</v>
      </c>
    </row>
    <row r="317" spans="1:28">
      <c r="A317" s="6" t="s">
        <v>1403</v>
      </c>
      <c r="B317" s="6" t="s">
        <v>67</v>
      </c>
      <c r="C317" s="6" t="s">
        <v>68</v>
      </c>
      <c r="D317" s="6" t="s">
        <v>1404</v>
      </c>
      <c r="E317" s="6" t="s">
        <v>52</v>
      </c>
      <c r="F317" s="6" t="s">
        <v>1405</v>
      </c>
      <c r="G317" s="6" t="s">
        <v>1405</v>
      </c>
      <c r="H317" s="6" t="s">
        <v>1405</v>
      </c>
      <c r="I317" s="2" t="s">
        <v>53</v>
      </c>
      <c r="J317" s="7">
        <v>296115</v>
      </c>
      <c r="K317" s="7">
        <v>354408</v>
      </c>
      <c r="L317" s="8">
        <v>165.000709</v>
      </c>
      <c r="M317" s="8">
        <v>-21.005549999999999</v>
      </c>
      <c r="N317" s="2">
        <v>3</v>
      </c>
      <c r="O317" s="2">
        <v>3</v>
      </c>
      <c r="P317" s="2">
        <f>N317</f>
        <v>3</v>
      </c>
      <c r="Q317" s="2" t="s">
        <v>35</v>
      </c>
      <c r="R317" s="2" t="s">
        <v>1406</v>
      </c>
      <c r="S317" s="2" t="s">
        <v>47</v>
      </c>
      <c r="U317" s="2">
        <f>P317-N317</f>
        <v>0</v>
      </c>
      <c r="W317" s="30" t="s">
        <v>52</v>
      </c>
      <c r="X317" s="2" t="s">
        <v>52</v>
      </c>
      <c r="Y317" s="6" t="s">
        <v>1405</v>
      </c>
      <c r="Z317" s="2" t="s">
        <v>73</v>
      </c>
      <c r="AA317" s="6" t="s">
        <v>1405</v>
      </c>
      <c r="AB317" s="2" t="str">
        <f>LEFT(A317,3)</f>
        <v>NMI</v>
      </c>
    </row>
    <row r="318" spans="1:28">
      <c r="A318" s="10" t="s">
        <v>1407</v>
      </c>
      <c r="B318" s="2" t="s">
        <v>373</v>
      </c>
      <c r="C318" s="2" t="s">
        <v>129</v>
      </c>
      <c r="D318" s="6" t="s">
        <v>1408</v>
      </c>
      <c r="E318" s="2" t="s">
        <v>52</v>
      </c>
      <c r="F318" s="6" t="s">
        <v>390</v>
      </c>
      <c r="G318" s="6" t="s">
        <v>390</v>
      </c>
      <c r="H318" s="6" t="s">
        <v>390</v>
      </c>
      <c r="I318" s="2" t="s">
        <v>53</v>
      </c>
      <c r="J318" s="11">
        <v>527358</v>
      </c>
      <c r="K318" s="11">
        <v>375663</v>
      </c>
      <c r="L318" s="10">
        <v>167.22347300000001</v>
      </c>
      <c r="M318" s="12">
        <v>-20.812065</v>
      </c>
      <c r="N318" s="2">
        <v>3</v>
      </c>
      <c r="O318" s="2">
        <v>3</v>
      </c>
      <c r="P318" s="2">
        <v>3</v>
      </c>
      <c r="Q318" s="2" t="s">
        <v>35</v>
      </c>
      <c r="R318" s="2" t="s">
        <v>1409</v>
      </c>
      <c r="S318" s="2" t="s">
        <v>47</v>
      </c>
      <c r="U318" s="2">
        <v>0</v>
      </c>
      <c r="W318" s="30" t="s">
        <v>52</v>
      </c>
      <c r="X318" s="6" t="s">
        <v>52</v>
      </c>
      <c r="Y318" s="6" t="s">
        <v>390</v>
      </c>
      <c r="Z318" s="2" t="s">
        <v>73</v>
      </c>
      <c r="AA318" s="6" t="s">
        <v>390</v>
      </c>
      <c r="AB318" s="2" t="str">
        <f>LEFT(A318,3)</f>
        <v>NNG</v>
      </c>
    </row>
    <row r="319" spans="1:28">
      <c r="A319" s="2" t="s">
        <v>1410</v>
      </c>
      <c r="B319" s="2" t="s">
        <v>67</v>
      </c>
      <c r="C319" s="2" t="s">
        <v>68</v>
      </c>
      <c r="D319" s="2" t="s">
        <v>1411</v>
      </c>
      <c r="E319" s="2" t="s">
        <v>52</v>
      </c>
      <c r="F319" s="2" t="s">
        <v>1412</v>
      </c>
      <c r="G319" s="2" t="s">
        <v>1412</v>
      </c>
      <c r="H319" s="2" t="s">
        <v>1412</v>
      </c>
      <c r="I319" s="2" t="s">
        <v>53</v>
      </c>
      <c r="J319" s="7">
        <v>290408</v>
      </c>
      <c r="K319" s="7">
        <v>353977</v>
      </c>
      <c r="L319" s="8">
        <v>164.94578999999999</v>
      </c>
      <c r="M319" s="8">
        <v>-21.00911</v>
      </c>
      <c r="N319" s="2">
        <v>2</v>
      </c>
      <c r="O319" s="2">
        <v>2</v>
      </c>
      <c r="P319" s="2">
        <v>2</v>
      </c>
      <c r="Q319" s="2" t="s">
        <v>195</v>
      </c>
      <c r="R319" s="2" t="s">
        <v>1413</v>
      </c>
      <c r="S319" s="2" t="s">
        <v>47</v>
      </c>
      <c r="U319" s="2">
        <v>-2</v>
      </c>
      <c r="W319" s="30" t="s">
        <v>52</v>
      </c>
      <c r="X319" s="6" t="s">
        <v>52</v>
      </c>
      <c r="Y319" s="2" t="s">
        <v>1414</v>
      </c>
      <c r="Z319" s="2" t="s">
        <v>73</v>
      </c>
      <c r="AA319" s="2" t="s">
        <v>1414</v>
      </c>
      <c r="AB319" s="2" t="str">
        <f>LEFT(A319,3)</f>
        <v>NOE</v>
      </c>
    </row>
    <row r="320" spans="1:28">
      <c r="A320" s="6" t="s">
        <v>1415</v>
      </c>
      <c r="B320" s="6" t="s">
        <v>93</v>
      </c>
      <c r="C320" s="6" t="s">
        <v>50</v>
      </c>
      <c r="D320" s="6" t="s">
        <v>1416</v>
      </c>
      <c r="E320" s="6" t="s">
        <v>1416</v>
      </c>
      <c r="F320" s="6" t="s">
        <v>1417</v>
      </c>
      <c r="G320" s="6" t="s">
        <v>1417</v>
      </c>
      <c r="H320" s="6" t="s">
        <v>1417</v>
      </c>
      <c r="I320" s="2" t="s">
        <v>53</v>
      </c>
      <c r="J320" s="7">
        <v>481707.09548000002</v>
      </c>
      <c r="K320" s="7">
        <v>194366.04355999999</v>
      </c>
      <c r="L320" s="8">
        <v>166.793776867156</v>
      </c>
      <c r="M320" s="8">
        <v>-22.452161597887699</v>
      </c>
      <c r="N320" s="2">
        <v>2</v>
      </c>
      <c r="O320" s="2">
        <v>2</v>
      </c>
      <c r="P320" s="2">
        <v>2</v>
      </c>
      <c r="Q320" s="2" t="s">
        <v>195</v>
      </c>
      <c r="R320" s="2" t="s">
        <v>1418</v>
      </c>
      <c r="S320" s="2" t="s">
        <v>47</v>
      </c>
      <c r="U320" s="2">
        <f>P320-N320</f>
        <v>0</v>
      </c>
      <c r="W320" s="30" t="s">
        <v>1416</v>
      </c>
      <c r="X320" s="2" t="s">
        <v>39</v>
      </c>
      <c r="Y320" s="6" t="s">
        <v>1417</v>
      </c>
      <c r="Z320" s="2" t="s">
        <v>40</v>
      </c>
      <c r="AA320" s="6" t="s">
        <v>1417</v>
      </c>
      <c r="AB320" s="2" t="str">
        <f>LEFT(A320,3)</f>
        <v>NOG</v>
      </c>
    </row>
    <row r="321" spans="1:28">
      <c r="A321" s="6" t="s">
        <v>1419</v>
      </c>
      <c r="B321" s="6" t="s">
        <v>42</v>
      </c>
      <c r="C321" s="6" t="s">
        <v>43</v>
      </c>
      <c r="D321" s="6" t="s">
        <v>42</v>
      </c>
      <c r="E321" s="6" t="s">
        <v>42</v>
      </c>
      <c r="F321" s="6" t="s">
        <v>42</v>
      </c>
      <c r="G321" s="2" t="s">
        <v>1420</v>
      </c>
      <c r="H321" s="2" t="s">
        <v>42</v>
      </c>
      <c r="I321" s="2" t="s">
        <v>34</v>
      </c>
      <c r="J321" s="7">
        <v>384797.26293999999</v>
      </c>
      <c r="K321" s="7">
        <v>285093.44374999998</v>
      </c>
      <c r="L321" s="8">
        <v>165.853130955426</v>
      </c>
      <c r="M321" s="8">
        <v>-21.634581005349698</v>
      </c>
      <c r="N321" s="2">
        <v>2</v>
      </c>
      <c r="O321" s="2">
        <v>2</v>
      </c>
      <c r="P321" s="2">
        <f>N321</f>
        <v>2</v>
      </c>
      <c r="Q321" s="2" t="s">
        <v>35</v>
      </c>
      <c r="R321" s="2" t="s">
        <v>1421</v>
      </c>
      <c r="S321" s="2" t="s">
        <v>47</v>
      </c>
      <c r="U321" s="2">
        <f>P321-N321</f>
        <v>0</v>
      </c>
      <c r="W321" s="30" t="s">
        <v>42</v>
      </c>
      <c r="X321" s="2" t="s">
        <v>39</v>
      </c>
      <c r="Y321" s="6" t="s">
        <v>42</v>
      </c>
      <c r="Z321" s="2" t="s">
        <v>40</v>
      </c>
      <c r="AA321" s="2" t="s">
        <v>1420</v>
      </c>
      <c r="AB321" s="2" t="str">
        <f>LEFT(A321,3)</f>
        <v>NOM</v>
      </c>
    </row>
    <row r="322" spans="1:28">
      <c r="A322" s="6" t="s">
        <v>1422</v>
      </c>
      <c r="B322" s="6" t="s">
        <v>49</v>
      </c>
      <c r="C322" s="6" t="s">
        <v>50</v>
      </c>
      <c r="D322" s="6" t="s">
        <v>1423</v>
      </c>
      <c r="E322" s="6" t="s">
        <v>1424</v>
      </c>
      <c r="F322" s="6" t="s">
        <v>1423</v>
      </c>
      <c r="G322" s="2" t="s">
        <v>1423</v>
      </c>
      <c r="H322" s="2" t="s">
        <v>1424</v>
      </c>
      <c r="I322" s="2" t="s">
        <v>34</v>
      </c>
      <c r="J322" s="7">
        <v>444472</v>
      </c>
      <c r="K322" s="7">
        <v>231057.92189999999</v>
      </c>
      <c r="L322" s="8">
        <v>166.43106155646001</v>
      </c>
      <c r="M322" s="8">
        <v>-22.122125828443899</v>
      </c>
      <c r="N322" s="2">
        <v>2</v>
      </c>
      <c r="O322" s="2">
        <v>2</v>
      </c>
      <c r="P322" s="2">
        <f>N322</f>
        <v>2</v>
      </c>
      <c r="Q322" s="2" t="s">
        <v>35</v>
      </c>
      <c r="R322" s="2" t="s">
        <v>1425</v>
      </c>
      <c r="S322" s="2" t="s">
        <v>47</v>
      </c>
      <c r="U322" s="2">
        <f>P322-N322</f>
        <v>0</v>
      </c>
      <c r="W322" s="30" t="s">
        <v>52</v>
      </c>
      <c r="X322" s="2" t="s">
        <v>39</v>
      </c>
      <c r="Y322" s="6" t="s">
        <v>1423</v>
      </c>
      <c r="Z322" s="2" t="s">
        <v>40</v>
      </c>
      <c r="AA322" s="2" t="s">
        <v>1423</v>
      </c>
      <c r="AB322" s="2" t="str">
        <f>LEFT(A322,3)</f>
        <v>NON</v>
      </c>
    </row>
    <row r="323" spans="1:28">
      <c r="A323" s="2" t="s">
        <v>1426</v>
      </c>
      <c r="B323" s="6" t="s">
        <v>148</v>
      </c>
      <c r="C323" s="2" t="s">
        <v>68</v>
      </c>
      <c r="D323" s="6" t="s">
        <v>1427</v>
      </c>
      <c r="E323" s="2" t="s">
        <v>52</v>
      </c>
      <c r="F323" s="6" t="s">
        <v>1428</v>
      </c>
      <c r="G323" s="6" t="s">
        <v>1428</v>
      </c>
      <c r="H323" s="6" t="s">
        <v>1428</v>
      </c>
      <c r="I323" s="2" t="s">
        <v>53</v>
      </c>
      <c r="J323" s="7">
        <v>317534</v>
      </c>
      <c r="K323" s="15">
        <v>304886</v>
      </c>
      <c r="L323" s="9">
        <v>165.20430999999999</v>
      </c>
      <c r="M323" s="9">
        <v>-21.453970000000002</v>
      </c>
      <c r="N323" s="2">
        <v>3</v>
      </c>
      <c r="O323" s="2">
        <v>3</v>
      </c>
      <c r="P323" s="2">
        <v>3</v>
      </c>
      <c r="Q323" s="2" t="s">
        <v>195</v>
      </c>
      <c r="R323" s="2" t="s">
        <v>1429</v>
      </c>
      <c r="S323" s="2" t="s">
        <v>47</v>
      </c>
      <c r="U323" s="2">
        <f>P323-N323</f>
        <v>0</v>
      </c>
      <c r="W323" s="30" t="s">
        <v>52</v>
      </c>
      <c r="X323" s="6" t="s">
        <v>52</v>
      </c>
      <c r="Y323" s="6" t="s">
        <v>1428</v>
      </c>
      <c r="Z323" s="2" t="s">
        <v>73</v>
      </c>
      <c r="AA323" s="6" t="s">
        <v>1428</v>
      </c>
      <c r="AB323" s="2" t="str">
        <f>LEFT(A323,3)</f>
        <v>NPU</v>
      </c>
    </row>
    <row r="324" spans="1:28">
      <c r="A324" s="2" t="s">
        <v>1430</v>
      </c>
      <c r="B324" s="2" t="s">
        <v>191</v>
      </c>
      <c r="C324" s="2" t="s">
        <v>43</v>
      </c>
      <c r="D324" s="2" t="s">
        <v>1431</v>
      </c>
      <c r="E324" s="2" t="s">
        <v>52</v>
      </c>
      <c r="F324" s="2" t="s">
        <v>1432</v>
      </c>
      <c r="G324" s="2" t="s">
        <v>1432</v>
      </c>
      <c r="H324" s="2" t="s">
        <v>1432</v>
      </c>
      <c r="I324" s="2" t="s">
        <v>53</v>
      </c>
      <c r="J324" s="7">
        <v>350001</v>
      </c>
      <c r="K324" s="7">
        <v>285302</v>
      </c>
      <c r="L324" s="8">
        <v>165.51698999999999</v>
      </c>
      <c r="M324" s="8">
        <v>-21.632058000000001</v>
      </c>
      <c r="N324" s="2">
        <v>3</v>
      </c>
      <c r="O324" s="2">
        <v>3</v>
      </c>
      <c r="P324" s="2">
        <f>N324</f>
        <v>3</v>
      </c>
      <c r="Q324" s="2" t="s">
        <v>35</v>
      </c>
      <c r="R324" s="2" t="s">
        <v>1433</v>
      </c>
      <c r="S324" s="2" t="s">
        <v>47</v>
      </c>
      <c r="U324" s="2">
        <f>P324-N324</f>
        <v>0</v>
      </c>
      <c r="W324" s="30" t="s">
        <v>52</v>
      </c>
      <c r="X324" s="6" t="s">
        <v>52</v>
      </c>
      <c r="Y324" s="2" t="s">
        <v>1432</v>
      </c>
      <c r="Z324" s="2" t="s">
        <v>73</v>
      </c>
      <c r="AA324" s="2" t="s">
        <v>1432</v>
      </c>
      <c r="AB324" s="2" t="str">
        <f>LEFT(A324,3)</f>
        <v>NSD</v>
      </c>
    </row>
    <row r="325" spans="1:28">
      <c r="A325" s="2" t="s">
        <v>1434</v>
      </c>
      <c r="B325" s="2" t="s">
        <v>148</v>
      </c>
      <c r="C325" s="2" t="s">
        <v>68</v>
      </c>
      <c r="D325" s="2" t="s">
        <v>1435</v>
      </c>
      <c r="E325" s="2" t="s">
        <v>52</v>
      </c>
      <c r="F325" s="2" t="s">
        <v>1436</v>
      </c>
      <c r="G325" s="2" t="s">
        <v>1436</v>
      </c>
      <c r="H325" s="2" t="s">
        <v>1436</v>
      </c>
      <c r="I325" s="2" t="s">
        <v>53</v>
      </c>
      <c r="J325" s="7">
        <v>316397</v>
      </c>
      <c r="K325" s="7">
        <v>328846</v>
      </c>
      <c r="L325" s="8">
        <v>165.19453999999999</v>
      </c>
      <c r="M325" s="8">
        <v>-21.237500000000001</v>
      </c>
      <c r="N325" s="2">
        <v>2</v>
      </c>
      <c r="O325" s="2">
        <v>2</v>
      </c>
      <c r="P325" s="2">
        <f>N325</f>
        <v>2</v>
      </c>
      <c r="Q325" s="2" t="s">
        <v>35</v>
      </c>
      <c r="R325" s="2" t="s">
        <v>1437</v>
      </c>
      <c r="S325" s="2" t="s">
        <v>47</v>
      </c>
      <c r="U325" s="2">
        <f>P325-N325</f>
        <v>0</v>
      </c>
      <c r="W325" s="30" t="s">
        <v>52</v>
      </c>
      <c r="X325" s="6" t="s">
        <v>52</v>
      </c>
      <c r="Y325" s="2" t="s">
        <v>1436</v>
      </c>
      <c r="Z325" s="2" t="s">
        <v>73</v>
      </c>
      <c r="AA325" s="2" t="s">
        <v>1436</v>
      </c>
      <c r="AB325" s="2" t="str">
        <f>LEFT(A325,3)</f>
        <v>NTA</v>
      </c>
    </row>
    <row r="326" spans="1:28">
      <c r="A326" s="6" t="s">
        <v>1438</v>
      </c>
      <c r="B326" s="6" t="s">
        <v>79</v>
      </c>
      <c r="C326" s="6" t="s">
        <v>68</v>
      </c>
      <c r="D326" s="6" t="s">
        <v>1439</v>
      </c>
      <c r="E326" s="6" t="s">
        <v>1439</v>
      </c>
      <c r="F326" s="6" t="s">
        <v>1439</v>
      </c>
      <c r="G326" s="2" t="s">
        <v>1440</v>
      </c>
      <c r="H326" s="2" t="s">
        <v>732</v>
      </c>
      <c r="I326" s="2" t="s">
        <v>34</v>
      </c>
      <c r="J326" s="7">
        <v>345399.14565000002</v>
      </c>
      <c r="K326" s="7">
        <v>338083.35729999997</v>
      </c>
      <c r="L326" s="8">
        <v>165.47424885537501</v>
      </c>
      <c r="M326" s="8">
        <v>-21.155182918529199</v>
      </c>
      <c r="N326" s="2">
        <v>3</v>
      </c>
      <c r="O326" s="2">
        <v>3</v>
      </c>
      <c r="P326" s="2">
        <f>N326</f>
        <v>3</v>
      </c>
      <c r="Q326" s="2" t="s">
        <v>35</v>
      </c>
      <c r="R326" s="2" t="s">
        <v>1441</v>
      </c>
      <c r="S326" s="2" t="s">
        <v>47</v>
      </c>
      <c r="U326" s="2">
        <f>P326-N326</f>
        <v>0</v>
      </c>
      <c r="W326" s="30" t="s">
        <v>1439</v>
      </c>
      <c r="X326" s="2" t="s">
        <v>82</v>
      </c>
      <c r="Y326" s="6" t="s">
        <v>1439</v>
      </c>
      <c r="Z326" s="2" t="s">
        <v>73</v>
      </c>
      <c r="AA326" s="2" t="s">
        <v>1440</v>
      </c>
      <c r="AB326" s="2" t="str">
        <f>LEFT(A326,3)</f>
        <v>NVN</v>
      </c>
    </row>
    <row r="327" spans="1:28">
      <c r="A327" s="6" t="s">
        <v>1442</v>
      </c>
      <c r="B327" s="6" t="s">
        <v>207</v>
      </c>
      <c r="C327" s="6" t="s">
        <v>43</v>
      </c>
      <c r="D327" s="6" t="s">
        <v>1443</v>
      </c>
      <c r="E327" s="6" t="s">
        <v>1443</v>
      </c>
      <c r="F327" s="6" t="s">
        <v>1443</v>
      </c>
      <c r="G327" s="2" t="s">
        <v>1444</v>
      </c>
      <c r="H327" s="2" t="s">
        <v>1443</v>
      </c>
      <c r="I327" s="2" t="s">
        <v>34</v>
      </c>
      <c r="J327" s="7">
        <v>396034.57322999998</v>
      </c>
      <c r="K327" s="7">
        <v>260314.66608</v>
      </c>
      <c r="L327" s="8">
        <v>165.96163724464901</v>
      </c>
      <c r="M327" s="8">
        <v>-21.858438316261498</v>
      </c>
      <c r="N327" s="2">
        <v>2</v>
      </c>
      <c r="O327" s="2">
        <v>2</v>
      </c>
      <c r="P327" s="2">
        <f>N327</f>
        <v>2</v>
      </c>
      <c r="Q327" s="2" t="s">
        <v>35</v>
      </c>
      <c r="R327" s="2" t="s">
        <v>1445</v>
      </c>
      <c r="S327" s="2" t="s">
        <v>47</v>
      </c>
      <c r="U327" s="2">
        <f>P327-N327</f>
        <v>0</v>
      </c>
      <c r="W327" s="30" t="s">
        <v>1443</v>
      </c>
      <c r="X327" s="2" t="s">
        <v>39</v>
      </c>
      <c r="Y327" s="6" t="s">
        <v>1443</v>
      </c>
      <c r="Z327" s="2" t="s">
        <v>40</v>
      </c>
      <c r="AA327" s="2" t="s">
        <v>1444</v>
      </c>
      <c r="AB327" s="2" t="str">
        <f>LEFT(A327,3)</f>
        <v>OAM</v>
      </c>
    </row>
    <row r="328" spans="1:28">
      <c r="A328" s="6" t="s">
        <v>1446</v>
      </c>
      <c r="B328" s="6" t="s">
        <v>437</v>
      </c>
      <c r="C328" s="6" t="s">
        <v>68</v>
      </c>
      <c r="D328" s="6" t="s">
        <v>1447</v>
      </c>
      <c r="E328" s="6" t="s">
        <v>52</v>
      </c>
      <c r="F328" s="6" t="s">
        <v>1448</v>
      </c>
      <c r="G328" s="2" t="s">
        <v>1448</v>
      </c>
      <c r="H328" s="2" t="s">
        <v>1447</v>
      </c>
      <c r="I328" s="2" t="s">
        <v>53</v>
      </c>
      <c r="J328" s="7">
        <v>240815</v>
      </c>
      <c r="K328" s="7">
        <v>372838</v>
      </c>
      <c r="L328" s="8">
        <v>164.47053</v>
      </c>
      <c r="M328" s="8">
        <v>-20.835049000000001</v>
      </c>
      <c r="N328" s="2">
        <v>3</v>
      </c>
      <c r="O328" s="2">
        <v>3</v>
      </c>
      <c r="P328" s="2">
        <f>N328</f>
        <v>3</v>
      </c>
      <c r="Q328" s="2" t="s">
        <v>35</v>
      </c>
      <c r="R328" s="2" t="s">
        <v>1449</v>
      </c>
      <c r="S328" s="2" t="s">
        <v>47</v>
      </c>
      <c r="U328" s="2">
        <f>P328-N328</f>
        <v>0</v>
      </c>
      <c r="W328" s="30" t="s">
        <v>52</v>
      </c>
      <c r="X328" s="2" t="s">
        <v>52</v>
      </c>
      <c r="Y328" s="6" t="s">
        <v>1448</v>
      </c>
      <c r="Z328" s="2" t="s">
        <v>73</v>
      </c>
      <c r="AA328" s="2" t="s">
        <v>1448</v>
      </c>
      <c r="AB328" s="2" t="str">
        <f>LEFT(A328,3)</f>
        <v>OCO</v>
      </c>
    </row>
    <row r="329" spans="1:28">
      <c r="A329" s="6" t="s">
        <v>1450</v>
      </c>
      <c r="B329" s="6" t="s">
        <v>207</v>
      </c>
      <c r="C329" s="6" t="s">
        <v>43</v>
      </c>
      <c r="D329" s="6" t="s">
        <v>1451</v>
      </c>
      <c r="E329" s="6" t="s">
        <v>1451</v>
      </c>
      <c r="F329" s="6" t="s">
        <v>1451</v>
      </c>
      <c r="G329" s="2" t="s">
        <v>1452</v>
      </c>
      <c r="H329" s="2" t="s">
        <v>1451</v>
      </c>
      <c r="I329" s="2" t="s">
        <v>34</v>
      </c>
      <c r="J329" s="7">
        <v>407482.39523999998</v>
      </c>
      <c r="K329" s="7">
        <v>255479.66785999999</v>
      </c>
      <c r="L329" s="8">
        <v>166.07241262035899</v>
      </c>
      <c r="M329" s="8">
        <v>-21.902095995454999</v>
      </c>
      <c r="N329" s="2">
        <v>3</v>
      </c>
      <c r="O329" s="2">
        <v>6</v>
      </c>
      <c r="P329" s="2">
        <v>6</v>
      </c>
      <c r="Q329" s="2" t="s">
        <v>35</v>
      </c>
      <c r="R329" s="2" t="s">
        <v>1453</v>
      </c>
      <c r="S329" s="2" t="s">
        <v>47</v>
      </c>
      <c r="U329" s="2">
        <f>P329-N329</f>
        <v>3</v>
      </c>
      <c r="W329" s="30" t="s">
        <v>1451</v>
      </c>
      <c r="X329" s="2" t="s">
        <v>39</v>
      </c>
      <c r="Y329" s="6" t="s">
        <v>1451</v>
      </c>
      <c r="Z329" s="2" t="s">
        <v>40</v>
      </c>
      <c r="AA329" s="2" t="s">
        <v>1452</v>
      </c>
      <c r="AB329" s="2" t="str">
        <f>LEFT(A329,3)</f>
        <v>OEN</v>
      </c>
    </row>
    <row r="330" spans="1:28">
      <c r="A330" s="6" t="s">
        <v>1454</v>
      </c>
      <c r="B330" s="6" t="s">
        <v>249</v>
      </c>
      <c r="C330" s="6" t="s">
        <v>68</v>
      </c>
      <c r="D330" s="6" t="s">
        <v>1455</v>
      </c>
      <c r="E330" s="6" t="s">
        <v>1456</v>
      </c>
      <c r="F330" s="6" t="s">
        <v>1457</v>
      </c>
      <c r="G330" s="6" t="s">
        <v>1457</v>
      </c>
      <c r="H330" s="2" t="s">
        <v>476</v>
      </c>
      <c r="I330" s="2" t="s">
        <v>34</v>
      </c>
      <c r="J330" s="7">
        <v>268572</v>
      </c>
      <c r="K330" s="7">
        <v>379447.875</v>
      </c>
      <c r="L330" s="8">
        <v>164.737723214293</v>
      </c>
      <c r="M330" s="8">
        <v>-20.777585329987001</v>
      </c>
      <c r="N330" s="2">
        <v>2</v>
      </c>
      <c r="O330" s="2">
        <v>2</v>
      </c>
      <c r="P330" s="2">
        <v>2</v>
      </c>
      <c r="Q330" s="2" t="s">
        <v>195</v>
      </c>
      <c r="R330" s="2" t="s">
        <v>1458</v>
      </c>
      <c r="S330" s="2" t="s">
        <v>47</v>
      </c>
      <c r="U330" s="2">
        <f>P330-N330</f>
        <v>0</v>
      </c>
      <c r="V330" s="2" t="s">
        <v>102</v>
      </c>
      <c r="W330" s="30" t="s">
        <v>1455</v>
      </c>
      <c r="X330" s="2" t="s">
        <v>82</v>
      </c>
      <c r="Y330" s="6" t="s">
        <v>1457</v>
      </c>
      <c r="Z330" s="2" t="s">
        <v>73</v>
      </c>
      <c r="AA330" s="6" t="s">
        <v>1457</v>
      </c>
      <c r="AB330" s="2" t="str">
        <f>LEFT(A330,3)</f>
        <v>OGO</v>
      </c>
    </row>
    <row r="331" spans="1:28">
      <c r="A331" s="6" t="s">
        <v>1459</v>
      </c>
      <c r="B331" s="6" t="s">
        <v>128</v>
      </c>
      <c r="C331" s="6" t="s">
        <v>129</v>
      </c>
      <c r="D331" s="6" t="s">
        <v>1460</v>
      </c>
      <c r="E331" s="6" t="s">
        <v>1460</v>
      </c>
      <c r="F331" s="6" t="s">
        <v>1460</v>
      </c>
      <c r="G331" s="6" t="s">
        <v>1461</v>
      </c>
      <c r="H331" s="2" t="s">
        <v>1462</v>
      </c>
      <c r="I331" s="2" t="s">
        <v>34</v>
      </c>
      <c r="J331" s="7">
        <v>468273.88468000002</v>
      </c>
      <c r="K331" s="7">
        <v>413268.27956</v>
      </c>
      <c r="L331" s="8">
        <v>166.654376169573</v>
      </c>
      <c r="M331" s="8">
        <v>-20.475614188133999</v>
      </c>
      <c r="N331" s="2">
        <v>2</v>
      </c>
      <c r="O331" s="2">
        <v>2</v>
      </c>
      <c r="P331" s="2">
        <v>2</v>
      </c>
      <c r="Q331" s="2" t="s">
        <v>35</v>
      </c>
      <c r="R331" s="2" t="s">
        <v>1463</v>
      </c>
      <c r="S331" s="2" t="s">
        <v>47</v>
      </c>
      <c r="U331" s="2">
        <f>P331-N331</f>
        <v>0</v>
      </c>
      <c r="W331" s="30" t="s">
        <v>1460</v>
      </c>
      <c r="X331" s="2" t="s">
        <v>82</v>
      </c>
      <c r="Y331" s="6" t="s">
        <v>1460</v>
      </c>
      <c r="Z331" s="2" t="s">
        <v>73</v>
      </c>
      <c r="AA331" s="6" t="s">
        <v>1461</v>
      </c>
      <c r="AB331" s="2" t="str">
        <f>LEFT(A331,3)</f>
        <v>OHN</v>
      </c>
    </row>
    <row r="332" spans="1:28">
      <c r="A332" s="6" t="s">
        <v>1464</v>
      </c>
      <c r="B332" s="6" t="s">
        <v>684</v>
      </c>
      <c r="C332" s="6" t="s">
        <v>68</v>
      </c>
      <c r="D332" s="6" t="s">
        <v>1465</v>
      </c>
      <c r="E332" s="6" t="s">
        <v>1465</v>
      </c>
      <c r="F332" s="6" t="s">
        <v>1466</v>
      </c>
      <c r="G332" s="6" t="s">
        <v>1466</v>
      </c>
      <c r="H332" s="2" t="s">
        <v>686</v>
      </c>
      <c r="I332" s="2" t="s">
        <v>34</v>
      </c>
      <c r="J332" s="7">
        <v>280478</v>
      </c>
      <c r="K332" s="7">
        <v>397067</v>
      </c>
      <c r="L332" s="8">
        <v>164.85330919486901</v>
      </c>
      <c r="M332" s="8">
        <v>-20.619276412191802</v>
      </c>
      <c r="N332" s="2">
        <v>2</v>
      </c>
      <c r="O332" s="2">
        <v>2</v>
      </c>
      <c r="P332" s="2">
        <v>2</v>
      </c>
      <c r="Q332" s="2" t="s">
        <v>35</v>
      </c>
      <c r="R332" s="2" t="s">
        <v>1467</v>
      </c>
      <c r="S332" s="2" t="s">
        <v>47</v>
      </c>
      <c r="U332" s="2">
        <f>P332-N332</f>
        <v>0</v>
      </c>
      <c r="W332" s="30" t="s">
        <v>1465</v>
      </c>
      <c r="X332" s="2" t="s">
        <v>82</v>
      </c>
      <c r="Y332" s="6" t="s">
        <v>1466</v>
      </c>
      <c r="Z332" s="2" t="s">
        <v>73</v>
      </c>
      <c r="AA332" s="6" t="s">
        <v>1466</v>
      </c>
      <c r="AB332" s="2" t="str">
        <f>LEFT(A332,3)</f>
        <v>OIM</v>
      </c>
    </row>
    <row r="333" spans="1:28">
      <c r="A333" s="6" t="s">
        <v>1468</v>
      </c>
      <c r="B333" s="6" t="s">
        <v>224</v>
      </c>
      <c r="C333" s="6" t="s">
        <v>68</v>
      </c>
      <c r="D333" s="6" t="s">
        <v>1469</v>
      </c>
      <c r="E333" s="6" t="s">
        <v>52</v>
      </c>
      <c r="F333" s="6" t="s">
        <v>1470</v>
      </c>
      <c r="G333" s="6" t="s">
        <v>1470</v>
      </c>
      <c r="H333" s="2" t="s">
        <v>1470</v>
      </c>
      <c r="I333" s="2" t="s">
        <v>53</v>
      </c>
      <c r="J333" s="7">
        <v>236965</v>
      </c>
      <c r="K333" s="7">
        <v>427625</v>
      </c>
      <c r="L333" s="8">
        <v>164.43879799999999</v>
      </c>
      <c r="M333" s="8">
        <v>-20.339880000000001</v>
      </c>
      <c r="N333" s="2">
        <v>1</v>
      </c>
      <c r="O333" s="2">
        <v>1</v>
      </c>
      <c r="P333" s="2">
        <v>1</v>
      </c>
      <c r="Q333" s="2" t="s">
        <v>35</v>
      </c>
      <c r="R333" s="2" t="s">
        <v>1471</v>
      </c>
      <c r="S333" s="2" t="s">
        <v>47</v>
      </c>
      <c r="U333" s="2">
        <f>P333-N333</f>
        <v>0</v>
      </c>
      <c r="W333" s="30" t="s">
        <v>52</v>
      </c>
      <c r="X333" s="2" t="s">
        <v>52</v>
      </c>
      <c r="Y333" s="6" t="s">
        <v>1472</v>
      </c>
      <c r="Z333" s="2" t="s">
        <v>73</v>
      </c>
      <c r="AA333" s="6" t="s">
        <v>1472</v>
      </c>
      <c r="AB333" s="2" t="str">
        <f>LEFT(A333,3)</f>
        <v>OIN</v>
      </c>
    </row>
    <row r="334" spans="1:28">
      <c r="A334" s="6" t="s">
        <v>1473</v>
      </c>
      <c r="B334" s="6" t="s">
        <v>148</v>
      </c>
      <c r="C334" s="6" t="s">
        <v>68</v>
      </c>
      <c r="D334" s="6" t="s">
        <v>1474</v>
      </c>
      <c r="E334" s="6" t="s">
        <v>1474</v>
      </c>
      <c r="F334" s="6" t="s">
        <v>1474</v>
      </c>
      <c r="G334" s="2" t="s">
        <v>1475</v>
      </c>
      <c r="H334" s="2" t="s">
        <v>723</v>
      </c>
      <c r="I334" s="2" t="s">
        <v>34</v>
      </c>
      <c r="J334" s="7">
        <v>328399.01935999998</v>
      </c>
      <c r="K334" s="7">
        <v>319280.9093</v>
      </c>
      <c r="L334" s="8">
        <v>165.30975894068101</v>
      </c>
      <c r="M334" s="8">
        <v>-21.324415996026399</v>
      </c>
      <c r="N334" s="2">
        <v>2</v>
      </c>
      <c r="O334" s="2">
        <v>2</v>
      </c>
      <c r="P334" s="2">
        <v>2</v>
      </c>
      <c r="Q334" s="2" t="s">
        <v>35</v>
      </c>
      <c r="R334" s="2" t="s">
        <v>1476</v>
      </c>
      <c r="S334" s="2" t="s">
        <v>47</v>
      </c>
      <c r="U334" s="2">
        <f>P334-N334</f>
        <v>0</v>
      </c>
      <c r="W334" s="30" t="s">
        <v>1474</v>
      </c>
      <c r="X334" s="2" t="s">
        <v>82</v>
      </c>
      <c r="Y334" s="6" t="s">
        <v>1474</v>
      </c>
      <c r="Z334" s="2" t="s">
        <v>73</v>
      </c>
      <c r="AA334" s="2" t="s">
        <v>1475</v>
      </c>
      <c r="AB334" s="2" t="str">
        <f>LEFT(A334,3)</f>
        <v>OJI</v>
      </c>
    </row>
    <row r="335" spans="1:28">
      <c r="A335" s="6" t="s">
        <v>1477</v>
      </c>
      <c r="B335" s="6" t="s">
        <v>437</v>
      </c>
      <c r="C335" s="6" t="s">
        <v>68</v>
      </c>
      <c r="D335" s="6" t="s">
        <v>1478</v>
      </c>
      <c r="E335" s="6" t="s">
        <v>1478</v>
      </c>
      <c r="F335" s="6" t="s">
        <v>1479</v>
      </c>
      <c r="G335" s="2" t="s">
        <v>1479</v>
      </c>
      <c r="H335" s="2" t="s">
        <v>1480</v>
      </c>
      <c r="I335" s="2" t="s">
        <v>34</v>
      </c>
      <c r="J335" s="7">
        <v>248032</v>
      </c>
      <c r="K335" s="7">
        <v>397584</v>
      </c>
      <c r="L335" s="8">
        <v>164.542085536765</v>
      </c>
      <c r="M335" s="8">
        <v>-20.612165479244801</v>
      </c>
      <c r="N335" s="2">
        <v>1</v>
      </c>
      <c r="O335" s="2">
        <v>1</v>
      </c>
      <c r="P335" s="2">
        <v>1</v>
      </c>
      <c r="Q335" s="2" t="s">
        <v>35</v>
      </c>
      <c r="R335" s="2" t="s">
        <v>1481</v>
      </c>
      <c r="S335" s="2" t="s">
        <v>47</v>
      </c>
      <c r="U335" s="2">
        <f>P335-N335</f>
        <v>0</v>
      </c>
      <c r="W335" s="30" t="s">
        <v>1478</v>
      </c>
      <c r="X335" s="2" t="s">
        <v>82</v>
      </c>
      <c r="Y335" s="6" t="s">
        <v>1479</v>
      </c>
      <c r="Z335" s="2" t="s">
        <v>73</v>
      </c>
      <c r="AA335" s="2" t="s">
        <v>1479</v>
      </c>
      <c r="AB335" s="2" t="str">
        <f>LEFT(A335,3)</f>
        <v>OLE</v>
      </c>
    </row>
    <row r="336" spans="1:28">
      <c r="A336" s="2" t="s">
        <v>1482</v>
      </c>
      <c r="B336" s="2" t="s">
        <v>128</v>
      </c>
      <c r="C336" s="2" t="s">
        <v>129</v>
      </c>
      <c r="D336" s="2" t="s">
        <v>703</v>
      </c>
      <c r="E336" s="2" t="s">
        <v>52</v>
      </c>
      <c r="F336" s="2" t="s">
        <v>703</v>
      </c>
      <c r="G336" s="2" t="s">
        <v>703</v>
      </c>
      <c r="H336" s="2" t="s">
        <v>703</v>
      </c>
      <c r="I336" s="2" t="s">
        <v>53</v>
      </c>
      <c r="J336" s="7">
        <v>459112</v>
      </c>
      <c r="K336" s="7">
        <v>395403</v>
      </c>
      <c r="L336" s="8">
        <v>166.56718000000001</v>
      </c>
      <c r="M336" s="8">
        <v>-20.6373</v>
      </c>
      <c r="N336" s="2">
        <v>1</v>
      </c>
      <c r="O336" s="2">
        <v>1</v>
      </c>
      <c r="P336" s="2">
        <v>1</v>
      </c>
      <c r="Q336" s="2" t="s">
        <v>35</v>
      </c>
      <c r="R336" s="2" t="s">
        <v>1483</v>
      </c>
      <c r="S336" s="2" t="s">
        <v>47</v>
      </c>
      <c r="U336" s="2">
        <f>P336-N336</f>
        <v>0</v>
      </c>
      <c r="W336" s="30" t="s">
        <v>52</v>
      </c>
      <c r="X336" s="6" t="s">
        <v>52</v>
      </c>
      <c r="Y336" s="2" t="s">
        <v>703</v>
      </c>
      <c r="Z336" s="2" t="s">
        <v>73</v>
      </c>
      <c r="AA336" s="2" t="s">
        <v>703</v>
      </c>
      <c r="AB336" s="2" t="str">
        <f>LEFT(A336,3)</f>
        <v>OLP</v>
      </c>
    </row>
    <row r="337" spans="1:28">
      <c r="A337" s="6" t="s">
        <v>1484</v>
      </c>
      <c r="B337" s="6" t="s">
        <v>104</v>
      </c>
      <c r="C337" s="6" t="s">
        <v>68</v>
      </c>
      <c r="D337" s="6" t="s">
        <v>1485</v>
      </c>
      <c r="E337" s="6" t="s">
        <v>1485</v>
      </c>
      <c r="F337" s="6" t="s">
        <v>1485</v>
      </c>
      <c r="G337" s="2" t="s">
        <v>1486</v>
      </c>
      <c r="H337" s="2" t="s">
        <v>1485</v>
      </c>
      <c r="I337" s="2" t="s">
        <v>34</v>
      </c>
      <c r="J337" s="7">
        <v>337201.90422999999</v>
      </c>
      <c r="K337" s="7">
        <v>356207.1238</v>
      </c>
      <c r="L337" s="8">
        <v>165.39599524045599</v>
      </c>
      <c r="M337" s="8">
        <v>-20.9912086263435</v>
      </c>
      <c r="N337" s="2">
        <v>2</v>
      </c>
      <c r="O337" s="2">
        <v>2</v>
      </c>
      <c r="P337" s="2">
        <f>N337</f>
        <v>2</v>
      </c>
      <c r="Q337" s="2" t="s">
        <v>35</v>
      </c>
      <c r="R337" s="2" t="s">
        <v>1487</v>
      </c>
      <c r="S337" s="2" t="s">
        <v>47</v>
      </c>
      <c r="U337" s="2">
        <f>P337-N337</f>
        <v>0</v>
      </c>
      <c r="W337" s="30" t="s">
        <v>1485</v>
      </c>
      <c r="X337" s="2" t="s">
        <v>82</v>
      </c>
      <c r="Y337" s="6" t="s">
        <v>1485</v>
      </c>
      <c r="Z337" s="2" t="s">
        <v>73</v>
      </c>
      <c r="AA337" s="2" t="s">
        <v>1486</v>
      </c>
      <c r="AB337" s="2" t="str">
        <f>LEFT(A337,3)</f>
        <v>OME</v>
      </c>
    </row>
    <row r="338" spans="1:28">
      <c r="A338" s="6" t="s">
        <v>1488</v>
      </c>
      <c r="B338" s="6" t="s">
        <v>437</v>
      </c>
      <c r="C338" s="6" t="s">
        <v>68</v>
      </c>
      <c r="D338" s="6" t="s">
        <v>1489</v>
      </c>
      <c r="E338" s="6" t="s">
        <v>1489</v>
      </c>
      <c r="F338" s="6" t="s">
        <v>1490</v>
      </c>
      <c r="G338" s="6" t="s">
        <v>1490</v>
      </c>
      <c r="H338" s="2" t="s">
        <v>1480</v>
      </c>
      <c r="I338" s="2" t="s">
        <v>34</v>
      </c>
      <c r="J338" s="7">
        <v>252306</v>
      </c>
      <c r="K338" s="7">
        <v>398516</v>
      </c>
      <c r="L338" s="8">
        <v>164.58316717838301</v>
      </c>
      <c r="M338" s="8">
        <v>-20.604102671690502</v>
      </c>
      <c r="N338" s="2">
        <v>1</v>
      </c>
      <c r="O338" s="2">
        <v>1</v>
      </c>
      <c r="P338" s="2">
        <v>1</v>
      </c>
      <c r="Q338" s="2" t="s">
        <v>35</v>
      </c>
      <c r="R338" s="2" t="s">
        <v>1491</v>
      </c>
      <c r="S338" s="2" t="s">
        <v>47</v>
      </c>
      <c r="U338" s="2">
        <f>P338-N338</f>
        <v>0</v>
      </c>
      <c r="W338" s="30" t="s">
        <v>1489</v>
      </c>
      <c r="X338" s="2" t="s">
        <v>82</v>
      </c>
      <c r="Y338" s="6" t="s">
        <v>1490</v>
      </c>
      <c r="Z338" s="2" t="s">
        <v>73</v>
      </c>
      <c r="AA338" s="6" t="s">
        <v>1490</v>
      </c>
      <c r="AB338" s="2" t="str">
        <f>LEFT(A338,3)</f>
        <v>OMU</v>
      </c>
    </row>
    <row r="339" spans="1:28">
      <c r="A339" s="6" t="s">
        <v>1492</v>
      </c>
      <c r="B339" s="6" t="s">
        <v>142</v>
      </c>
      <c r="C339" s="6" t="s">
        <v>43</v>
      </c>
      <c r="D339" s="6" t="s">
        <v>1493</v>
      </c>
      <c r="E339" s="6" t="s">
        <v>1494</v>
      </c>
      <c r="F339" s="6" t="s">
        <v>1495</v>
      </c>
      <c r="G339" s="6" t="s">
        <v>1495</v>
      </c>
      <c r="H339" s="2" t="s">
        <v>434</v>
      </c>
      <c r="I339" s="2" t="s">
        <v>53</v>
      </c>
      <c r="J339" s="7">
        <v>469556.98846000002</v>
      </c>
      <c r="K339" s="7">
        <v>244856.21601</v>
      </c>
      <c r="L339" s="8">
        <v>166.673628559018</v>
      </c>
      <c r="M339" s="8">
        <v>-21.996710710698299</v>
      </c>
      <c r="N339" s="2">
        <v>2</v>
      </c>
      <c r="O339" s="2">
        <v>2</v>
      </c>
      <c r="P339" s="2">
        <v>2</v>
      </c>
      <c r="Q339" s="2" t="s">
        <v>195</v>
      </c>
      <c r="R339" s="2" t="s">
        <v>1496</v>
      </c>
      <c r="S339" s="2" t="s">
        <v>47</v>
      </c>
      <c r="U339" s="2">
        <f>P339-N339</f>
        <v>0</v>
      </c>
      <c r="W339" s="30" t="s">
        <v>1494</v>
      </c>
      <c r="X339" s="2" t="s">
        <v>39</v>
      </c>
      <c r="Y339" s="6" t="s">
        <v>1495</v>
      </c>
      <c r="Z339" s="2" t="s">
        <v>40</v>
      </c>
      <c r="AA339" s="6" t="s">
        <v>1495</v>
      </c>
      <c r="AB339" s="2" t="str">
        <f>LEFT(A339,3)</f>
        <v>ONE</v>
      </c>
    </row>
    <row r="340" spans="1:28">
      <c r="A340" s="6" t="s">
        <v>1497</v>
      </c>
      <c r="B340" s="6" t="s">
        <v>402</v>
      </c>
      <c r="C340" s="6" t="s">
        <v>68</v>
      </c>
      <c r="D340" s="6" t="s">
        <v>1498</v>
      </c>
      <c r="E340" s="6" t="s">
        <v>1498</v>
      </c>
      <c r="F340" s="6" t="s">
        <v>1498</v>
      </c>
      <c r="G340" s="2" t="s">
        <v>1499</v>
      </c>
      <c r="H340" s="2" t="s">
        <v>1499</v>
      </c>
      <c r="I340" s="2" t="s">
        <v>53</v>
      </c>
      <c r="J340" s="7">
        <v>359653</v>
      </c>
      <c r="K340" s="7">
        <v>323939</v>
      </c>
      <c r="L340" s="8">
        <v>165.61116070588599</v>
      </c>
      <c r="M340" s="8">
        <v>-21.283316683266101</v>
      </c>
      <c r="N340" s="2">
        <v>3</v>
      </c>
      <c r="O340" s="2">
        <v>6</v>
      </c>
      <c r="P340" s="2">
        <v>6</v>
      </c>
      <c r="Q340" s="2" t="s">
        <v>35</v>
      </c>
      <c r="R340" s="2" t="s">
        <v>1500</v>
      </c>
      <c r="S340" s="2" t="s">
        <v>47</v>
      </c>
      <c r="U340" s="2">
        <f>P340-N340</f>
        <v>3</v>
      </c>
      <c r="W340" s="30" t="s">
        <v>1498</v>
      </c>
      <c r="X340" s="2" t="s">
        <v>82</v>
      </c>
      <c r="Y340" s="6" t="s">
        <v>1498</v>
      </c>
      <c r="Z340" s="2" t="s">
        <v>73</v>
      </c>
      <c r="AA340" s="2" t="s">
        <v>1499</v>
      </c>
      <c r="AB340" s="2" t="str">
        <f>LEFT(A340,3)</f>
        <v>ONI</v>
      </c>
    </row>
    <row r="341" spans="1:28">
      <c r="A341" s="6" t="s">
        <v>1501</v>
      </c>
      <c r="B341" s="6" t="s">
        <v>602</v>
      </c>
      <c r="C341" s="6" t="s">
        <v>43</v>
      </c>
      <c r="D341" s="6" t="s">
        <v>1502</v>
      </c>
      <c r="E341" s="6" t="s">
        <v>603</v>
      </c>
      <c r="F341" s="6" t="s">
        <v>604</v>
      </c>
      <c r="G341" s="2" t="s">
        <v>605</v>
      </c>
      <c r="H341" s="2" t="s">
        <v>606</v>
      </c>
      <c r="I341" s="2" t="s">
        <v>34</v>
      </c>
      <c r="J341" s="7">
        <v>397009.97609000001</v>
      </c>
      <c r="K341" s="7">
        <v>283726.21447000001</v>
      </c>
      <c r="L341" s="8">
        <v>165.97111256543499</v>
      </c>
      <c r="M341" s="8">
        <v>-21.646990127998201</v>
      </c>
      <c r="N341" s="2">
        <v>1</v>
      </c>
      <c r="O341" s="2">
        <v>1</v>
      </c>
      <c r="P341" s="2">
        <v>1</v>
      </c>
      <c r="Q341" s="2" t="s">
        <v>35</v>
      </c>
      <c r="R341" s="2" t="s">
        <v>1503</v>
      </c>
      <c r="S341" s="2" t="s">
        <v>47</v>
      </c>
      <c r="U341" s="2">
        <f>P341-N341</f>
        <v>0</v>
      </c>
      <c r="W341" s="30" t="s">
        <v>1504</v>
      </c>
      <c r="X341" s="2" t="s">
        <v>39</v>
      </c>
      <c r="Y341" s="6" t="s">
        <v>1505</v>
      </c>
      <c r="Z341" s="2" t="s">
        <v>40</v>
      </c>
      <c r="AA341" s="2" t="s">
        <v>1506</v>
      </c>
      <c r="AB341" s="2" t="str">
        <f>LEFT(A341,3)</f>
        <v>OPN</v>
      </c>
    </row>
    <row r="342" spans="1:28">
      <c r="A342" s="6" t="s">
        <v>1507</v>
      </c>
      <c r="B342" s="6" t="s">
        <v>207</v>
      </c>
      <c r="C342" s="6" t="s">
        <v>43</v>
      </c>
      <c r="D342" s="6" t="s">
        <v>1508</v>
      </c>
      <c r="E342" s="6" t="s">
        <v>52</v>
      </c>
      <c r="F342" s="6" t="s">
        <v>1508</v>
      </c>
      <c r="G342" s="6" t="s">
        <v>1508</v>
      </c>
      <c r="H342" s="6" t="s">
        <v>1508</v>
      </c>
      <c r="I342" s="2" t="s">
        <v>53</v>
      </c>
      <c r="J342" s="7">
        <v>421450</v>
      </c>
      <c r="K342" s="7">
        <v>251675</v>
      </c>
      <c r="L342" s="8">
        <v>166.20764700000001</v>
      </c>
      <c r="M342" s="8">
        <v>-21.936349</v>
      </c>
      <c r="N342" s="2">
        <v>2</v>
      </c>
      <c r="O342" s="2">
        <v>2</v>
      </c>
      <c r="P342" s="2">
        <v>2</v>
      </c>
      <c r="Q342" s="2" t="s">
        <v>35</v>
      </c>
      <c r="R342" s="2" t="s">
        <v>1509</v>
      </c>
      <c r="S342" s="2" t="s">
        <v>47</v>
      </c>
      <c r="U342" s="2">
        <f>P342-N342</f>
        <v>0</v>
      </c>
      <c r="W342" s="30" t="s">
        <v>52</v>
      </c>
      <c r="X342" s="2" t="s">
        <v>52</v>
      </c>
      <c r="Y342" s="6" t="s">
        <v>1508</v>
      </c>
      <c r="Z342" s="2" t="s">
        <v>40</v>
      </c>
      <c r="AA342" s="6" t="s">
        <v>1508</v>
      </c>
      <c r="AB342" s="2" t="str">
        <f>LEFT(A342,3)</f>
        <v>OPU</v>
      </c>
    </row>
    <row r="343" spans="1:28">
      <c r="A343" s="6" t="s">
        <v>1510</v>
      </c>
      <c r="B343" s="6" t="s">
        <v>609</v>
      </c>
      <c r="C343" s="6" t="s">
        <v>68</v>
      </c>
      <c r="D343" s="6" t="s">
        <v>1511</v>
      </c>
      <c r="E343" s="6" t="s">
        <v>1512</v>
      </c>
      <c r="F343" s="6" t="s">
        <v>1511</v>
      </c>
      <c r="G343" s="6" t="s">
        <v>1511</v>
      </c>
      <c r="H343" s="2" t="s">
        <v>1512</v>
      </c>
      <c r="I343" s="2" t="s">
        <v>34</v>
      </c>
      <c r="J343" s="7">
        <v>382930.13449000003</v>
      </c>
      <c r="K343" s="7">
        <v>307574.96922999999</v>
      </c>
      <c r="L343" s="8">
        <v>165.835323547</v>
      </c>
      <c r="M343" s="8">
        <v>-21.4314977249085</v>
      </c>
      <c r="N343" s="2">
        <v>2</v>
      </c>
      <c r="O343" s="2">
        <v>2</v>
      </c>
      <c r="P343" s="2">
        <v>2</v>
      </c>
      <c r="Q343" s="2" t="s">
        <v>195</v>
      </c>
      <c r="R343" s="2" t="s">
        <v>1513</v>
      </c>
      <c r="S343" s="2" t="s">
        <v>47</v>
      </c>
      <c r="T343" s="2" t="s">
        <v>205</v>
      </c>
      <c r="U343" s="2">
        <f>P343-N343</f>
        <v>0</v>
      </c>
      <c r="W343" s="30" t="s">
        <v>1512</v>
      </c>
      <c r="X343" s="2" t="s">
        <v>82</v>
      </c>
      <c r="Y343" s="6" t="s">
        <v>1511</v>
      </c>
      <c r="Z343" s="2" t="s">
        <v>73</v>
      </c>
      <c r="AA343" s="6" t="s">
        <v>1511</v>
      </c>
      <c r="AB343" s="2" t="str">
        <f>LEFT(A343,3)</f>
        <v>ORB</v>
      </c>
    </row>
    <row r="344" spans="1:28">
      <c r="A344" s="6" t="s">
        <v>1514</v>
      </c>
      <c r="B344" s="6" t="s">
        <v>98</v>
      </c>
      <c r="C344" s="6" t="s">
        <v>68</v>
      </c>
      <c r="D344" s="6" t="s">
        <v>1515</v>
      </c>
      <c r="E344" s="6" t="s">
        <v>1516</v>
      </c>
      <c r="F344" s="6" t="s">
        <v>1515</v>
      </c>
      <c r="G344" s="6" t="s">
        <v>1515</v>
      </c>
      <c r="H344" s="2" t="s">
        <v>99</v>
      </c>
      <c r="I344" s="2" t="s">
        <v>34</v>
      </c>
      <c r="J344" s="7">
        <v>403374.09860999999</v>
      </c>
      <c r="K344" s="7">
        <v>302325.94329999998</v>
      </c>
      <c r="L344" s="8">
        <v>166.032559964055</v>
      </c>
      <c r="M344" s="8">
        <v>-21.4789873238845</v>
      </c>
      <c r="N344" s="2">
        <v>2</v>
      </c>
      <c r="O344" s="2">
        <v>2</v>
      </c>
      <c r="P344" s="2">
        <v>2</v>
      </c>
      <c r="Q344" s="2" t="s">
        <v>35</v>
      </c>
      <c r="R344" s="2" t="s">
        <v>1517</v>
      </c>
      <c r="S344" s="2" t="s">
        <v>47</v>
      </c>
      <c r="U344" s="2">
        <f>P344-N344</f>
        <v>0</v>
      </c>
      <c r="W344" s="30" t="s">
        <v>1516</v>
      </c>
      <c r="X344" s="2" t="s">
        <v>39</v>
      </c>
      <c r="Y344" s="6" t="s">
        <v>1515</v>
      </c>
      <c r="Z344" s="2" t="s">
        <v>40</v>
      </c>
      <c r="AA344" s="6" t="s">
        <v>1515</v>
      </c>
      <c r="AB344" s="2" t="str">
        <f>LEFT(A344,3)</f>
        <v>OSE</v>
      </c>
    </row>
    <row r="345" spans="1:28">
      <c r="A345" s="6" t="s">
        <v>1518</v>
      </c>
      <c r="B345" s="6" t="s">
        <v>207</v>
      </c>
      <c r="C345" s="6" t="s">
        <v>43</v>
      </c>
      <c r="D345" s="6" t="s">
        <v>1519</v>
      </c>
      <c r="E345" s="6" t="s">
        <v>52</v>
      </c>
      <c r="F345" s="6" t="s">
        <v>1520</v>
      </c>
      <c r="G345" s="6" t="s">
        <v>1520</v>
      </c>
      <c r="H345" s="6" t="s">
        <v>1520</v>
      </c>
      <c r="I345" s="2" t="s">
        <v>53</v>
      </c>
      <c r="J345" s="7">
        <v>390412</v>
      </c>
      <c r="K345" s="7">
        <v>262481</v>
      </c>
      <c r="L345" s="8">
        <v>165.90724499999999</v>
      </c>
      <c r="M345" s="8">
        <v>-21.838854000000001</v>
      </c>
      <c r="N345" s="2">
        <v>3</v>
      </c>
      <c r="O345" s="2">
        <v>3</v>
      </c>
      <c r="P345" s="2">
        <v>3</v>
      </c>
      <c r="Q345" s="2" t="s">
        <v>35</v>
      </c>
      <c r="R345" s="2" t="s">
        <v>1521</v>
      </c>
      <c r="S345" s="2" t="s">
        <v>47</v>
      </c>
      <c r="U345" s="2">
        <f>P345-N345</f>
        <v>0</v>
      </c>
      <c r="W345" s="30" t="s">
        <v>52</v>
      </c>
      <c r="X345" s="2" t="s">
        <v>52</v>
      </c>
      <c r="Y345" s="6" t="s">
        <v>1520</v>
      </c>
      <c r="Z345" s="2" t="s">
        <v>40</v>
      </c>
      <c r="AA345" s="6" t="s">
        <v>1520</v>
      </c>
      <c r="AB345" s="2" t="str">
        <f>LEFT(A345,3)</f>
        <v>OTL</v>
      </c>
    </row>
    <row r="346" spans="1:28">
      <c r="A346" s="6" t="s">
        <v>1522</v>
      </c>
      <c r="B346" s="6" t="s">
        <v>602</v>
      </c>
      <c r="C346" s="6" t="s">
        <v>43</v>
      </c>
      <c r="D346" s="6" t="s">
        <v>628</v>
      </c>
      <c r="E346" s="6" t="s">
        <v>1523</v>
      </c>
      <c r="F346" s="6" t="s">
        <v>628</v>
      </c>
      <c r="G346" s="6" t="s">
        <v>628</v>
      </c>
      <c r="H346" s="6" t="s">
        <v>628</v>
      </c>
      <c r="I346" s="2" t="s">
        <v>53</v>
      </c>
      <c r="J346" s="7">
        <v>390291.97664000001</v>
      </c>
      <c r="K346" s="7">
        <v>267445.98806</v>
      </c>
      <c r="L346" s="8">
        <v>165.90611316690499</v>
      </c>
      <c r="M346" s="8">
        <v>-21.794009552040201</v>
      </c>
      <c r="N346" s="2">
        <v>3</v>
      </c>
      <c r="O346" s="2">
        <v>3</v>
      </c>
      <c r="P346" s="2">
        <v>3</v>
      </c>
      <c r="Q346" s="2" t="s">
        <v>35</v>
      </c>
      <c r="R346" s="2" t="s">
        <v>1524</v>
      </c>
      <c r="S346" s="2" t="s">
        <v>47</v>
      </c>
      <c r="U346" s="2">
        <f>P346-N346</f>
        <v>0</v>
      </c>
      <c r="W346" s="30" t="s">
        <v>1523</v>
      </c>
      <c r="X346" s="2" t="s">
        <v>39</v>
      </c>
      <c r="Y346" s="6" t="s">
        <v>628</v>
      </c>
      <c r="Z346" s="2" t="s">
        <v>40</v>
      </c>
      <c r="AA346" s="6" t="s">
        <v>628</v>
      </c>
      <c r="AB346" s="2" t="str">
        <f>LEFT(A346,3)</f>
        <v>OTM</v>
      </c>
    </row>
    <row r="347" spans="1:28">
      <c r="A347" s="2" t="s">
        <v>1525</v>
      </c>
      <c r="B347" s="2" t="s">
        <v>207</v>
      </c>
      <c r="C347" s="2" t="s">
        <v>43</v>
      </c>
      <c r="D347" s="6" t="s">
        <v>1526</v>
      </c>
      <c r="E347" s="2" t="s">
        <v>52</v>
      </c>
      <c r="F347" s="6" t="s">
        <v>727</v>
      </c>
      <c r="G347" s="6" t="s">
        <v>728</v>
      </c>
      <c r="H347" s="2" t="s">
        <v>1527</v>
      </c>
      <c r="I347" s="2" t="s">
        <v>34</v>
      </c>
      <c r="J347" s="7">
        <v>413390</v>
      </c>
      <c r="K347" s="7">
        <v>260846</v>
      </c>
      <c r="L347" s="9">
        <v>166.12954999999999</v>
      </c>
      <c r="M347" s="8">
        <v>-21.8536</v>
      </c>
      <c r="N347" s="2">
        <v>1</v>
      </c>
      <c r="O347" s="2">
        <v>1</v>
      </c>
      <c r="P347" s="2">
        <v>1</v>
      </c>
      <c r="Q347" s="2" t="s">
        <v>35</v>
      </c>
      <c r="R347" s="2" t="s">
        <v>1528</v>
      </c>
      <c r="S347" s="2" t="s">
        <v>47</v>
      </c>
      <c r="U347" s="2">
        <f>P347-N347</f>
        <v>0</v>
      </c>
      <c r="W347" s="30" t="s">
        <v>52</v>
      </c>
      <c r="X347" s="6" t="s">
        <v>52</v>
      </c>
      <c r="Y347" s="6" t="s">
        <v>1529</v>
      </c>
      <c r="Z347" s="2" t="s">
        <v>40</v>
      </c>
      <c r="AA347" s="6" t="s">
        <v>1530</v>
      </c>
      <c r="AB347" s="2" t="str">
        <f>LEFT(A347,3)</f>
        <v>OUA</v>
      </c>
    </row>
    <row r="348" spans="1:28">
      <c r="A348" s="6" t="s">
        <v>1531</v>
      </c>
      <c r="B348" s="6" t="s">
        <v>224</v>
      </c>
      <c r="C348" s="6" t="s">
        <v>68</v>
      </c>
      <c r="D348" s="6" t="s">
        <v>224</v>
      </c>
      <c r="E348" s="6" t="s">
        <v>224</v>
      </c>
      <c r="F348" s="6" t="s">
        <v>1470</v>
      </c>
      <c r="G348" s="2" t="s">
        <v>1470</v>
      </c>
      <c r="H348" s="2" t="s">
        <v>1470</v>
      </c>
      <c r="I348" s="2" t="s">
        <v>53</v>
      </c>
      <c r="J348" s="7">
        <v>237303.93609</v>
      </c>
      <c r="K348" s="7">
        <v>427020.29236000002</v>
      </c>
      <c r="L348" s="8">
        <v>164.441986791179</v>
      </c>
      <c r="M348" s="8">
        <v>-20.345374334869799</v>
      </c>
      <c r="N348" s="2">
        <v>3</v>
      </c>
      <c r="O348" s="2">
        <v>3</v>
      </c>
      <c r="P348" s="2">
        <v>6</v>
      </c>
      <c r="Q348" s="2" t="s">
        <v>35</v>
      </c>
      <c r="R348" s="2" t="s">
        <v>1532</v>
      </c>
      <c r="S348" s="2" t="s">
        <v>47</v>
      </c>
      <c r="U348" s="2">
        <f>P348-N348</f>
        <v>3</v>
      </c>
      <c r="W348" s="30" t="s">
        <v>224</v>
      </c>
      <c r="X348" s="2" t="s">
        <v>82</v>
      </c>
      <c r="Y348" s="6" t="s">
        <v>1470</v>
      </c>
      <c r="Z348" s="2" t="s">
        <v>73</v>
      </c>
      <c r="AA348" s="2" t="s">
        <v>1470</v>
      </c>
      <c r="AB348" s="2" t="str">
        <f>LEFT(A348,3)</f>
        <v>OUE</v>
      </c>
    </row>
    <row r="349" spans="1:28">
      <c r="A349" s="6" t="s">
        <v>1533</v>
      </c>
      <c r="B349" s="6" t="s">
        <v>93</v>
      </c>
      <c r="C349" s="6" t="s">
        <v>50</v>
      </c>
      <c r="D349" s="6" t="s">
        <v>434</v>
      </c>
      <c r="E349" s="6" t="s">
        <v>434</v>
      </c>
      <c r="F349" s="6" t="s">
        <v>434</v>
      </c>
      <c r="G349" s="2" t="s">
        <v>1534</v>
      </c>
      <c r="H349" s="2" t="s">
        <v>434</v>
      </c>
      <c r="I349" s="2" t="s">
        <v>34</v>
      </c>
      <c r="J349" s="7">
        <v>494967.78785999998</v>
      </c>
      <c r="K349" s="7">
        <v>209186.35071</v>
      </c>
      <c r="L349" s="8">
        <v>166.921754705919</v>
      </c>
      <c r="M349" s="8">
        <v>-22.317675935553801</v>
      </c>
      <c r="N349" s="2">
        <v>3</v>
      </c>
      <c r="O349" s="2">
        <v>6</v>
      </c>
      <c r="P349" s="2">
        <f>N349</f>
        <v>3</v>
      </c>
      <c r="Q349" s="2" t="s">
        <v>35</v>
      </c>
      <c r="R349" s="2" t="s">
        <v>1535</v>
      </c>
      <c r="S349" s="2" t="s">
        <v>47</v>
      </c>
      <c r="U349" s="2">
        <f>P349-N349</f>
        <v>0</v>
      </c>
      <c r="W349" s="30" t="s">
        <v>434</v>
      </c>
      <c r="X349" s="2" t="s">
        <v>39</v>
      </c>
      <c r="Y349" s="6" t="s">
        <v>434</v>
      </c>
      <c r="Z349" s="2" t="s">
        <v>40</v>
      </c>
      <c r="AA349" s="2" t="s">
        <v>1534</v>
      </c>
      <c r="AB349" s="2" t="str">
        <f>LEFT(A349,3)</f>
        <v>OUG</v>
      </c>
    </row>
    <row r="350" spans="1:28">
      <c r="A350" s="6" t="s">
        <v>1536</v>
      </c>
      <c r="B350" s="6" t="s">
        <v>207</v>
      </c>
      <c r="C350" s="6" t="s">
        <v>43</v>
      </c>
      <c r="D350" s="6" t="s">
        <v>1537</v>
      </c>
      <c r="E350" s="6" t="s">
        <v>1537</v>
      </c>
      <c r="F350" s="6" t="s">
        <v>1537</v>
      </c>
      <c r="G350" s="2" t="s">
        <v>1538</v>
      </c>
      <c r="H350" s="2" t="s">
        <v>1537</v>
      </c>
      <c r="I350" s="2" t="s">
        <v>34</v>
      </c>
      <c r="J350" s="7">
        <v>417168.9964</v>
      </c>
      <c r="K350" s="7">
        <v>253226.99468</v>
      </c>
      <c r="L350" s="8">
        <v>166.16618889844901</v>
      </c>
      <c r="M350" s="8">
        <v>-21.922377795818399</v>
      </c>
      <c r="N350" s="2">
        <v>1</v>
      </c>
      <c r="O350" s="2">
        <v>1</v>
      </c>
      <c r="P350" s="2">
        <v>1</v>
      </c>
      <c r="Q350" s="2" t="s">
        <v>35</v>
      </c>
      <c r="R350" s="2" t="s">
        <v>1539</v>
      </c>
      <c r="S350" s="2" t="s">
        <v>47</v>
      </c>
      <c r="U350" s="2">
        <f>P350-N350</f>
        <v>0</v>
      </c>
      <c r="W350" s="30" t="s">
        <v>1537</v>
      </c>
      <c r="X350" s="2" t="s">
        <v>39</v>
      </c>
      <c r="Y350" s="6" t="s">
        <v>1537</v>
      </c>
      <c r="Z350" s="2" t="s">
        <v>40</v>
      </c>
      <c r="AA350" s="2" t="s">
        <v>1538</v>
      </c>
      <c r="AB350" s="2" t="str">
        <f>LEFT(A350,3)</f>
        <v>OUI</v>
      </c>
    </row>
    <row r="351" spans="1:28">
      <c r="A351" s="2" t="s">
        <v>1540</v>
      </c>
      <c r="B351" s="2" t="s">
        <v>128</v>
      </c>
      <c r="C351" s="2" t="s">
        <v>129</v>
      </c>
      <c r="D351" s="2" t="s">
        <v>667</v>
      </c>
      <c r="E351" s="2" t="s">
        <v>667</v>
      </c>
      <c r="F351" s="2" t="s">
        <v>667</v>
      </c>
      <c r="G351" s="2" t="s">
        <v>1541</v>
      </c>
      <c r="H351" s="2" t="s">
        <v>667</v>
      </c>
      <c r="I351" s="2" t="s">
        <v>34</v>
      </c>
      <c r="J351" s="7">
        <v>459658</v>
      </c>
      <c r="K351" s="7">
        <v>394836</v>
      </c>
      <c r="L351" s="8">
        <v>166.57244331093901</v>
      </c>
      <c r="M351" s="8">
        <v>-20.6424004134761</v>
      </c>
      <c r="N351" s="2">
        <v>1</v>
      </c>
      <c r="O351" s="2">
        <v>1</v>
      </c>
      <c r="P351" s="2">
        <v>1</v>
      </c>
      <c r="Q351" s="2" t="s">
        <v>35</v>
      </c>
      <c r="R351" s="2" t="s">
        <v>1542</v>
      </c>
      <c r="S351" s="2" t="s">
        <v>47</v>
      </c>
      <c r="U351" s="2">
        <f>P351-N351</f>
        <v>0</v>
      </c>
      <c r="W351" s="30" t="s">
        <v>1543</v>
      </c>
      <c r="X351" s="2" t="s">
        <v>82</v>
      </c>
      <c r="Y351" s="2" t="s">
        <v>1543</v>
      </c>
      <c r="Z351" s="2" t="s">
        <v>73</v>
      </c>
      <c r="AA351" s="2" t="s">
        <v>1544</v>
      </c>
      <c r="AB351" s="2" t="str">
        <f>LEFT(A351,3)</f>
        <v>OUL</v>
      </c>
    </row>
    <row r="352" spans="1:28">
      <c r="A352" s="2" t="s">
        <v>1545</v>
      </c>
      <c r="B352" s="2" t="s">
        <v>29</v>
      </c>
      <c r="C352" s="2" t="s">
        <v>30</v>
      </c>
      <c r="D352" s="2" t="s">
        <v>1546</v>
      </c>
      <c r="E352" s="2" t="s">
        <v>52</v>
      </c>
      <c r="F352" s="2" t="s">
        <v>1547</v>
      </c>
      <c r="G352" s="2" t="s">
        <v>1547</v>
      </c>
      <c r="H352" s="2" t="s">
        <v>1547</v>
      </c>
      <c r="I352" s="2" t="s">
        <v>53</v>
      </c>
      <c r="J352" s="7">
        <v>448888</v>
      </c>
      <c r="K352" s="7">
        <v>214700</v>
      </c>
      <c r="L352" s="8">
        <v>166.474346</v>
      </c>
      <c r="M352" s="8">
        <v>-22.269739000000001</v>
      </c>
      <c r="N352" s="2">
        <v>3</v>
      </c>
      <c r="O352" s="2">
        <v>3</v>
      </c>
      <c r="P352" s="2">
        <v>3</v>
      </c>
      <c r="Q352" s="2" t="s">
        <v>35</v>
      </c>
      <c r="R352" s="2" t="s">
        <v>1548</v>
      </c>
      <c r="S352" s="2" t="s">
        <v>37</v>
      </c>
      <c r="U352" s="2">
        <f>P352-N352</f>
        <v>0</v>
      </c>
      <c r="W352" s="30" t="s">
        <v>52</v>
      </c>
      <c r="X352" s="2" t="s">
        <v>52</v>
      </c>
      <c r="Y352" s="2" t="s">
        <v>1549</v>
      </c>
      <c r="Z352" s="2" t="s">
        <v>40</v>
      </c>
      <c r="AA352" s="2" t="s">
        <v>1547</v>
      </c>
      <c r="AB352" s="2" t="str">
        <f>LEFT(A352,3)</f>
        <v>OUM</v>
      </c>
    </row>
    <row r="353" spans="1:28">
      <c r="A353" s="6" t="s">
        <v>1550</v>
      </c>
      <c r="B353" s="6" t="s">
        <v>249</v>
      </c>
      <c r="C353" s="6" t="s">
        <v>68</v>
      </c>
      <c r="D353" s="6" t="s">
        <v>1551</v>
      </c>
      <c r="E353" s="6" t="s">
        <v>1551</v>
      </c>
      <c r="F353" s="6" t="s">
        <v>1552</v>
      </c>
      <c r="G353" s="2" t="s">
        <v>1552</v>
      </c>
      <c r="H353" s="2" t="s">
        <v>1552</v>
      </c>
      <c r="I353" s="2" t="s">
        <v>53</v>
      </c>
      <c r="J353" s="7">
        <v>267113.55063999997</v>
      </c>
      <c r="K353" s="7">
        <v>350980.23694999999</v>
      </c>
      <c r="L353" s="8">
        <v>164.72148464774901</v>
      </c>
      <c r="M353" s="8">
        <v>-21.034609672572099</v>
      </c>
      <c r="N353" s="2">
        <v>3</v>
      </c>
      <c r="O353" s="2">
        <v>3</v>
      </c>
      <c r="P353" s="2">
        <f>N353</f>
        <v>3</v>
      </c>
      <c r="Q353" s="2" t="s">
        <v>35</v>
      </c>
      <c r="R353" s="2" t="s">
        <v>1553</v>
      </c>
      <c r="S353" s="2" t="s">
        <v>47</v>
      </c>
      <c r="U353" s="2">
        <f>P353-N353</f>
        <v>0</v>
      </c>
      <c r="W353" s="30" t="s">
        <v>1551</v>
      </c>
      <c r="X353" s="2" t="s">
        <v>82</v>
      </c>
      <c r="Y353" s="6" t="s">
        <v>1552</v>
      </c>
      <c r="Z353" s="2" t="s">
        <v>73</v>
      </c>
      <c r="AA353" s="2" t="s">
        <v>1552</v>
      </c>
      <c r="AB353" s="2" t="str">
        <f>LEFT(A353,3)</f>
        <v>OUN</v>
      </c>
    </row>
    <row r="354" spans="1:28">
      <c r="A354" s="6" t="s">
        <v>1554</v>
      </c>
      <c r="B354" s="6" t="s">
        <v>602</v>
      </c>
      <c r="C354" s="6" t="s">
        <v>43</v>
      </c>
      <c r="D354" s="6" t="s">
        <v>1555</v>
      </c>
      <c r="E354" s="6" t="s">
        <v>1555</v>
      </c>
      <c r="F354" s="6" t="s">
        <v>1523</v>
      </c>
      <c r="G354" s="2" t="s">
        <v>1556</v>
      </c>
      <c r="H354" s="2" t="s">
        <v>1556</v>
      </c>
      <c r="I354" s="2" t="s">
        <v>53</v>
      </c>
      <c r="J354" s="7">
        <v>386317.52166999999</v>
      </c>
      <c r="K354" s="7">
        <v>264635.12695000001</v>
      </c>
      <c r="L354" s="8">
        <v>165.867657300769</v>
      </c>
      <c r="M354" s="8">
        <v>-21.8193724911707</v>
      </c>
      <c r="N354" s="2">
        <v>3</v>
      </c>
      <c r="O354" s="2">
        <v>3</v>
      </c>
      <c r="P354" s="2">
        <v>6</v>
      </c>
      <c r="Q354" s="2" t="s">
        <v>35</v>
      </c>
      <c r="R354" s="2" t="s">
        <v>1557</v>
      </c>
      <c r="S354" s="2" t="s">
        <v>47</v>
      </c>
      <c r="U354" s="2">
        <f>P354-N354</f>
        <v>3</v>
      </c>
      <c r="W354" s="30" t="s">
        <v>1555</v>
      </c>
      <c r="X354" s="2" t="s">
        <v>39</v>
      </c>
      <c r="Y354" s="6" t="s">
        <v>1523</v>
      </c>
      <c r="Z354" s="2" t="s">
        <v>40</v>
      </c>
      <c r="AA354" s="2" t="s">
        <v>1556</v>
      </c>
      <c r="AB354" s="2" t="str">
        <f>LEFT(A354,3)</f>
        <v>OUO</v>
      </c>
    </row>
    <row r="355" spans="1:28">
      <c r="A355" s="2" t="s">
        <v>1558</v>
      </c>
      <c r="B355" s="2" t="s">
        <v>207</v>
      </c>
      <c r="C355" s="2" t="s">
        <v>43</v>
      </c>
      <c r="D355" s="2" t="s">
        <v>261</v>
      </c>
      <c r="E355" s="2" t="s">
        <v>52</v>
      </c>
      <c r="F355" s="2" t="s">
        <v>261</v>
      </c>
      <c r="G355" s="2" t="s">
        <v>261</v>
      </c>
      <c r="H355" s="2" t="s">
        <v>261</v>
      </c>
      <c r="I355" s="2" t="s">
        <v>53</v>
      </c>
      <c r="J355" s="7">
        <v>399765</v>
      </c>
      <c r="K355" s="7">
        <v>264526</v>
      </c>
      <c r="L355" s="8">
        <v>165.99772999999999</v>
      </c>
      <c r="M355" s="8">
        <v>-21.820409999999999</v>
      </c>
      <c r="N355" s="2">
        <v>1</v>
      </c>
      <c r="O355" s="2">
        <v>1</v>
      </c>
      <c r="P355" s="2">
        <v>1</v>
      </c>
      <c r="Q355" s="2" t="s">
        <v>35</v>
      </c>
      <c r="R355" s="2" t="s">
        <v>1559</v>
      </c>
      <c r="S355" s="2" t="s">
        <v>47</v>
      </c>
      <c r="U355" s="2">
        <f>P355-N355</f>
        <v>0</v>
      </c>
      <c r="W355" s="30" t="s">
        <v>52</v>
      </c>
      <c r="X355" s="6" t="s">
        <v>52</v>
      </c>
      <c r="Y355" s="2" t="s">
        <v>261</v>
      </c>
      <c r="Z355" s="2" t="s">
        <v>40</v>
      </c>
      <c r="AA355" s="2" t="s">
        <v>261</v>
      </c>
      <c r="AB355" s="2" t="str">
        <f>LEFT(A355,3)</f>
        <v>OUT</v>
      </c>
    </row>
    <row r="356" spans="1:28">
      <c r="A356" s="6" t="s">
        <v>1560</v>
      </c>
      <c r="B356" s="6" t="s">
        <v>249</v>
      </c>
      <c r="C356" s="6" t="s">
        <v>68</v>
      </c>
      <c r="D356" s="6" t="s">
        <v>1561</v>
      </c>
      <c r="E356" s="6" t="s">
        <v>1561</v>
      </c>
      <c r="F356" s="6" t="s">
        <v>1561</v>
      </c>
      <c r="G356" s="2" t="s">
        <v>1562</v>
      </c>
      <c r="H356" s="2" t="s">
        <v>1563</v>
      </c>
      <c r="I356" s="2" t="s">
        <v>34</v>
      </c>
      <c r="J356" s="7">
        <v>255185.06886</v>
      </c>
      <c r="K356" s="7">
        <v>370264.02030999999</v>
      </c>
      <c r="L356" s="8">
        <v>164.608371437876</v>
      </c>
      <c r="M356" s="8">
        <v>-20.859510802587799</v>
      </c>
      <c r="N356" s="2">
        <v>3</v>
      </c>
      <c r="O356" s="2">
        <v>3</v>
      </c>
      <c r="P356" s="2">
        <f>N356</f>
        <v>3</v>
      </c>
      <c r="Q356" s="2" t="s">
        <v>35</v>
      </c>
      <c r="R356" s="2" t="s">
        <v>1564</v>
      </c>
      <c r="S356" s="2" t="s">
        <v>47</v>
      </c>
      <c r="U356" s="2">
        <f>P356-N356</f>
        <v>0</v>
      </c>
      <c r="W356" s="30" t="s">
        <v>1561</v>
      </c>
      <c r="X356" s="2" t="s">
        <v>82</v>
      </c>
      <c r="Y356" s="6" t="s">
        <v>1561</v>
      </c>
      <c r="Z356" s="2" t="s">
        <v>73</v>
      </c>
      <c r="AA356" s="2" t="s">
        <v>1562</v>
      </c>
      <c r="AB356" s="2" t="str">
        <f>LEFT(A356,3)</f>
        <v>P84</v>
      </c>
    </row>
    <row r="357" spans="1:28">
      <c r="A357" s="6" t="s">
        <v>1565</v>
      </c>
      <c r="B357" s="6" t="s">
        <v>368</v>
      </c>
      <c r="C357" s="6" t="s">
        <v>68</v>
      </c>
      <c r="D357" s="6" t="s">
        <v>1566</v>
      </c>
      <c r="E357" s="6" t="s">
        <v>1566</v>
      </c>
      <c r="F357" s="6" t="s">
        <v>1567</v>
      </c>
      <c r="G357" s="2" t="s">
        <v>1568</v>
      </c>
      <c r="H357" s="2" t="s">
        <v>1567</v>
      </c>
      <c r="I357" s="2" t="s">
        <v>34</v>
      </c>
      <c r="J357" s="7">
        <v>211652.33189</v>
      </c>
      <c r="K357" s="7">
        <v>410092.14782000001</v>
      </c>
      <c r="L357" s="8">
        <v>164.194485659794</v>
      </c>
      <c r="M357" s="8">
        <v>-20.495766706407501</v>
      </c>
      <c r="N357" s="2">
        <v>3</v>
      </c>
      <c r="O357" s="2">
        <v>3</v>
      </c>
      <c r="P357" s="2">
        <v>3</v>
      </c>
      <c r="Q357" s="2" t="s">
        <v>35</v>
      </c>
      <c r="R357" s="2" t="s">
        <v>1569</v>
      </c>
      <c r="S357" s="2" t="s">
        <v>47</v>
      </c>
      <c r="T357" s="2" t="s">
        <v>205</v>
      </c>
      <c r="U357" s="2">
        <f>P357-N357</f>
        <v>0</v>
      </c>
      <c r="W357" s="30" t="s">
        <v>1566</v>
      </c>
      <c r="X357" s="2" t="s">
        <v>82</v>
      </c>
      <c r="Y357" s="6" t="s">
        <v>1567</v>
      </c>
      <c r="Z357" s="2" t="s">
        <v>73</v>
      </c>
      <c r="AA357" s="2" t="s">
        <v>1568</v>
      </c>
      <c r="AB357" s="2" t="str">
        <f>LEFT(A357,3)</f>
        <v>PAA</v>
      </c>
    </row>
    <row r="358" spans="1:28">
      <c r="A358" s="6" t="s">
        <v>1570</v>
      </c>
      <c r="B358" s="6" t="s">
        <v>351</v>
      </c>
      <c r="C358" s="6" t="s">
        <v>129</v>
      </c>
      <c r="D358" s="6" t="s">
        <v>1571</v>
      </c>
      <c r="E358" s="6" t="s">
        <v>1571</v>
      </c>
      <c r="F358" s="6" t="s">
        <v>1572</v>
      </c>
      <c r="G358" s="6" t="s">
        <v>1572</v>
      </c>
      <c r="H358" s="2" t="s">
        <v>1571</v>
      </c>
      <c r="I358" s="2" t="s">
        <v>34</v>
      </c>
      <c r="J358" s="7">
        <v>591254.97600000002</v>
      </c>
      <c r="K358" s="7">
        <v>303294.10225</v>
      </c>
      <c r="L358" s="8">
        <v>167.845463738034</v>
      </c>
      <c r="M358" s="8">
        <v>-21.460050139848001</v>
      </c>
      <c r="N358" s="2">
        <v>2</v>
      </c>
      <c r="O358" s="2">
        <v>2</v>
      </c>
      <c r="P358" s="2">
        <v>2</v>
      </c>
      <c r="Q358" s="2" t="s">
        <v>35</v>
      </c>
      <c r="R358" s="2" t="s">
        <v>1573</v>
      </c>
      <c r="S358" s="2" t="s">
        <v>47</v>
      </c>
      <c r="U358" s="2">
        <f>P358-N358</f>
        <v>0</v>
      </c>
      <c r="V358" s="2" t="s">
        <v>102</v>
      </c>
      <c r="W358" s="30" t="s">
        <v>1571</v>
      </c>
      <c r="X358" s="2" t="s">
        <v>82</v>
      </c>
      <c r="Y358" s="6" t="s">
        <v>1572</v>
      </c>
      <c r="Z358" s="2" t="s">
        <v>73</v>
      </c>
      <c r="AA358" s="6" t="s">
        <v>1572</v>
      </c>
      <c r="AB358" s="2" t="str">
        <f>LEFT(A358,3)</f>
        <v>PAD</v>
      </c>
    </row>
    <row r="359" spans="1:28">
      <c r="A359" s="2" t="s">
        <v>1574</v>
      </c>
      <c r="B359" s="2" t="s">
        <v>368</v>
      </c>
      <c r="C359" s="2" t="s">
        <v>68</v>
      </c>
      <c r="D359" s="2" t="s">
        <v>1575</v>
      </c>
      <c r="E359" s="2" t="s">
        <v>52</v>
      </c>
      <c r="F359" s="2" t="s">
        <v>1576</v>
      </c>
      <c r="G359" s="2" t="s">
        <v>1576</v>
      </c>
      <c r="H359" s="2" t="s">
        <v>1576</v>
      </c>
      <c r="I359" s="2" t="s">
        <v>53</v>
      </c>
      <c r="J359" s="7">
        <v>220309</v>
      </c>
      <c r="K359" s="7">
        <v>406169</v>
      </c>
      <c r="L359" s="8">
        <v>164.27705</v>
      </c>
      <c r="M359" s="8">
        <v>-20.532080000000001</v>
      </c>
      <c r="N359" s="2">
        <v>2</v>
      </c>
      <c r="O359" s="2">
        <v>2</v>
      </c>
      <c r="P359" s="2">
        <v>4</v>
      </c>
      <c r="Q359" s="2" t="s">
        <v>195</v>
      </c>
      <c r="R359" s="2" t="s">
        <v>1577</v>
      </c>
      <c r="S359" s="2" t="s">
        <v>47</v>
      </c>
      <c r="U359" s="2">
        <f>P359-N359</f>
        <v>2</v>
      </c>
      <c r="W359" s="30" t="s">
        <v>52</v>
      </c>
      <c r="X359" s="6" t="s">
        <v>52</v>
      </c>
      <c r="Y359" s="2" t="s">
        <v>1576</v>
      </c>
      <c r="Z359" s="2" t="s">
        <v>73</v>
      </c>
      <c r="AA359" s="2" t="s">
        <v>1576</v>
      </c>
      <c r="AB359" s="2" t="str">
        <f>LEFT(A359,3)</f>
        <v>PAG</v>
      </c>
    </row>
    <row r="360" spans="1:28">
      <c r="A360" s="2" t="s">
        <v>1578</v>
      </c>
      <c r="B360" s="2" t="s">
        <v>56</v>
      </c>
      <c r="C360" s="2" t="s">
        <v>50</v>
      </c>
      <c r="D360" s="2" t="s">
        <v>831</v>
      </c>
      <c r="E360" s="2" t="s">
        <v>52</v>
      </c>
      <c r="F360" s="2" t="s">
        <v>831</v>
      </c>
      <c r="G360" s="2" t="s">
        <v>831</v>
      </c>
      <c r="H360" s="2" t="s">
        <v>831</v>
      </c>
      <c r="I360" s="2" t="s">
        <v>53</v>
      </c>
      <c r="J360" s="2">
        <v>438050</v>
      </c>
      <c r="K360" s="7">
        <v>230206</v>
      </c>
      <c r="L360" s="8">
        <v>166.36883</v>
      </c>
      <c r="M360" s="8">
        <v>-22.12997</v>
      </c>
      <c r="N360" s="2">
        <v>2</v>
      </c>
      <c r="O360" s="2">
        <v>2</v>
      </c>
      <c r="P360" s="2">
        <v>2</v>
      </c>
      <c r="Q360" s="2" t="s">
        <v>35</v>
      </c>
      <c r="R360" s="2" t="s">
        <v>1579</v>
      </c>
      <c r="S360" s="2" t="s">
        <v>37</v>
      </c>
      <c r="U360" s="2">
        <f>P360-N360</f>
        <v>0</v>
      </c>
      <c r="W360" s="30" t="s">
        <v>52</v>
      </c>
      <c r="X360" s="6" t="s">
        <v>52</v>
      </c>
      <c r="Y360" s="2" t="s">
        <v>831</v>
      </c>
      <c r="Z360" s="2" t="s">
        <v>40</v>
      </c>
      <c r="AA360" s="2" t="s">
        <v>831</v>
      </c>
      <c r="AB360" s="2" t="str">
        <f>LEFT(A360,3)</f>
        <v>PAI</v>
      </c>
    </row>
    <row r="361" spans="1:28">
      <c r="A361" s="2" t="s">
        <v>1580</v>
      </c>
      <c r="B361" s="2" t="s">
        <v>368</v>
      </c>
      <c r="C361" s="2" t="s">
        <v>68</v>
      </c>
      <c r="D361" s="2" t="s">
        <v>1581</v>
      </c>
      <c r="E361" s="2" t="s">
        <v>52</v>
      </c>
      <c r="F361" s="2" t="s">
        <v>1582</v>
      </c>
      <c r="G361" s="2" t="s">
        <v>1582</v>
      </c>
      <c r="H361" s="2" t="s">
        <v>1582</v>
      </c>
      <c r="I361" s="2" t="s">
        <v>53</v>
      </c>
      <c r="J361" s="2">
        <v>220093</v>
      </c>
      <c r="K361" s="2">
        <v>401008</v>
      </c>
      <c r="L361" s="2">
        <v>164.27443400000001</v>
      </c>
      <c r="M361" s="2">
        <v>-20.578671</v>
      </c>
      <c r="N361" s="2">
        <v>3</v>
      </c>
      <c r="O361" s="2">
        <v>3</v>
      </c>
      <c r="P361" s="2">
        <v>3</v>
      </c>
      <c r="Q361" s="2" t="s">
        <v>35</v>
      </c>
      <c r="R361" s="2" t="s">
        <v>1583</v>
      </c>
      <c r="S361" s="2" t="s">
        <v>47</v>
      </c>
      <c r="U361" s="2">
        <f>P361-N361</f>
        <v>0</v>
      </c>
      <c r="W361" s="30" t="s">
        <v>52</v>
      </c>
      <c r="X361" s="6" t="s">
        <v>52</v>
      </c>
      <c r="Y361" s="2" t="s">
        <v>1582</v>
      </c>
      <c r="Z361" s="2" t="s">
        <v>73</v>
      </c>
      <c r="AA361" s="2" t="s">
        <v>1582</v>
      </c>
      <c r="AB361" s="2" t="str">
        <f>LEFT(A361,3)</f>
        <v>PAM</v>
      </c>
    </row>
    <row r="362" spans="1:28">
      <c r="A362" s="2" t="s">
        <v>1584</v>
      </c>
      <c r="B362" s="2" t="s">
        <v>368</v>
      </c>
      <c r="C362" s="2" t="s">
        <v>68</v>
      </c>
      <c r="D362" s="2" t="s">
        <v>1585</v>
      </c>
      <c r="E362" s="2" t="s">
        <v>52</v>
      </c>
      <c r="F362" s="2" t="s">
        <v>1586</v>
      </c>
      <c r="G362" s="2" t="s">
        <v>1586</v>
      </c>
      <c r="H362" s="2" t="s">
        <v>1586</v>
      </c>
      <c r="I362" s="2" t="s">
        <v>53</v>
      </c>
      <c r="J362" s="2">
        <v>220534</v>
      </c>
      <c r="K362" s="2">
        <v>401521</v>
      </c>
      <c r="L362" s="2">
        <v>164.27871999999999</v>
      </c>
      <c r="M362" s="2">
        <v>-20.574079999999999</v>
      </c>
      <c r="N362" s="2">
        <v>3</v>
      </c>
      <c r="O362" s="2">
        <v>3</v>
      </c>
      <c r="P362" s="2">
        <v>3</v>
      </c>
      <c r="Q362" s="2" t="s">
        <v>35</v>
      </c>
      <c r="R362" s="2" t="s">
        <v>1587</v>
      </c>
      <c r="S362" s="2" t="s">
        <v>47</v>
      </c>
      <c r="U362" s="2">
        <f>P362-N362</f>
        <v>0</v>
      </c>
      <c r="W362" s="30" t="s">
        <v>52</v>
      </c>
      <c r="X362" s="6" t="s">
        <v>52</v>
      </c>
      <c r="Y362" s="2" t="s">
        <v>1586</v>
      </c>
      <c r="Z362" s="2" t="s">
        <v>73</v>
      </c>
      <c r="AA362" s="2" t="s">
        <v>1586</v>
      </c>
      <c r="AB362" s="2" t="str">
        <f>LEFT(A362,3)</f>
        <v>PAN</v>
      </c>
    </row>
    <row r="363" spans="1:28">
      <c r="A363" s="2" t="s">
        <v>1588</v>
      </c>
      <c r="B363" s="2" t="s">
        <v>978</v>
      </c>
      <c r="C363" s="2" t="s">
        <v>68</v>
      </c>
      <c r="D363" s="2" t="s">
        <v>1589</v>
      </c>
      <c r="E363" s="2" t="s">
        <v>52</v>
      </c>
      <c r="F363" s="2" t="s">
        <v>1590</v>
      </c>
      <c r="G363" s="2" t="s">
        <v>1590</v>
      </c>
      <c r="H363" s="2" t="s">
        <v>1590</v>
      </c>
      <c r="I363" s="2" t="s">
        <v>53</v>
      </c>
      <c r="J363" s="2">
        <v>307605</v>
      </c>
      <c r="K363" s="7">
        <v>379547</v>
      </c>
      <c r="L363" s="2">
        <v>165.11259999999999</v>
      </c>
      <c r="M363" s="2">
        <v>-20.779119999999999</v>
      </c>
      <c r="N363" s="2">
        <v>3</v>
      </c>
      <c r="O363" s="2">
        <v>3</v>
      </c>
      <c r="P363" s="2">
        <v>3</v>
      </c>
      <c r="Q363" s="2" t="s">
        <v>35</v>
      </c>
      <c r="R363" s="2" t="s">
        <v>1591</v>
      </c>
      <c r="S363" s="2" t="s">
        <v>47</v>
      </c>
      <c r="U363" s="2">
        <f>P363-N363</f>
        <v>0</v>
      </c>
      <c r="W363" s="30" t="s">
        <v>52</v>
      </c>
      <c r="X363" s="6" t="s">
        <v>52</v>
      </c>
      <c r="Y363" s="2" t="s">
        <v>1590</v>
      </c>
      <c r="Z363" s="2" t="s">
        <v>73</v>
      </c>
      <c r="AA363" s="2" t="s">
        <v>1590</v>
      </c>
      <c r="AB363" s="2" t="str">
        <f>LEFT(A363,3)</f>
        <v>PAO</v>
      </c>
    </row>
    <row r="364" spans="1:28">
      <c r="A364" s="6" t="s">
        <v>1592</v>
      </c>
      <c r="B364" s="6" t="s">
        <v>29</v>
      </c>
      <c r="C364" s="6" t="s">
        <v>30</v>
      </c>
      <c r="D364" s="6" t="s">
        <v>1593</v>
      </c>
      <c r="E364" s="6" t="s">
        <v>1593</v>
      </c>
      <c r="F364" s="6" t="s">
        <v>1593</v>
      </c>
      <c r="G364" s="2" t="s">
        <v>1594</v>
      </c>
      <c r="H364" s="2" t="s">
        <v>1593</v>
      </c>
      <c r="I364" s="2" t="s">
        <v>34</v>
      </c>
      <c r="J364" s="7">
        <v>446760.44179000001</v>
      </c>
      <c r="K364" s="7">
        <v>213348.10983999999</v>
      </c>
      <c r="L364" s="8">
        <v>166.45373697870701</v>
      </c>
      <c r="M364" s="8">
        <v>-22.282005792224201</v>
      </c>
      <c r="N364" s="2">
        <v>3</v>
      </c>
      <c r="O364" s="2">
        <v>6</v>
      </c>
      <c r="P364" s="2">
        <v>9</v>
      </c>
      <c r="Q364" s="2" t="s">
        <v>35</v>
      </c>
      <c r="R364" s="2" t="s">
        <v>1595</v>
      </c>
      <c r="S364" s="2" t="s">
        <v>37</v>
      </c>
      <c r="U364" s="2">
        <f>P364-N364</f>
        <v>6</v>
      </c>
      <c r="W364" s="30" t="s">
        <v>1593</v>
      </c>
      <c r="X364" s="2" t="s">
        <v>39</v>
      </c>
      <c r="Y364" s="6" t="s">
        <v>1593</v>
      </c>
      <c r="Z364" s="2" t="s">
        <v>40</v>
      </c>
      <c r="AA364" s="2" t="s">
        <v>1594</v>
      </c>
      <c r="AB364" s="2" t="str">
        <f>LEFT(A364,3)</f>
        <v>PAP</v>
      </c>
    </row>
    <row r="365" spans="1:28">
      <c r="A365" s="6" t="s">
        <v>1596</v>
      </c>
      <c r="B365" s="6" t="s">
        <v>49</v>
      </c>
      <c r="C365" s="6" t="s">
        <v>50</v>
      </c>
      <c r="D365" s="6" t="s">
        <v>1597</v>
      </c>
      <c r="E365" s="6" t="s">
        <v>1598</v>
      </c>
      <c r="F365" s="6" t="s">
        <v>1597</v>
      </c>
      <c r="G365" s="2" t="s">
        <v>1599</v>
      </c>
      <c r="H365" s="2" t="s">
        <v>1598</v>
      </c>
      <c r="I365" s="2" t="s">
        <v>34</v>
      </c>
      <c r="J365" s="7">
        <v>449317.30258000002</v>
      </c>
      <c r="K365" s="7">
        <v>221158.19456999999</v>
      </c>
      <c r="L365" s="8">
        <v>166.47831686928001</v>
      </c>
      <c r="M365" s="8">
        <v>-22.211406184969999</v>
      </c>
      <c r="N365" s="2">
        <v>3</v>
      </c>
      <c r="O365" s="2">
        <v>6</v>
      </c>
      <c r="P365" s="2">
        <v>9</v>
      </c>
      <c r="Q365" s="2" t="s">
        <v>35</v>
      </c>
      <c r="R365" s="2" t="s">
        <v>1600</v>
      </c>
      <c r="S365" s="2" t="s">
        <v>37</v>
      </c>
      <c r="U365" s="2">
        <f>P365-N365</f>
        <v>6</v>
      </c>
      <c r="W365" s="30" t="s">
        <v>1598</v>
      </c>
      <c r="X365" s="2" t="s">
        <v>39</v>
      </c>
      <c r="Y365" s="6" t="s">
        <v>1597</v>
      </c>
      <c r="Z365" s="2" t="s">
        <v>40</v>
      </c>
      <c r="AA365" s="2" t="s">
        <v>1599</v>
      </c>
      <c r="AB365" s="2" t="str">
        <f>LEFT(A365,3)</f>
        <v>PAR</v>
      </c>
    </row>
    <row r="366" spans="1:28">
      <c r="A366" s="6" t="s">
        <v>1601</v>
      </c>
      <c r="B366" s="6" t="s">
        <v>351</v>
      </c>
      <c r="C366" s="6" t="s">
        <v>129</v>
      </c>
      <c r="D366" s="6" t="s">
        <v>1602</v>
      </c>
      <c r="E366" s="6" t="s">
        <v>1602</v>
      </c>
      <c r="F366" s="6" t="s">
        <v>1603</v>
      </c>
      <c r="G366" s="6" t="s">
        <v>1603</v>
      </c>
      <c r="H366" s="2" t="s">
        <v>1602</v>
      </c>
      <c r="I366" s="2" t="s">
        <v>34</v>
      </c>
      <c r="J366" s="7">
        <v>617285.10918000003</v>
      </c>
      <c r="K366" s="7">
        <v>289590.83876000001</v>
      </c>
      <c r="L366" s="8">
        <v>168.09837963147501</v>
      </c>
      <c r="M366" s="8">
        <v>-21.580845962720701</v>
      </c>
      <c r="N366" s="2">
        <v>2</v>
      </c>
      <c r="O366" s="2">
        <v>2</v>
      </c>
      <c r="P366" s="2">
        <v>2</v>
      </c>
      <c r="Q366" s="2" t="s">
        <v>35</v>
      </c>
      <c r="R366" s="2" t="s">
        <v>1604</v>
      </c>
      <c r="S366" s="2" t="s">
        <v>47</v>
      </c>
      <c r="U366" s="2">
        <f>P366-N366</f>
        <v>0</v>
      </c>
      <c r="V366" s="2" t="s">
        <v>102</v>
      </c>
      <c r="W366" s="30" t="s">
        <v>1602</v>
      </c>
      <c r="X366" s="2" t="s">
        <v>82</v>
      </c>
      <c r="Y366" s="6" t="s">
        <v>1603</v>
      </c>
      <c r="Z366" s="2" t="s">
        <v>73</v>
      </c>
      <c r="AA366" s="6" t="s">
        <v>1603</v>
      </c>
      <c r="AB366" s="2" t="str">
        <f>LEFT(A366,3)</f>
        <v>PAT</v>
      </c>
    </row>
    <row r="367" spans="1:28">
      <c r="A367" s="6" t="s">
        <v>1605</v>
      </c>
      <c r="B367" s="6" t="s">
        <v>402</v>
      </c>
      <c r="C367" s="6" t="s">
        <v>68</v>
      </c>
      <c r="D367" s="6" t="s">
        <v>1606</v>
      </c>
      <c r="E367" s="6" t="s">
        <v>1606</v>
      </c>
      <c r="F367" s="6" t="s">
        <v>1606</v>
      </c>
      <c r="G367" s="2" t="s">
        <v>1607</v>
      </c>
      <c r="H367" s="2" t="s">
        <v>1606</v>
      </c>
      <c r="I367" s="2" t="s">
        <v>34</v>
      </c>
      <c r="J367" s="7">
        <v>354306.70684</v>
      </c>
      <c r="K367" s="7">
        <v>336707.47112</v>
      </c>
      <c r="L367" s="8">
        <v>165.559985889384</v>
      </c>
      <c r="M367" s="8">
        <v>-21.1678603381425</v>
      </c>
      <c r="N367" s="2">
        <v>3</v>
      </c>
      <c r="O367" s="2">
        <v>3</v>
      </c>
      <c r="P367" s="2">
        <v>6</v>
      </c>
      <c r="Q367" s="2" t="s">
        <v>35</v>
      </c>
      <c r="R367" s="2" t="s">
        <v>1608</v>
      </c>
      <c r="S367" s="2" t="s">
        <v>47</v>
      </c>
      <c r="U367" s="2">
        <f>P367-N367</f>
        <v>3</v>
      </c>
      <c r="W367" s="30" t="s">
        <v>1606</v>
      </c>
      <c r="X367" s="2" t="s">
        <v>82</v>
      </c>
      <c r="Y367" s="6" t="s">
        <v>1606</v>
      </c>
      <c r="Z367" s="2" t="s">
        <v>73</v>
      </c>
      <c r="AA367" s="2" t="s">
        <v>1607</v>
      </c>
      <c r="AB367" s="2" t="str">
        <f>LEFT(A367,3)</f>
        <v>PBA</v>
      </c>
    </row>
    <row r="368" spans="1:28">
      <c r="A368" s="6" t="s">
        <v>1609</v>
      </c>
      <c r="B368" s="2" t="s">
        <v>614</v>
      </c>
      <c r="C368" s="2" t="s">
        <v>43</v>
      </c>
      <c r="D368" s="6" t="s">
        <v>1610</v>
      </c>
      <c r="E368" s="2" t="s">
        <v>1610</v>
      </c>
      <c r="F368" s="2" t="s">
        <v>1610</v>
      </c>
      <c r="G368" s="2" t="s">
        <v>1611</v>
      </c>
      <c r="H368" s="2" t="s">
        <v>1610</v>
      </c>
      <c r="I368" s="2" t="s">
        <v>34</v>
      </c>
      <c r="J368" s="7">
        <v>376282</v>
      </c>
      <c r="K368" s="7">
        <v>282926</v>
      </c>
      <c r="L368" s="8">
        <v>165.770840947491</v>
      </c>
      <c r="M368" s="8">
        <v>-21.654061409319802</v>
      </c>
      <c r="N368" s="2">
        <v>3</v>
      </c>
      <c r="O368" s="2">
        <v>3</v>
      </c>
      <c r="P368" s="2">
        <f>N368</f>
        <v>3</v>
      </c>
      <c r="Q368" s="2" t="s">
        <v>35</v>
      </c>
      <c r="R368" s="2" t="s">
        <v>1612</v>
      </c>
      <c r="S368" s="2" t="s">
        <v>47</v>
      </c>
      <c r="U368" s="2">
        <f>P368-N368</f>
        <v>0</v>
      </c>
      <c r="W368" s="30" t="s">
        <v>1610</v>
      </c>
      <c r="X368" s="2" t="s">
        <v>39</v>
      </c>
      <c r="Y368" s="2" t="s">
        <v>1610</v>
      </c>
      <c r="Z368" s="2" t="s">
        <v>40</v>
      </c>
      <c r="AA368" s="2" t="s">
        <v>1611</v>
      </c>
      <c r="AB368" s="2" t="str">
        <f>LEFT(A368,3)</f>
        <v>PBC</v>
      </c>
    </row>
    <row r="369" spans="1:28">
      <c r="A369" s="6" t="s">
        <v>1613</v>
      </c>
      <c r="B369" s="6" t="s">
        <v>67</v>
      </c>
      <c r="C369" s="6" t="s">
        <v>68</v>
      </c>
      <c r="D369" s="6" t="s">
        <v>1614</v>
      </c>
      <c r="E369" s="6" t="s">
        <v>52</v>
      </c>
      <c r="F369" s="6" t="s">
        <v>1614</v>
      </c>
      <c r="G369" s="6" t="s">
        <v>1614</v>
      </c>
      <c r="H369" s="6" t="s">
        <v>1614</v>
      </c>
      <c r="I369" s="2" t="s">
        <v>53</v>
      </c>
      <c r="J369" s="7">
        <v>284813</v>
      </c>
      <c r="K369" s="7">
        <v>343923</v>
      </c>
      <c r="L369" s="8">
        <v>164.89128099999999</v>
      </c>
      <c r="M369" s="8">
        <v>-21.099571999999998</v>
      </c>
      <c r="N369" s="2">
        <v>3</v>
      </c>
      <c r="O369" s="2">
        <v>6</v>
      </c>
      <c r="P369" s="2">
        <v>9</v>
      </c>
      <c r="Q369" s="2" t="s">
        <v>35</v>
      </c>
      <c r="R369" s="2" t="s">
        <v>1615</v>
      </c>
      <c r="S369" s="2" t="s">
        <v>37</v>
      </c>
      <c r="U369" s="2">
        <f>P369-N369</f>
        <v>6</v>
      </c>
      <c r="W369" s="30" t="s">
        <v>52</v>
      </c>
      <c r="X369" s="2" t="s">
        <v>52</v>
      </c>
      <c r="Y369" s="6" t="s">
        <v>1614</v>
      </c>
      <c r="Z369" s="2" t="s">
        <v>73</v>
      </c>
      <c r="AA369" s="6" t="s">
        <v>1614</v>
      </c>
      <c r="AB369" s="2" t="str">
        <f>LEFT(A369,3)</f>
        <v>PBE</v>
      </c>
    </row>
    <row r="370" spans="1:28">
      <c r="A370" s="6" t="s">
        <v>1616</v>
      </c>
      <c r="B370" s="6" t="s">
        <v>297</v>
      </c>
      <c r="C370" s="6" t="s">
        <v>68</v>
      </c>
      <c r="D370" s="6" t="s">
        <v>297</v>
      </c>
      <c r="E370" s="6" t="s">
        <v>297</v>
      </c>
      <c r="F370" s="6" t="s">
        <v>297</v>
      </c>
      <c r="G370" s="2" t="s">
        <v>1617</v>
      </c>
      <c r="H370" s="2" t="s">
        <v>297</v>
      </c>
      <c r="I370" s="2" t="s">
        <v>34</v>
      </c>
      <c r="J370" s="7">
        <v>252498.02879000001</v>
      </c>
      <c r="K370" s="7">
        <v>421347.10720999999</v>
      </c>
      <c r="L370" s="8">
        <v>164.58698856469999</v>
      </c>
      <c r="M370" s="8">
        <v>-20.397914045869399</v>
      </c>
      <c r="N370" s="2">
        <v>2</v>
      </c>
      <c r="O370" s="2">
        <v>2</v>
      </c>
      <c r="P370" s="2">
        <f>N370</f>
        <v>2</v>
      </c>
      <c r="Q370" s="2" t="s">
        <v>35</v>
      </c>
      <c r="R370" s="2" t="s">
        <v>1618</v>
      </c>
      <c r="S370" s="2" t="s">
        <v>47</v>
      </c>
      <c r="U370" s="2">
        <f>P370-N370</f>
        <v>0</v>
      </c>
      <c r="W370" s="30" t="s">
        <v>297</v>
      </c>
      <c r="X370" s="2" t="s">
        <v>82</v>
      </c>
      <c r="Y370" s="6" t="s">
        <v>297</v>
      </c>
      <c r="Z370" s="2" t="s">
        <v>73</v>
      </c>
      <c r="AA370" s="2" t="s">
        <v>1617</v>
      </c>
      <c r="AB370" s="2" t="str">
        <f>LEFT(A370,3)</f>
        <v>PBO</v>
      </c>
    </row>
    <row r="371" spans="1:28">
      <c r="A371" s="6" t="s">
        <v>1619</v>
      </c>
      <c r="B371" s="6" t="s">
        <v>49</v>
      </c>
      <c r="C371" s="6" t="s">
        <v>50</v>
      </c>
      <c r="D371" s="6" t="s">
        <v>647</v>
      </c>
      <c r="E371" s="6" t="s">
        <v>647</v>
      </c>
      <c r="F371" s="6" t="s">
        <v>647</v>
      </c>
      <c r="G371" s="2" t="s">
        <v>1620</v>
      </c>
      <c r="H371" s="2" t="s">
        <v>647</v>
      </c>
      <c r="I371" s="2" t="s">
        <v>34</v>
      </c>
      <c r="J371" s="7">
        <v>446624.55657999997</v>
      </c>
      <c r="K371" s="7">
        <v>222458.32391000001</v>
      </c>
      <c r="L371" s="8">
        <v>166.45217131702901</v>
      </c>
      <c r="M371" s="8">
        <v>-22.199738295306499</v>
      </c>
      <c r="N371" s="2">
        <v>2</v>
      </c>
      <c r="O371" s="2">
        <v>4</v>
      </c>
      <c r="P371" s="2">
        <f>N371</f>
        <v>2</v>
      </c>
      <c r="Q371" s="2" t="s">
        <v>35</v>
      </c>
      <c r="R371" s="2" t="s">
        <v>1621</v>
      </c>
      <c r="S371" s="2" t="s">
        <v>37</v>
      </c>
      <c r="U371" s="2">
        <f>P371-N371</f>
        <v>0</v>
      </c>
      <c r="W371" s="30" t="s">
        <v>52</v>
      </c>
      <c r="X371" s="2" t="s">
        <v>39</v>
      </c>
      <c r="Y371" s="6" t="s">
        <v>647</v>
      </c>
      <c r="Z371" s="2" t="s">
        <v>40</v>
      </c>
      <c r="AA371" s="2" t="s">
        <v>1620</v>
      </c>
      <c r="AB371" s="2" t="str">
        <f>LEFT(A371,3)</f>
        <v>PBR</v>
      </c>
    </row>
    <row r="372" spans="1:28">
      <c r="A372" s="2" t="s">
        <v>1622</v>
      </c>
      <c r="B372" s="2" t="s">
        <v>178</v>
      </c>
      <c r="C372" s="2" t="s">
        <v>68</v>
      </c>
      <c r="D372" s="2" t="s">
        <v>178</v>
      </c>
      <c r="E372" s="2" t="s">
        <v>52</v>
      </c>
      <c r="F372" s="2" t="s">
        <v>70</v>
      </c>
      <c r="G372" s="2" t="s">
        <v>70</v>
      </c>
      <c r="H372" s="2" t="s">
        <v>70</v>
      </c>
      <c r="I372" s="2" t="s">
        <v>53</v>
      </c>
      <c r="J372" s="7">
        <v>285712</v>
      </c>
      <c r="K372" s="7">
        <v>341280</v>
      </c>
      <c r="L372" s="9">
        <v>164.89975999999999</v>
      </c>
      <c r="M372" s="9">
        <v>-21.1235</v>
      </c>
      <c r="N372" s="2">
        <v>2</v>
      </c>
      <c r="O372" s="2">
        <v>2</v>
      </c>
      <c r="P372" s="2">
        <v>2</v>
      </c>
      <c r="Q372" s="2" t="s">
        <v>35</v>
      </c>
      <c r="R372" s="2" t="s">
        <v>1623</v>
      </c>
      <c r="S372" s="2" t="s">
        <v>37</v>
      </c>
      <c r="U372" s="2">
        <f>P372-N372</f>
        <v>0</v>
      </c>
      <c r="W372" s="30" t="s">
        <v>52</v>
      </c>
      <c r="X372" s="6" t="s">
        <v>52</v>
      </c>
      <c r="Y372" s="2" t="s">
        <v>70</v>
      </c>
      <c r="Z372" s="2" t="s">
        <v>73</v>
      </c>
      <c r="AA372" s="2" t="s">
        <v>70</v>
      </c>
      <c r="AB372" s="2" t="str">
        <f>LEFT(A372,3)</f>
        <v>PBT</v>
      </c>
    </row>
    <row r="373" spans="1:28">
      <c r="A373" s="2" t="s">
        <v>1624</v>
      </c>
      <c r="B373" s="2" t="s">
        <v>173</v>
      </c>
      <c r="C373" s="2" t="s">
        <v>68</v>
      </c>
      <c r="D373" s="6" t="s">
        <v>1625</v>
      </c>
      <c r="E373" s="6" t="s">
        <v>1625</v>
      </c>
      <c r="F373" s="6" t="s">
        <v>1625</v>
      </c>
      <c r="G373" s="2" t="s">
        <v>1626</v>
      </c>
      <c r="H373" s="6" t="s">
        <v>1625</v>
      </c>
      <c r="I373" s="2" t="s">
        <v>145</v>
      </c>
      <c r="J373" s="7">
        <v>156455</v>
      </c>
      <c r="K373" s="7">
        <v>492097</v>
      </c>
      <c r="L373" s="9">
        <v>163.67711399999999</v>
      </c>
      <c r="M373" s="8">
        <v>-19.748640999999999</v>
      </c>
      <c r="N373" s="2">
        <v>2</v>
      </c>
      <c r="O373" s="2">
        <v>2</v>
      </c>
      <c r="P373" s="2">
        <f>N373</f>
        <v>2</v>
      </c>
      <c r="Q373" s="2" t="s">
        <v>587</v>
      </c>
      <c r="R373" s="2" t="s">
        <v>1627</v>
      </c>
      <c r="S373" s="2" t="s">
        <v>47</v>
      </c>
      <c r="U373" s="2">
        <f>P373-N373</f>
        <v>0</v>
      </c>
      <c r="W373" s="30" t="s">
        <v>1625</v>
      </c>
      <c r="X373" s="2" t="s">
        <v>82</v>
      </c>
      <c r="Y373" s="6" t="s">
        <v>1625</v>
      </c>
      <c r="Z373" s="2" t="s">
        <v>73</v>
      </c>
      <c r="AA373" s="2" t="s">
        <v>1626</v>
      </c>
      <c r="AB373" s="2" t="str">
        <f>LEFT(A373,3)</f>
        <v>PBW</v>
      </c>
    </row>
    <row r="374" spans="1:28">
      <c r="A374" s="6" t="s">
        <v>1628</v>
      </c>
      <c r="B374" s="6" t="s">
        <v>148</v>
      </c>
      <c r="C374" s="6" t="s">
        <v>68</v>
      </c>
      <c r="D374" s="6" t="s">
        <v>1629</v>
      </c>
      <c r="E374" s="6" t="s">
        <v>52</v>
      </c>
      <c r="F374" s="6" t="s">
        <v>1630</v>
      </c>
      <c r="G374" s="6" t="s">
        <v>1630</v>
      </c>
      <c r="H374" s="6" t="s">
        <v>1630</v>
      </c>
      <c r="I374" s="2" t="s">
        <v>53</v>
      </c>
      <c r="J374" s="7">
        <v>317603</v>
      </c>
      <c r="K374" s="15">
        <v>304746</v>
      </c>
      <c r="L374" s="8">
        <v>165.204973</v>
      </c>
      <c r="M374" s="8">
        <v>-21.455238999999999</v>
      </c>
      <c r="N374" s="2">
        <v>3</v>
      </c>
      <c r="O374" s="2">
        <v>3</v>
      </c>
      <c r="P374" s="2">
        <v>3</v>
      </c>
      <c r="Q374" s="2" t="s">
        <v>35</v>
      </c>
      <c r="R374" s="2" t="s">
        <v>1631</v>
      </c>
      <c r="S374" s="2" t="s">
        <v>47</v>
      </c>
      <c r="U374" s="2">
        <f>P374-N374</f>
        <v>0</v>
      </c>
      <c r="W374" s="30" t="s">
        <v>52</v>
      </c>
      <c r="X374" s="2" t="s">
        <v>52</v>
      </c>
      <c r="Y374" s="6" t="s">
        <v>1630</v>
      </c>
      <c r="Z374" s="2" t="s">
        <v>73</v>
      </c>
      <c r="AA374" s="6" t="s">
        <v>1630</v>
      </c>
      <c r="AB374" s="2" t="str">
        <f>LEFT(A374,3)</f>
        <v>PBY</v>
      </c>
    </row>
    <row r="375" spans="1:28">
      <c r="A375" s="2" t="s">
        <v>1632</v>
      </c>
      <c r="B375" s="6" t="s">
        <v>67</v>
      </c>
      <c r="C375" s="2" t="s">
        <v>68</v>
      </c>
      <c r="D375" s="6" t="s">
        <v>1633</v>
      </c>
      <c r="E375" s="2" t="s">
        <v>52</v>
      </c>
      <c r="F375" s="6" t="s">
        <v>1412</v>
      </c>
      <c r="G375" s="6" t="s">
        <v>1412</v>
      </c>
      <c r="H375" s="6" t="s">
        <v>1412</v>
      </c>
      <c r="I375" s="2" t="s">
        <v>53</v>
      </c>
      <c r="J375" s="7">
        <v>291622</v>
      </c>
      <c r="K375" s="7">
        <v>350941</v>
      </c>
      <c r="L375" s="9">
        <v>164.95726999999999</v>
      </c>
      <c r="M375" s="9">
        <v>-21.03661</v>
      </c>
      <c r="N375" s="2">
        <v>2</v>
      </c>
      <c r="O375" s="2">
        <v>2</v>
      </c>
      <c r="P375" s="2">
        <v>2</v>
      </c>
      <c r="Q375" s="2" t="s">
        <v>35</v>
      </c>
      <c r="R375" s="2" t="s">
        <v>1634</v>
      </c>
      <c r="S375" s="2" t="s">
        <v>47</v>
      </c>
      <c r="U375" s="2">
        <f>P375-N375</f>
        <v>0</v>
      </c>
      <c r="W375" s="30" t="s">
        <v>52</v>
      </c>
      <c r="X375" s="6" t="s">
        <v>52</v>
      </c>
      <c r="Y375" s="6" t="s">
        <v>1412</v>
      </c>
      <c r="Z375" s="2" t="s">
        <v>73</v>
      </c>
      <c r="AA375" s="6" t="s">
        <v>1412</v>
      </c>
      <c r="AB375" s="2" t="str">
        <f>LEFT(A375,3)</f>
        <v>PDA</v>
      </c>
    </row>
    <row r="376" spans="1:28">
      <c r="A376" s="2" t="s">
        <v>1635</v>
      </c>
      <c r="B376" s="6" t="s">
        <v>29</v>
      </c>
      <c r="C376" s="2" t="s">
        <v>30</v>
      </c>
      <c r="D376" s="6" t="s">
        <v>1341</v>
      </c>
      <c r="E376" s="2" t="s">
        <v>52</v>
      </c>
      <c r="F376" s="6" t="s">
        <v>1341</v>
      </c>
      <c r="G376" s="6" t="s">
        <v>1341</v>
      </c>
      <c r="H376" s="6" t="s">
        <v>1341</v>
      </c>
      <c r="I376" s="2" t="s">
        <v>53</v>
      </c>
      <c r="J376" s="7">
        <v>450100</v>
      </c>
      <c r="K376" s="7">
        <v>220028</v>
      </c>
      <c r="L376" s="9">
        <v>166.48594499999999</v>
      </c>
      <c r="M376" s="9">
        <v>-22.221589000000002</v>
      </c>
      <c r="N376" s="2">
        <v>2</v>
      </c>
      <c r="O376" s="2">
        <v>2</v>
      </c>
      <c r="P376" s="2">
        <v>2</v>
      </c>
      <c r="Q376" s="2" t="s">
        <v>35</v>
      </c>
      <c r="R376" s="2" t="s">
        <v>1636</v>
      </c>
      <c r="S376" s="2" t="s">
        <v>37</v>
      </c>
      <c r="U376" s="2">
        <f>P376-N376</f>
        <v>0</v>
      </c>
      <c r="W376" s="30" t="s">
        <v>52</v>
      </c>
      <c r="X376" s="6" t="s">
        <v>52</v>
      </c>
      <c r="Y376" s="6" t="s">
        <v>1341</v>
      </c>
      <c r="Z376" s="2" t="s">
        <v>40</v>
      </c>
      <c r="AA376" s="6" t="s">
        <v>1341</v>
      </c>
      <c r="AB376" s="2" t="str">
        <f>LEFT(A376,3)</f>
        <v>PDF</v>
      </c>
    </row>
    <row r="377" spans="1:28">
      <c r="A377" s="2" t="s">
        <v>1637</v>
      </c>
      <c r="B377" s="6" t="s">
        <v>49</v>
      </c>
      <c r="C377" s="2" t="s">
        <v>50</v>
      </c>
      <c r="D377" s="6" t="s">
        <v>1638</v>
      </c>
      <c r="E377" s="2" t="s">
        <v>52</v>
      </c>
      <c r="F377" s="6" t="s">
        <v>1638</v>
      </c>
      <c r="G377" s="6" t="s">
        <v>1638</v>
      </c>
      <c r="H377" s="6" t="s">
        <v>1638</v>
      </c>
      <c r="I377" s="2" t="s">
        <v>53</v>
      </c>
      <c r="J377" s="7">
        <v>452597</v>
      </c>
      <c r="K377" s="7">
        <v>230411</v>
      </c>
      <c r="L377" s="9">
        <v>166.50983600000001</v>
      </c>
      <c r="M377" s="9">
        <v>-22.127748</v>
      </c>
      <c r="N377" s="2">
        <v>3</v>
      </c>
      <c r="O377" s="2">
        <v>3</v>
      </c>
      <c r="P377" s="2">
        <v>3</v>
      </c>
      <c r="Q377" s="2" t="s">
        <v>35</v>
      </c>
      <c r="R377" s="2" t="s">
        <v>1639</v>
      </c>
      <c r="S377" s="2" t="s">
        <v>47</v>
      </c>
      <c r="U377" s="2">
        <f>P377-N377</f>
        <v>0</v>
      </c>
      <c r="W377" s="30" t="s">
        <v>52</v>
      </c>
      <c r="X377" s="6" t="s">
        <v>52</v>
      </c>
      <c r="Y377" s="6" t="s">
        <v>1638</v>
      </c>
      <c r="Z377" s="2" t="s">
        <v>40</v>
      </c>
      <c r="AA377" s="6" t="s">
        <v>1638</v>
      </c>
      <c r="AB377" s="2" t="str">
        <f>LEFT(A377,3)</f>
        <v>PDH</v>
      </c>
    </row>
    <row r="378" spans="1:28">
      <c r="A378" s="6" t="s">
        <v>1640</v>
      </c>
      <c r="B378" s="6" t="s">
        <v>79</v>
      </c>
      <c r="C378" s="6" t="s">
        <v>68</v>
      </c>
      <c r="D378" s="6" t="s">
        <v>1641</v>
      </c>
      <c r="E378" s="6" t="s">
        <v>1641</v>
      </c>
      <c r="F378" s="6" t="s">
        <v>1642</v>
      </c>
      <c r="G378" s="2" t="s">
        <v>1642</v>
      </c>
      <c r="H378" s="2" t="s">
        <v>1642</v>
      </c>
      <c r="I378" s="2" t="s">
        <v>53</v>
      </c>
      <c r="J378" s="7">
        <v>337655.20288</v>
      </c>
      <c r="K378" s="7">
        <v>349323.23664999998</v>
      </c>
      <c r="L378" s="8">
        <v>165.400098162912</v>
      </c>
      <c r="M378" s="8">
        <v>-21.053404665409499</v>
      </c>
      <c r="N378" s="2">
        <v>3</v>
      </c>
      <c r="O378" s="2">
        <v>3</v>
      </c>
      <c r="P378" s="2">
        <v>6</v>
      </c>
      <c r="Q378" s="2" t="s">
        <v>35</v>
      </c>
      <c r="R378" s="2" t="s">
        <v>1643</v>
      </c>
      <c r="S378" s="2" t="s">
        <v>47</v>
      </c>
      <c r="U378" s="2">
        <f>P378-N378</f>
        <v>3</v>
      </c>
      <c r="W378" s="30" t="s">
        <v>1641</v>
      </c>
      <c r="X378" s="2" t="s">
        <v>82</v>
      </c>
      <c r="Y378" s="2" t="s">
        <v>1642</v>
      </c>
      <c r="Z378" s="2" t="s">
        <v>73</v>
      </c>
      <c r="AA378" s="2" t="s">
        <v>1642</v>
      </c>
      <c r="AB378" s="2" t="str">
        <f>LEFT(A378,3)</f>
        <v>PEC</v>
      </c>
    </row>
    <row r="379" spans="1:28">
      <c r="A379" s="6" t="s">
        <v>1644</v>
      </c>
      <c r="B379" s="6" t="s">
        <v>351</v>
      </c>
      <c r="C379" s="6" t="s">
        <v>129</v>
      </c>
      <c r="D379" s="6" t="s">
        <v>502</v>
      </c>
      <c r="E379" s="6" t="s">
        <v>502</v>
      </c>
      <c r="F379" s="6" t="s">
        <v>502</v>
      </c>
      <c r="G379" s="2" t="s">
        <v>503</v>
      </c>
      <c r="H379" s="2" t="s">
        <v>502</v>
      </c>
      <c r="I379" s="2" t="s">
        <v>34</v>
      </c>
      <c r="J379" s="7">
        <v>616117.51989</v>
      </c>
      <c r="K379" s="7">
        <v>290845.57303999999</v>
      </c>
      <c r="L379" s="8">
        <v>168.08694915127001</v>
      </c>
      <c r="M379" s="8">
        <v>-21.569652466585399</v>
      </c>
      <c r="N379" s="2">
        <v>2</v>
      </c>
      <c r="O379" s="2">
        <v>2</v>
      </c>
      <c r="P379" s="2">
        <v>2</v>
      </c>
      <c r="Q379" s="2" t="s">
        <v>35</v>
      </c>
      <c r="R379" s="2" t="s">
        <v>1645</v>
      </c>
      <c r="S379" s="2" t="s">
        <v>47</v>
      </c>
      <c r="U379" s="2">
        <f>P379-N379</f>
        <v>0</v>
      </c>
      <c r="W379" s="30" t="s">
        <v>502</v>
      </c>
      <c r="X379" s="2" t="s">
        <v>82</v>
      </c>
      <c r="Y379" s="6" t="s">
        <v>502</v>
      </c>
      <c r="Z379" s="2" t="s">
        <v>73</v>
      </c>
      <c r="AA379" s="2" t="s">
        <v>503</v>
      </c>
      <c r="AB379" s="2" t="str">
        <f>LEFT(A379,3)</f>
        <v>PEN</v>
      </c>
    </row>
    <row r="380" spans="1:28">
      <c r="A380" s="2" t="s">
        <v>1646</v>
      </c>
      <c r="B380" s="2" t="s">
        <v>29</v>
      </c>
      <c r="C380" s="2" t="s">
        <v>30</v>
      </c>
      <c r="D380" s="2" t="s">
        <v>1647</v>
      </c>
      <c r="E380" s="2" t="s">
        <v>1647</v>
      </c>
      <c r="F380" s="2" t="s">
        <v>1647</v>
      </c>
      <c r="G380" s="2" t="s">
        <v>1648</v>
      </c>
      <c r="H380" s="2" t="s">
        <v>1647</v>
      </c>
      <c r="I380" s="2" t="s">
        <v>34</v>
      </c>
      <c r="J380" s="7">
        <v>449916</v>
      </c>
      <c r="K380" s="7">
        <v>219060</v>
      </c>
      <c r="L380" s="9">
        <v>166.48418945165801</v>
      </c>
      <c r="M380" s="8">
        <v>-22.2303363735723</v>
      </c>
      <c r="N380" s="2">
        <v>3</v>
      </c>
      <c r="O380" s="2">
        <v>9</v>
      </c>
      <c r="P380" s="2">
        <v>6</v>
      </c>
      <c r="Q380" s="2" t="s">
        <v>35</v>
      </c>
      <c r="R380" s="2" t="s">
        <v>1649</v>
      </c>
      <c r="S380" s="2" t="s">
        <v>37</v>
      </c>
      <c r="U380" s="2">
        <f>P380-N380</f>
        <v>3</v>
      </c>
      <c r="V380" s="2" t="s">
        <v>38</v>
      </c>
      <c r="W380" s="30" t="s">
        <v>1647</v>
      </c>
      <c r="X380" s="2" t="s">
        <v>39</v>
      </c>
      <c r="Y380" s="2" t="s">
        <v>1647</v>
      </c>
      <c r="Z380" s="2" t="s">
        <v>40</v>
      </c>
      <c r="AA380" s="2" t="s">
        <v>1648</v>
      </c>
      <c r="AB380" s="2" t="str">
        <f>LEFT(A380,3)</f>
        <v>PEP</v>
      </c>
    </row>
    <row r="381" spans="1:28">
      <c r="A381" s="6" t="s">
        <v>1650</v>
      </c>
      <c r="B381" s="6" t="s">
        <v>562</v>
      </c>
      <c r="C381" s="6" t="s">
        <v>43</v>
      </c>
      <c r="D381" s="6" t="s">
        <v>1651</v>
      </c>
      <c r="E381" s="6" t="s">
        <v>1651</v>
      </c>
      <c r="F381" s="6" t="s">
        <v>1652</v>
      </c>
      <c r="G381" s="6" t="s">
        <v>1652</v>
      </c>
      <c r="H381" s="6" t="s">
        <v>1652</v>
      </c>
      <c r="I381" s="2" t="s">
        <v>53</v>
      </c>
      <c r="J381" s="7">
        <v>420710</v>
      </c>
      <c r="K381" s="7">
        <v>284648</v>
      </c>
      <c r="L381" s="8">
        <v>166.20007000000001</v>
      </c>
      <c r="M381" s="8">
        <v>-21.638545000000001</v>
      </c>
      <c r="N381" s="2">
        <v>3</v>
      </c>
      <c r="O381" s="2">
        <v>3</v>
      </c>
      <c r="P381" s="2">
        <v>6</v>
      </c>
      <c r="Q381" s="2" t="s">
        <v>35</v>
      </c>
      <c r="R381" s="2" t="s">
        <v>1653</v>
      </c>
      <c r="S381" s="2" t="s">
        <v>47</v>
      </c>
      <c r="U381" s="2">
        <f>P381-N381</f>
        <v>3</v>
      </c>
      <c r="W381" s="30" t="s">
        <v>1651</v>
      </c>
      <c r="X381" s="2" t="s">
        <v>39</v>
      </c>
      <c r="Y381" s="6" t="s">
        <v>1652</v>
      </c>
      <c r="Z381" s="2" t="s">
        <v>40</v>
      </c>
      <c r="AA381" s="2" t="s">
        <v>1652</v>
      </c>
      <c r="AB381" s="2" t="str">
        <f>LEFT(A381,3)</f>
        <v>PET</v>
      </c>
    </row>
    <row r="382" spans="1:28">
      <c r="A382" s="2" t="s">
        <v>1654</v>
      </c>
      <c r="B382" s="2" t="s">
        <v>614</v>
      </c>
      <c r="C382" s="2" t="s">
        <v>43</v>
      </c>
      <c r="D382" s="6" t="s">
        <v>1655</v>
      </c>
      <c r="E382" s="2" t="s">
        <v>52</v>
      </c>
      <c r="F382" s="6" t="s">
        <v>1656</v>
      </c>
      <c r="G382" s="6" t="s">
        <v>1656</v>
      </c>
      <c r="H382" s="6" t="s">
        <v>1656</v>
      </c>
      <c r="I382" s="6" t="s">
        <v>53</v>
      </c>
      <c r="J382" s="7">
        <v>376086</v>
      </c>
      <c r="K382" s="7">
        <v>286670</v>
      </c>
      <c r="L382" s="18">
        <v>165.76900000000001</v>
      </c>
      <c r="M382" s="8">
        <v>-21.620239999999999</v>
      </c>
      <c r="N382" s="2">
        <v>2</v>
      </c>
      <c r="O382" s="2">
        <v>2</v>
      </c>
      <c r="P382" s="2">
        <v>2</v>
      </c>
      <c r="Q382" s="2" t="s">
        <v>195</v>
      </c>
      <c r="R382" s="2" t="s">
        <v>1657</v>
      </c>
      <c r="S382" s="2" t="s">
        <v>47</v>
      </c>
      <c r="U382" s="2">
        <v>0</v>
      </c>
      <c r="W382" s="30" t="s">
        <v>52</v>
      </c>
      <c r="X382" s="6" t="s">
        <v>52</v>
      </c>
      <c r="Y382" s="6" t="s">
        <v>1656</v>
      </c>
      <c r="Z382" s="2" t="s">
        <v>40</v>
      </c>
      <c r="AA382" s="6" t="s">
        <v>1656</v>
      </c>
      <c r="AB382" s="2" t="str">
        <f>LEFT(A382,3)</f>
        <v>PGF</v>
      </c>
    </row>
    <row r="383" spans="1:28">
      <c r="A383" s="6" t="s">
        <v>1658</v>
      </c>
      <c r="B383" s="6" t="s">
        <v>123</v>
      </c>
      <c r="C383" s="6" t="s">
        <v>68</v>
      </c>
      <c r="D383" s="6" t="s">
        <v>1659</v>
      </c>
      <c r="E383" s="6" t="s">
        <v>1660</v>
      </c>
      <c r="F383" s="6" t="s">
        <v>1661</v>
      </c>
      <c r="G383" s="6" t="s">
        <v>1661</v>
      </c>
      <c r="H383" s="2" t="s">
        <v>123</v>
      </c>
      <c r="I383" s="2" t="s">
        <v>34</v>
      </c>
      <c r="J383" s="7">
        <v>193776.92501000001</v>
      </c>
      <c r="K383" s="7">
        <v>455371.00597</v>
      </c>
      <c r="L383" s="8">
        <v>164.02862567355001</v>
      </c>
      <c r="M383" s="8">
        <v>-20.0848995765217</v>
      </c>
      <c r="N383" s="2">
        <v>3</v>
      </c>
      <c r="O383" s="2">
        <v>3</v>
      </c>
      <c r="P383" s="2">
        <v>3</v>
      </c>
      <c r="Q383" s="2" t="s">
        <v>195</v>
      </c>
      <c r="R383" s="2" t="s">
        <v>1662</v>
      </c>
      <c r="S383" s="2" t="s">
        <v>47</v>
      </c>
      <c r="U383" s="2">
        <f>P383-N383</f>
        <v>0</v>
      </c>
      <c r="W383" s="30" t="s">
        <v>1660</v>
      </c>
      <c r="X383" s="2" t="s">
        <v>82</v>
      </c>
      <c r="Y383" s="6" t="s">
        <v>1661</v>
      </c>
      <c r="Z383" s="2" t="s">
        <v>73</v>
      </c>
      <c r="AA383" s="6" t="s">
        <v>1661</v>
      </c>
      <c r="AB383" s="2" t="str">
        <f>LEFT(A383,3)</f>
        <v>PGM</v>
      </c>
    </row>
    <row r="384" spans="1:28">
      <c r="A384" s="6" t="s">
        <v>1663</v>
      </c>
      <c r="B384" s="6" t="s">
        <v>128</v>
      </c>
      <c r="C384" s="6" t="s">
        <v>129</v>
      </c>
      <c r="D384" s="6" t="s">
        <v>1664</v>
      </c>
      <c r="E384" s="6" t="s">
        <v>52</v>
      </c>
      <c r="F384" s="6" t="s">
        <v>1665</v>
      </c>
      <c r="G384" s="6" t="s">
        <v>1665</v>
      </c>
      <c r="H384" s="6" t="s">
        <v>1665</v>
      </c>
      <c r="I384" s="2" t="s">
        <v>53</v>
      </c>
      <c r="J384" s="7">
        <v>458376</v>
      </c>
      <c r="K384" s="7">
        <v>390801</v>
      </c>
      <c r="L384" s="8">
        <v>166.560281</v>
      </c>
      <c r="M384" s="8">
        <v>-20.678888000000001</v>
      </c>
      <c r="N384" s="2">
        <v>3</v>
      </c>
      <c r="O384" s="2">
        <v>3</v>
      </c>
      <c r="P384" s="2">
        <v>3</v>
      </c>
      <c r="Q384" s="2" t="s">
        <v>35</v>
      </c>
      <c r="R384" s="2" t="s">
        <v>1666</v>
      </c>
      <c r="S384" s="2" t="s">
        <v>47</v>
      </c>
      <c r="U384" s="2">
        <f>P384-N384</f>
        <v>0</v>
      </c>
      <c r="W384" s="30" t="s">
        <v>52</v>
      </c>
      <c r="X384" s="2" t="s">
        <v>52</v>
      </c>
      <c r="Y384" s="6" t="s">
        <v>1665</v>
      </c>
      <c r="Z384" s="2" t="s">
        <v>73</v>
      </c>
      <c r="AA384" s="6" t="s">
        <v>1665</v>
      </c>
      <c r="AB384" s="2" t="str">
        <f>LEFT(A384,3)</f>
        <v>PGR</v>
      </c>
    </row>
    <row r="385" spans="1:28">
      <c r="A385" s="2" t="s">
        <v>1667</v>
      </c>
      <c r="B385" s="2" t="s">
        <v>29</v>
      </c>
      <c r="C385" s="2" t="s">
        <v>30</v>
      </c>
      <c r="D385" s="6" t="s">
        <v>1668</v>
      </c>
      <c r="E385" s="2" t="s">
        <v>52</v>
      </c>
      <c r="F385" s="6" t="s">
        <v>1669</v>
      </c>
      <c r="G385" s="6" t="s">
        <v>1669</v>
      </c>
      <c r="H385" s="6" t="s">
        <v>1669</v>
      </c>
      <c r="I385" s="2" t="s">
        <v>53</v>
      </c>
      <c r="J385" s="7">
        <v>448059</v>
      </c>
      <c r="K385" s="7">
        <v>191658</v>
      </c>
      <c r="L385" s="9">
        <v>166.46697</v>
      </c>
      <c r="M385" s="8">
        <v>-22.47784</v>
      </c>
      <c r="N385" s="2">
        <v>3</v>
      </c>
      <c r="O385" s="2">
        <v>3</v>
      </c>
      <c r="P385" s="2">
        <v>3</v>
      </c>
      <c r="Q385" s="2" t="s">
        <v>35</v>
      </c>
      <c r="R385" s="2" t="s">
        <v>1670</v>
      </c>
      <c r="S385" s="2" t="s">
        <v>47</v>
      </c>
      <c r="U385" s="2">
        <f>P385-N385</f>
        <v>0</v>
      </c>
      <c r="W385" s="30" t="s">
        <v>52</v>
      </c>
      <c r="X385" s="6" t="s">
        <v>52</v>
      </c>
      <c r="Y385" s="6" t="s">
        <v>1669</v>
      </c>
      <c r="Z385" s="2" t="s">
        <v>40</v>
      </c>
      <c r="AA385" s="6" t="s">
        <v>1669</v>
      </c>
      <c r="AB385" s="2" t="str">
        <f>LEFT(A385,3)</f>
        <v>PHA</v>
      </c>
    </row>
    <row r="386" spans="1:28">
      <c r="A386" s="2" t="s">
        <v>1671</v>
      </c>
      <c r="B386" s="2" t="s">
        <v>29</v>
      </c>
      <c r="C386" s="2" t="s">
        <v>30</v>
      </c>
      <c r="D386" s="6" t="s">
        <v>1672</v>
      </c>
      <c r="E386" s="2" t="s">
        <v>52</v>
      </c>
      <c r="F386" s="6" t="s">
        <v>1673</v>
      </c>
      <c r="G386" s="6" t="s">
        <v>1673</v>
      </c>
      <c r="H386" s="6" t="s">
        <v>1673</v>
      </c>
      <c r="I386" s="2" t="s">
        <v>53</v>
      </c>
      <c r="J386" s="7">
        <v>442171</v>
      </c>
      <c r="K386" s="7">
        <v>214888</v>
      </c>
      <c r="L386" s="9">
        <v>166.40916999999999</v>
      </c>
      <c r="M386" s="8">
        <v>-22.26821</v>
      </c>
      <c r="N386" s="2">
        <v>2</v>
      </c>
      <c r="O386" s="2">
        <v>6</v>
      </c>
      <c r="P386" s="2">
        <v>4</v>
      </c>
      <c r="Q386" s="2" t="s">
        <v>35</v>
      </c>
      <c r="R386" s="2" t="s">
        <v>1672</v>
      </c>
      <c r="S386" s="2" t="s">
        <v>37</v>
      </c>
      <c r="U386" s="2">
        <f>P386-N386</f>
        <v>2</v>
      </c>
      <c r="W386" s="30" t="s">
        <v>52</v>
      </c>
      <c r="X386" s="6" t="s">
        <v>52</v>
      </c>
      <c r="Y386" s="6" t="s">
        <v>1673</v>
      </c>
      <c r="Z386" s="2" t="s">
        <v>40</v>
      </c>
      <c r="AA386" s="6" t="s">
        <v>1673</v>
      </c>
      <c r="AB386" s="2" t="str">
        <f>LEFT(A386,3)</f>
        <v>PHP</v>
      </c>
    </row>
    <row r="387" spans="1:28">
      <c r="A387" s="6" t="s">
        <v>1674</v>
      </c>
      <c r="B387" s="6" t="s">
        <v>56</v>
      </c>
      <c r="C387" s="6" t="s">
        <v>50</v>
      </c>
      <c r="D387" s="6" t="s">
        <v>1675</v>
      </c>
      <c r="E387" s="6" t="s">
        <v>1675</v>
      </c>
      <c r="F387" s="6" t="s">
        <v>1675</v>
      </c>
      <c r="G387" s="2" t="s">
        <v>1676</v>
      </c>
      <c r="H387" s="2" t="s">
        <v>1676</v>
      </c>
      <c r="I387" s="2" t="s">
        <v>53</v>
      </c>
      <c r="J387" s="7">
        <v>436775.85145000002</v>
      </c>
      <c r="K387" s="7">
        <v>229319.56228000001</v>
      </c>
      <c r="L387" s="8">
        <v>166.35650389072899</v>
      </c>
      <c r="M387" s="8">
        <v>-22.137997115615502</v>
      </c>
      <c r="N387" s="2">
        <v>3</v>
      </c>
      <c r="O387" s="2">
        <v>6</v>
      </c>
      <c r="P387" s="2">
        <v>9</v>
      </c>
      <c r="Q387" s="2" t="s">
        <v>35</v>
      </c>
      <c r="R387" s="2" t="s">
        <v>1677</v>
      </c>
      <c r="S387" s="2" t="s">
        <v>37</v>
      </c>
      <c r="U387" s="2">
        <f>P387-N387</f>
        <v>6</v>
      </c>
      <c r="V387" s="2" t="s">
        <v>38</v>
      </c>
      <c r="W387" s="30" t="s">
        <v>1675</v>
      </c>
      <c r="X387" s="2" t="s">
        <v>39</v>
      </c>
      <c r="Y387" s="6" t="s">
        <v>1675</v>
      </c>
      <c r="Z387" s="2" t="s">
        <v>40</v>
      </c>
      <c r="AA387" s="2" t="s">
        <v>1676</v>
      </c>
      <c r="AB387" s="2" t="str">
        <f>LEFT(A387,3)</f>
        <v>PIM</v>
      </c>
    </row>
    <row r="388" spans="1:28">
      <c r="A388" s="6" t="s">
        <v>1678</v>
      </c>
      <c r="B388" s="6" t="s">
        <v>29</v>
      </c>
      <c r="C388" s="6" t="s">
        <v>30</v>
      </c>
      <c r="D388" s="6" t="s">
        <v>1679</v>
      </c>
      <c r="E388" s="6" t="s">
        <v>1679</v>
      </c>
      <c r="F388" s="6" t="s">
        <v>1680</v>
      </c>
      <c r="G388" s="2" t="s">
        <v>1681</v>
      </c>
      <c r="H388" s="2" t="s">
        <v>1679</v>
      </c>
      <c r="I388" s="2" t="s">
        <v>34</v>
      </c>
      <c r="J388" s="7">
        <v>449467.10709</v>
      </c>
      <c r="K388" s="7">
        <v>218838.94537</v>
      </c>
      <c r="L388" s="8">
        <v>166.479840720987</v>
      </c>
      <c r="M388" s="8">
        <v>-22.232344699511501</v>
      </c>
      <c r="N388" s="2">
        <v>1</v>
      </c>
      <c r="O388" s="2">
        <v>2</v>
      </c>
      <c r="P388" s="2">
        <f>N388</f>
        <v>1</v>
      </c>
      <c r="Q388" s="2" t="s">
        <v>35</v>
      </c>
      <c r="R388" s="2" t="s">
        <v>1682</v>
      </c>
      <c r="S388" s="2" t="s">
        <v>37</v>
      </c>
      <c r="U388" s="2">
        <f>P388-N388</f>
        <v>0</v>
      </c>
      <c r="W388" s="30" t="s">
        <v>52</v>
      </c>
      <c r="X388" s="2" t="s">
        <v>39</v>
      </c>
      <c r="Y388" s="6" t="s">
        <v>1680</v>
      </c>
      <c r="Z388" s="2" t="s">
        <v>40</v>
      </c>
      <c r="AA388" s="2" t="s">
        <v>1681</v>
      </c>
      <c r="AB388" s="2" t="str">
        <f>LEFT(A388,3)</f>
        <v>PIZ</v>
      </c>
    </row>
    <row r="389" spans="1:28">
      <c r="A389" s="6" t="s">
        <v>1683</v>
      </c>
      <c r="B389" s="6" t="s">
        <v>29</v>
      </c>
      <c r="C389" s="6" t="s">
        <v>30</v>
      </c>
      <c r="D389" s="6" t="s">
        <v>775</v>
      </c>
      <c r="E389" s="6" t="s">
        <v>775</v>
      </c>
      <c r="F389" s="6" t="s">
        <v>775</v>
      </c>
      <c r="G389" s="2" t="s">
        <v>1684</v>
      </c>
      <c r="H389" s="2" t="s">
        <v>775</v>
      </c>
      <c r="I389" s="2" t="s">
        <v>34</v>
      </c>
      <c r="J389" s="7">
        <v>448288.69211</v>
      </c>
      <c r="K389" s="7">
        <v>217696.91323000001</v>
      </c>
      <c r="L389" s="8">
        <v>166.46844712774001</v>
      </c>
      <c r="M389" s="8">
        <v>-22.2426902038798</v>
      </c>
      <c r="N389" s="2">
        <v>3</v>
      </c>
      <c r="O389" s="2">
        <v>9</v>
      </c>
      <c r="P389" s="2">
        <v>9</v>
      </c>
      <c r="Q389" s="2" t="s">
        <v>35</v>
      </c>
      <c r="R389" s="2" t="s">
        <v>775</v>
      </c>
      <c r="S389" s="2" t="s">
        <v>37</v>
      </c>
      <c r="T389" s="2" t="s">
        <v>205</v>
      </c>
      <c r="U389" s="2">
        <f>P389-N389</f>
        <v>6</v>
      </c>
      <c r="W389" s="30" t="s">
        <v>775</v>
      </c>
      <c r="X389" s="2" t="s">
        <v>39</v>
      </c>
      <c r="Y389" s="6" t="s">
        <v>775</v>
      </c>
      <c r="Z389" s="2" t="s">
        <v>40</v>
      </c>
      <c r="AA389" s="2" t="s">
        <v>1684</v>
      </c>
      <c r="AB389" s="2" t="str">
        <f>LEFT(A389,3)</f>
        <v>PK5</v>
      </c>
    </row>
    <row r="390" spans="1:28">
      <c r="A390" s="6" t="s">
        <v>1685</v>
      </c>
      <c r="B390" s="6" t="s">
        <v>67</v>
      </c>
      <c r="C390" s="6" t="s">
        <v>68</v>
      </c>
      <c r="D390" s="6" t="s">
        <v>1686</v>
      </c>
      <c r="E390" s="6" t="s">
        <v>1686</v>
      </c>
      <c r="F390" s="6" t="s">
        <v>1686</v>
      </c>
      <c r="G390" s="2" t="s">
        <v>1687</v>
      </c>
      <c r="H390" s="2" t="s">
        <v>1686</v>
      </c>
      <c r="I390" s="2" t="s">
        <v>145</v>
      </c>
      <c r="J390" s="7">
        <v>285378.90736000001</v>
      </c>
      <c r="K390" s="7">
        <v>357538.80229000002</v>
      </c>
      <c r="L390" s="8">
        <v>164.897653535666</v>
      </c>
      <c r="M390" s="8">
        <v>-20.976622604260299</v>
      </c>
      <c r="N390" s="2">
        <v>2</v>
      </c>
      <c r="O390" s="2">
        <v>4</v>
      </c>
      <c r="P390" s="2">
        <f>N390</f>
        <v>2</v>
      </c>
      <c r="Q390" s="2" t="s">
        <v>35</v>
      </c>
      <c r="R390" s="2" t="s">
        <v>1688</v>
      </c>
      <c r="S390" s="2" t="s">
        <v>47</v>
      </c>
      <c r="U390" s="2">
        <f>P390-N390</f>
        <v>0</v>
      </c>
      <c r="W390" s="30" t="s">
        <v>1686</v>
      </c>
      <c r="X390" s="2" t="s">
        <v>82</v>
      </c>
      <c r="Y390" s="6" t="s">
        <v>1686</v>
      </c>
      <c r="Z390" s="2" t="s">
        <v>73</v>
      </c>
      <c r="AA390" s="2" t="s">
        <v>1687</v>
      </c>
      <c r="AB390" s="2" t="str">
        <f>LEFT(A390,3)</f>
        <v>PKI</v>
      </c>
    </row>
    <row r="391" spans="1:28">
      <c r="A391" s="6" t="s">
        <v>1689</v>
      </c>
      <c r="B391" s="6" t="s">
        <v>562</v>
      </c>
      <c r="C391" s="6" t="s">
        <v>43</v>
      </c>
      <c r="D391" s="6" t="s">
        <v>1690</v>
      </c>
      <c r="E391" s="6" t="s">
        <v>1690</v>
      </c>
      <c r="F391" s="6" t="s">
        <v>1690</v>
      </c>
      <c r="G391" s="2" t="s">
        <v>1691</v>
      </c>
      <c r="H391" s="2" t="s">
        <v>1079</v>
      </c>
      <c r="I391" s="2" t="s">
        <v>34</v>
      </c>
      <c r="J391" s="7">
        <v>419491.85762999998</v>
      </c>
      <c r="K391" s="7">
        <v>286441.88506</v>
      </c>
      <c r="L391" s="8">
        <v>166.188287327566</v>
      </c>
      <c r="M391" s="8">
        <v>-21.622354928423501</v>
      </c>
      <c r="N391" s="2">
        <v>2</v>
      </c>
      <c r="O391" s="2">
        <v>2</v>
      </c>
      <c r="P391" s="2">
        <f>N391</f>
        <v>2</v>
      </c>
      <c r="Q391" s="2" t="s">
        <v>35</v>
      </c>
      <c r="R391" s="2" t="s">
        <v>1692</v>
      </c>
      <c r="S391" s="2" t="s">
        <v>47</v>
      </c>
      <c r="T391" s="2" t="s">
        <v>205</v>
      </c>
      <c r="U391" s="2">
        <f>P391-N391</f>
        <v>0</v>
      </c>
      <c r="W391" s="30" t="s">
        <v>1690</v>
      </c>
      <c r="X391" s="2" t="s">
        <v>39</v>
      </c>
      <c r="Y391" s="6" t="s">
        <v>1690</v>
      </c>
      <c r="Z391" s="2" t="s">
        <v>40</v>
      </c>
      <c r="AA391" s="2" t="s">
        <v>1691</v>
      </c>
      <c r="AB391" s="2" t="str">
        <f>LEFT(A391,3)</f>
        <v>PLA</v>
      </c>
    </row>
    <row r="392" spans="1:28">
      <c r="A392" s="6" t="s">
        <v>1693</v>
      </c>
      <c r="B392" s="6" t="s">
        <v>56</v>
      </c>
      <c r="C392" s="6" t="s">
        <v>50</v>
      </c>
      <c r="D392" s="6" t="s">
        <v>1694</v>
      </c>
      <c r="E392" s="6" t="s">
        <v>1694</v>
      </c>
      <c r="F392" s="6" t="s">
        <v>1694</v>
      </c>
      <c r="G392" s="2" t="s">
        <v>1695</v>
      </c>
      <c r="H392" s="2" t="s">
        <v>1696</v>
      </c>
      <c r="I392" s="2" t="s">
        <v>34</v>
      </c>
      <c r="J392" s="7">
        <v>432711.56634999998</v>
      </c>
      <c r="K392" s="7">
        <v>233197.15259000001</v>
      </c>
      <c r="L392" s="8">
        <v>166.31703166319099</v>
      </c>
      <c r="M392" s="8">
        <v>-22.103062128949201</v>
      </c>
      <c r="N392" s="2">
        <v>2</v>
      </c>
      <c r="O392" s="2">
        <v>2</v>
      </c>
      <c r="P392" s="2">
        <v>4</v>
      </c>
      <c r="Q392" s="2" t="s">
        <v>35</v>
      </c>
      <c r="R392" s="2" t="s">
        <v>1697</v>
      </c>
      <c r="S392" s="2" t="s">
        <v>47</v>
      </c>
      <c r="U392" s="2">
        <f>P392-N392</f>
        <v>2</v>
      </c>
      <c r="W392" s="30" t="s">
        <v>1694</v>
      </c>
      <c r="X392" s="2" t="s">
        <v>39</v>
      </c>
      <c r="Y392" s="6" t="s">
        <v>1694</v>
      </c>
      <c r="Z392" s="2" t="s">
        <v>40</v>
      </c>
      <c r="AA392" s="2" t="s">
        <v>1695</v>
      </c>
      <c r="AB392" s="2" t="str">
        <f>LEFT(A392,3)</f>
        <v>PLG</v>
      </c>
    </row>
    <row r="393" spans="1:28">
      <c r="A393" s="6" t="s">
        <v>1698</v>
      </c>
      <c r="B393" s="6" t="s">
        <v>93</v>
      </c>
      <c r="C393" s="6" t="s">
        <v>50</v>
      </c>
      <c r="D393" s="6" t="s">
        <v>1699</v>
      </c>
      <c r="E393" s="6" t="s">
        <v>1699</v>
      </c>
      <c r="F393" s="6" t="s">
        <v>1699</v>
      </c>
      <c r="G393" s="2" t="s">
        <v>1700</v>
      </c>
      <c r="H393" s="2" t="s">
        <v>1205</v>
      </c>
      <c r="I393" s="2" t="s">
        <v>34</v>
      </c>
      <c r="J393" s="7">
        <v>461537.56198</v>
      </c>
      <c r="K393" s="7">
        <v>215588.29895</v>
      </c>
      <c r="L393" s="8">
        <v>166.59705147639599</v>
      </c>
      <c r="M393" s="8">
        <v>-22.261328403811</v>
      </c>
      <c r="N393" s="2">
        <v>2</v>
      </c>
      <c r="O393" s="2">
        <v>4</v>
      </c>
      <c r="P393" s="2">
        <v>4</v>
      </c>
      <c r="Q393" s="2" t="s">
        <v>35</v>
      </c>
      <c r="R393" s="2" t="s">
        <v>1701</v>
      </c>
      <c r="S393" s="2" t="s">
        <v>47</v>
      </c>
      <c r="U393" s="2">
        <f>P393-N393</f>
        <v>2</v>
      </c>
      <c r="W393" s="30" t="s">
        <v>1699</v>
      </c>
      <c r="X393" s="2" t="s">
        <v>39</v>
      </c>
      <c r="Y393" s="6" t="s">
        <v>1699</v>
      </c>
      <c r="Z393" s="2" t="s">
        <v>40</v>
      </c>
      <c r="AA393" s="2" t="s">
        <v>1700</v>
      </c>
      <c r="AB393" s="2" t="str">
        <f>LEFT(A393,3)</f>
        <v>PLT</v>
      </c>
    </row>
    <row r="394" spans="1:28">
      <c r="A394" s="2" t="s">
        <v>1702</v>
      </c>
      <c r="B394" s="2" t="s">
        <v>93</v>
      </c>
      <c r="C394" s="2" t="s">
        <v>50</v>
      </c>
      <c r="D394" s="6" t="s">
        <v>1703</v>
      </c>
      <c r="E394" s="6" t="s">
        <v>1703</v>
      </c>
      <c r="F394" s="6" t="s">
        <v>1704</v>
      </c>
      <c r="G394" s="2" t="s">
        <v>1704</v>
      </c>
      <c r="H394" s="2" t="s">
        <v>1704</v>
      </c>
      <c r="I394" s="2" t="s">
        <v>53</v>
      </c>
      <c r="J394" s="7">
        <v>464222</v>
      </c>
      <c r="K394" s="7">
        <v>214304</v>
      </c>
      <c r="L394" s="9">
        <v>166.623141</v>
      </c>
      <c r="M394" s="8">
        <v>-22.272829000000002</v>
      </c>
      <c r="N394" s="2">
        <v>3</v>
      </c>
      <c r="O394" s="2">
        <v>3</v>
      </c>
      <c r="P394" s="2">
        <f>N394</f>
        <v>3</v>
      </c>
      <c r="Q394" s="2" t="s">
        <v>35</v>
      </c>
      <c r="R394" s="2" t="s">
        <v>1705</v>
      </c>
      <c r="S394" s="2" t="s">
        <v>47</v>
      </c>
      <c r="U394" s="2">
        <f>P394-N394</f>
        <v>0</v>
      </c>
      <c r="W394" s="30" t="s">
        <v>1703</v>
      </c>
      <c r="X394" s="2" t="s">
        <v>39</v>
      </c>
      <c r="Y394" s="6" t="s">
        <v>1704</v>
      </c>
      <c r="Z394" s="2" t="s">
        <v>40</v>
      </c>
      <c r="AA394" s="2" t="s">
        <v>1704</v>
      </c>
      <c r="AB394" s="2" t="str">
        <f>LEFT(A394,3)</f>
        <v>PLU</v>
      </c>
    </row>
    <row r="395" spans="1:28">
      <c r="A395" s="2" t="s">
        <v>1706</v>
      </c>
      <c r="B395" s="2" t="s">
        <v>29</v>
      </c>
      <c r="C395" s="2" t="s">
        <v>30</v>
      </c>
      <c r="D395" s="2" t="s">
        <v>1707</v>
      </c>
      <c r="E395" s="2" t="s">
        <v>52</v>
      </c>
      <c r="F395" s="2" t="s">
        <v>1708</v>
      </c>
      <c r="G395" s="2" t="s">
        <v>1708</v>
      </c>
      <c r="H395" s="2" t="s">
        <v>1708</v>
      </c>
      <c r="I395" s="2" t="s">
        <v>53</v>
      </c>
      <c r="J395" s="3">
        <v>445540</v>
      </c>
      <c r="K395" s="7">
        <v>215140</v>
      </c>
      <c r="L395" s="9">
        <v>166.44184999999999</v>
      </c>
      <c r="M395" s="8">
        <v>-22.26585</v>
      </c>
      <c r="N395" s="2">
        <v>2</v>
      </c>
      <c r="O395" s="2">
        <v>4</v>
      </c>
      <c r="P395" s="2">
        <v>4</v>
      </c>
      <c r="Q395" s="2" t="s">
        <v>35</v>
      </c>
      <c r="R395" s="2" t="s">
        <v>1709</v>
      </c>
      <c r="S395" s="2" t="s">
        <v>37</v>
      </c>
      <c r="U395" s="2">
        <f>P395-N395</f>
        <v>2</v>
      </c>
      <c r="W395" s="30" t="s">
        <v>52</v>
      </c>
      <c r="X395" s="6" t="s">
        <v>52</v>
      </c>
      <c r="Y395" s="2" t="s">
        <v>1708</v>
      </c>
      <c r="Z395" s="2" t="s">
        <v>40</v>
      </c>
      <c r="AA395" s="2" t="s">
        <v>1708</v>
      </c>
      <c r="AB395" s="2" t="str">
        <f>LEFT(A395,3)</f>
        <v>PLZ</v>
      </c>
    </row>
    <row r="396" spans="1:28">
      <c r="A396" s="6" t="s">
        <v>1710</v>
      </c>
      <c r="B396" s="6" t="s">
        <v>123</v>
      </c>
      <c r="C396" s="6" t="s">
        <v>68</v>
      </c>
      <c r="D396" s="6" t="s">
        <v>1711</v>
      </c>
      <c r="E396" s="6" t="s">
        <v>52</v>
      </c>
      <c r="F396" s="6" t="s">
        <v>1712</v>
      </c>
      <c r="G396" s="6" t="s">
        <v>1712</v>
      </c>
      <c r="H396" s="6" t="s">
        <v>1712</v>
      </c>
      <c r="I396" s="2" t="s">
        <v>53</v>
      </c>
      <c r="J396" s="7">
        <v>193613</v>
      </c>
      <c r="K396" s="7">
        <v>439035</v>
      </c>
      <c r="L396" s="8">
        <v>164.02508499999999</v>
      </c>
      <c r="M396" s="8">
        <v>-20.232406000000001</v>
      </c>
      <c r="N396" s="2">
        <v>3</v>
      </c>
      <c r="O396" s="2">
        <v>3</v>
      </c>
      <c r="P396" s="2">
        <v>3</v>
      </c>
      <c r="Q396" s="2" t="s">
        <v>195</v>
      </c>
      <c r="R396" s="2" t="s">
        <v>1713</v>
      </c>
      <c r="S396" s="2" t="s">
        <v>47</v>
      </c>
      <c r="U396" s="2">
        <f>P396-N396</f>
        <v>0</v>
      </c>
      <c r="W396" s="30" t="s">
        <v>52</v>
      </c>
      <c r="X396" s="2" t="s">
        <v>52</v>
      </c>
      <c r="Y396" s="6" t="s">
        <v>1712</v>
      </c>
      <c r="Z396" s="2" t="s">
        <v>73</v>
      </c>
      <c r="AA396" s="6" t="s">
        <v>1712</v>
      </c>
      <c r="AB396" s="2" t="str">
        <f>LEFT(A396,3)</f>
        <v>PMA</v>
      </c>
    </row>
    <row r="397" spans="1:28">
      <c r="A397" s="6" t="s">
        <v>1714</v>
      </c>
      <c r="B397" s="6" t="s">
        <v>79</v>
      </c>
      <c r="C397" s="6" t="s">
        <v>68</v>
      </c>
      <c r="D397" s="6" t="s">
        <v>1715</v>
      </c>
      <c r="E397" s="6" t="s">
        <v>1715</v>
      </c>
      <c r="F397" s="6" t="s">
        <v>1716</v>
      </c>
      <c r="G397" s="6" t="s">
        <v>1716</v>
      </c>
      <c r="H397" s="2" t="s">
        <v>732</v>
      </c>
      <c r="I397" s="2" t="s">
        <v>34</v>
      </c>
      <c r="J397" s="7">
        <v>332943.96558999998</v>
      </c>
      <c r="K397" s="7">
        <v>350211.12669</v>
      </c>
      <c r="L397" s="8">
        <v>165.35480330429201</v>
      </c>
      <c r="M397" s="8">
        <v>-21.045214271828701</v>
      </c>
      <c r="N397" s="2">
        <v>3</v>
      </c>
      <c r="O397" s="2">
        <v>3</v>
      </c>
      <c r="P397" s="2">
        <v>3</v>
      </c>
      <c r="Q397" s="2" t="s">
        <v>195</v>
      </c>
      <c r="R397" s="2" t="s">
        <v>1717</v>
      </c>
      <c r="S397" s="2" t="s">
        <v>47</v>
      </c>
      <c r="U397" s="2">
        <f>P397-N397</f>
        <v>0</v>
      </c>
      <c r="V397" s="2" t="s">
        <v>102</v>
      </c>
      <c r="W397" s="30" t="s">
        <v>52</v>
      </c>
      <c r="X397" s="2" t="s">
        <v>82</v>
      </c>
      <c r="Y397" s="6" t="s">
        <v>1716</v>
      </c>
      <c r="Z397" s="2" t="s">
        <v>73</v>
      </c>
      <c r="AA397" s="6" t="s">
        <v>1716</v>
      </c>
      <c r="AB397" s="2" t="str">
        <f>LEFT(A397,3)</f>
        <v>PMW</v>
      </c>
    </row>
    <row r="398" spans="1:28">
      <c r="A398" s="6" t="s">
        <v>1718</v>
      </c>
      <c r="B398" s="2" t="s">
        <v>684</v>
      </c>
      <c r="C398" s="2" t="s">
        <v>68</v>
      </c>
      <c r="D398" s="2" t="s">
        <v>1719</v>
      </c>
      <c r="E398" s="2" t="s">
        <v>52</v>
      </c>
      <c r="F398" s="2" t="s">
        <v>1720</v>
      </c>
      <c r="G398" s="2" t="s">
        <v>1720</v>
      </c>
      <c r="H398" s="2" t="s">
        <v>1720</v>
      </c>
      <c r="I398" s="2" t="s">
        <v>53</v>
      </c>
      <c r="J398" s="7">
        <v>278085</v>
      </c>
      <c r="K398" s="7">
        <v>400711</v>
      </c>
      <c r="L398" s="8">
        <v>164.830613</v>
      </c>
      <c r="M398" s="8">
        <v>-20.586203000000001</v>
      </c>
      <c r="N398" s="2">
        <v>1</v>
      </c>
      <c r="O398" s="2">
        <v>1</v>
      </c>
      <c r="P398" s="2">
        <v>1</v>
      </c>
      <c r="Q398" s="2" t="s">
        <v>35</v>
      </c>
      <c r="R398" s="2" t="s">
        <v>1721</v>
      </c>
      <c r="S398" s="2" t="s">
        <v>47</v>
      </c>
      <c r="U398" s="2">
        <f>P398-N398</f>
        <v>0</v>
      </c>
      <c r="W398" s="30" t="s">
        <v>52</v>
      </c>
      <c r="X398" s="6" t="s">
        <v>52</v>
      </c>
      <c r="Y398" s="6" t="s">
        <v>1722</v>
      </c>
      <c r="Z398" s="2" t="s">
        <v>73</v>
      </c>
      <c r="AA398" s="6" t="s">
        <v>1722</v>
      </c>
      <c r="AB398" s="2" t="str">
        <f>LEFT(A398,3)</f>
        <v>PNC</v>
      </c>
    </row>
    <row r="399" spans="1:28">
      <c r="A399" s="6" t="s">
        <v>1723</v>
      </c>
      <c r="B399" s="6" t="s">
        <v>56</v>
      </c>
      <c r="C399" s="6" t="s">
        <v>50</v>
      </c>
      <c r="D399" s="6" t="s">
        <v>1724</v>
      </c>
      <c r="E399" s="6" t="s">
        <v>1724</v>
      </c>
      <c r="F399" s="6" t="s">
        <v>1724</v>
      </c>
      <c r="G399" s="2" t="s">
        <v>1725</v>
      </c>
      <c r="H399" s="2" t="s">
        <v>1451</v>
      </c>
      <c r="I399" s="2" t="s">
        <v>34</v>
      </c>
      <c r="J399" s="7">
        <v>416341.99790999998</v>
      </c>
      <c r="K399" s="7">
        <v>244634.11376000001</v>
      </c>
      <c r="L399" s="8">
        <v>166.15826809223901</v>
      </c>
      <c r="M399" s="8">
        <v>-21.999994521333399</v>
      </c>
      <c r="N399" s="2">
        <v>3</v>
      </c>
      <c r="O399" s="2">
        <v>4</v>
      </c>
      <c r="P399" s="2">
        <v>3</v>
      </c>
      <c r="Q399" s="2" t="s">
        <v>195</v>
      </c>
      <c r="R399" s="2" t="s">
        <v>1726</v>
      </c>
      <c r="S399" s="2" t="s">
        <v>47</v>
      </c>
      <c r="U399" s="2">
        <f>P399-N399</f>
        <v>0</v>
      </c>
      <c r="W399" s="30" t="s">
        <v>1724</v>
      </c>
      <c r="X399" s="2" t="s">
        <v>39</v>
      </c>
      <c r="Y399" s="6" t="s">
        <v>1724</v>
      </c>
      <c r="Z399" s="2" t="s">
        <v>40</v>
      </c>
      <c r="AA399" s="2" t="s">
        <v>1725</v>
      </c>
      <c r="AB399" s="2" t="str">
        <f>LEFT(A399,3)</f>
        <v>PND</v>
      </c>
    </row>
    <row r="400" spans="1:28">
      <c r="A400" s="6" t="s">
        <v>1727</v>
      </c>
      <c r="B400" s="6" t="s">
        <v>437</v>
      </c>
      <c r="C400" s="6" t="s">
        <v>68</v>
      </c>
      <c r="D400" s="6" t="s">
        <v>1728</v>
      </c>
      <c r="E400" s="6" t="s">
        <v>1728</v>
      </c>
      <c r="F400" s="6" t="s">
        <v>1728</v>
      </c>
      <c r="G400" s="2" t="s">
        <v>1729</v>
      </c>
      <c r="H400" s="2" t="s">
        <v>1728</v>
      </c>
      <c r="I400" s="2" t="s">
        <v>34</v>
      </c>
      <c r="J400" s="7">
        <v>242553.11614999999</v>
      </c>
      <c r="K400" s="7">
        <v>390316.97081999999</v>
      </c>
      <c r="L400" s="8">
        <v>164.48885172285</v>
      </c>
      <c r="M400" s="8">
        <v>-20.6773307094392</v>
      </c>
      <c r="N400" s="2">
        <v>2</v>
      </c>
      <c r="O400" s="2">
        <v>2</v>
      </c>
      <c r="P400" s="2">
        <f>N400</f>
        <v>2</v>
      </c>
      <c r="Q400" s="2" t="s">
        <v>35</v>
      </c>
      <c r="R400" s="2" t="s">
        <v>1730</v>
      </c>
      <c r="S400" s="2" t="s">
        <v>47</v>
      </c>
      <c r="U400" s="2">
        <f>P400-N400</f>
        <v>0</v>
      </c>
      <c r="W400" s="30" t="s">
        <v>1728</v>
      </c>
      <c r="X400" s="2" t="s">
        <v>82</v>
      </c>
      <c r="Y400" s="6" t="s">
        <v>1728</v>
      </c>
      <c r="Z400" s="2" t="s">
        <v>73</v>
      </c>
      <c r="AA400" s="2" t="s">
        <v>1729</v>
      </c>
      <c r="AB400" s="2" t="str">
        <f>LEFT(A400,3)</f>
        <v>PNE</v>
      </c>
    </row>
    <row r="401" spans="1:28">
      <c r="A401" s="2" t="s">
        <v>1731</v>
      </c>
      <c r="B401" s="2" t="s">
        <v>684</v>
      </c>
      <c r="C401" s="2" t="s">
        <v>68</v>
      </c>
      <c r="D401" s="2" t="s">
        <v>1720</v>
      </c>
      <c r="E401" s="2" t="s">
        <v>52</v>
      </c>
      <c r="F401" s="2" t="s">
        <v>1720</v>
      </c>
      <c r="G401" s="2" t="s">
        <v>1720</v>
      </c>
      <c r="H401" s="2" t="s">
        <v>1720</v>
      </c>
      <c r="I401" s="2" t="s">
        <v>53</v>
      </c>
      <c r="J401" s="2">
        <v>278537</v>
      </c>
      <c r="K401" s="2">
        <v>400167</v>
      </c>
      <c r="L401" s="2">
        <v>164.83491000000001</v>
      </c>
      <c r="M401" s="2">
        <v>-20.591149999999999</v>
      </c>
      <c r="N401" s="2">
        <v>2</v>
      </c>
      <c r="O401" s="2">
        <v>2</v>
      </c>
      <c r="P401" s="2">
        <v>2</v>
      </c>
      <c r="Q401" s="2" t="s">
        <v>35</v>
      </c>
      <c r="R401" s="2" t="s">
        <v>1732</v>
      </c>
      <c r="S401" s="17" t="s">
        <v>47</v>
      </c>
      <c r="U401" s="2">
        <f>P401-N401</f>
        <v>0</v>
      </c>
      <c r="W401" s="30" t="s">
        <v>52</v>
      </c>
      <c r="X401" s="6" t="s">
        <v>52</v>
      </c>
      <c r="Y401" s="2" t="s">
        <v>1720</v>
      </c>
      <c r="Z401" s="2" t="s">
        <v>73</v>
      </c>
      <c r="AA401" s="2" t="s">
        <v>1720</v>
      </c>
      <c r="AB401" s="2" t="str">
        <f>LEFT(A401,3)</f>
        <v>PNI</v>
      </c>
    </row>
    <row r="402" spans="1:28">
      <c r="A402" s="6" t="s">
        <v>1733</v>
      </c>
      <c r="B402" s="6" t="s">
        <v>148</v>
      </c>
      <c r="C402" s="6" t="s">
        <v>68</v>
      </c>
      <c r="D402" s="6" t="s">
        <v>1734</v>
      </c>
      <c r="E402" s="6" t="s">
        <v>52</v>
      </c>
      <c r="F402" s="6" t="s">
        <v>1735</v>
      </c>
      <c r="G402" s="6" t="s">
        <v>1735</v>
      </c>
      <c r="H402" s="6" t="s">
        <v>1735</v>
      </c>
      <c r="I402" s="2" t="s">
        <v>53</v>
      </c>
      <c r="J402" s="7">
        <v>312780</v>
      </c>
      <c r="K402" s="7">
        <v>316717</v>
      </c>
      <c r="L402" s="8">
        <v>165.15906000000001</v>
      </c>
      <c r="M402" s="8">
        <v>-21.346883999999999</v>
      </c>
      <c r="N402" s="2">
        <v>3</v>
      </c>
      <c r="O402" s="2">
        <v>3</v>
      </c>
      <c r="P402" s="2">
        <v>3</v>
      </c>
      <c r="Q402" s="2" t="s">
        <v>35</v>
      </c>
      <c r="R402" s="2" t="s">
        <v>1736</v>
      </c>
      <c r="S402" s="2" t="s">
        <v>47</v>
      </c>
      <c r="U402" s="2">
        <v>0</v>
      </c>
      <c r="W402" s="30" t="s">
        <v>52</v>
      </c>
      <c r="X402" s="6" t="s">
        <v>52</v>
      </c>
      <c r="Y402" s="6" t="s">
        <v>1735</v>
      </c>
      <c r="Z402" s="2" t="s">
        <v>73</v>
      </c>
      <c r="AA402" s="6" t="s">
        <v>1735</v>
      </c>
      <c r="AB402" s="2" t="str">
        <f>LEFT(A402,3)</f>
        <v>POA</v>
      </c>
    </row>
    <row r="403" spans="1:28">
      <c r="A403" s="6" t="s">
        <v>1737</v>
      </c>
      <c r="B403" s="6" t="s">
        <v>191</v>
      </c>
      <c r="C403" s="6" t="s">
        <v>43</v>
      </c>
      <c r="D403" s="6" t="s">
        <v>1738</v>
      </c>
      <c r="E403" s="6" t="s">
        <v>1738</v>
      </c>
      <c r="F403" s="6" t="s">
        <v>1738</v>
      </c>
      <c r="G403" s="2" t="s">
        <v>1739</v>
      </c>
      <c r="H403" s="2" t="s">
        <v>1738</v>
      </c>
      <c r="I403" s="2" t="s">
        <v>34</v>
      </c>
      <c r="J403" s="7">
        <v>340416.96724999999</v>
      </c>
      <c r="K403" s="7">
        <v>287478.24063000001</v>
      </c>
      <c r="L403" s="8">
        <v>165.42448386812799</v>
      </c>
      <c r="M403" s="8">
        <v>-21.612112845081601</v>
      </c>
      <c r="N403" s="2">
        <v>2</v>
      </c>
      <c r="O403" s="2">
        <v>4</v>
      </c>
      <c r="P403" s="2">
        <v>4</v>
      </c>
      <c r="Q403" s="2" t="s">
        <v>35</v>
      </c>
      <c r="R403" s="2" t="s">
        <v>1738</v>
      </c>
      <c r="S403" s="2" t="s">
        <v>47</v>
      </c>
      <c r="U403" s="2">
        <v>2</v>
      </c>
      <c r="W403" s="30" t="s">
        <v>1738</v>
      </c>
      <c r="X403" s="2" t="s">
        <v>82</v>
      </c>
      <c r="Y403" s="6" t="s">
        <v>1738</v>
      </c>
      <c r="Z403" s="2" t="s">
        <v>73</v>
      </c>
      <c r="AA403" s="2" t="s">
        <v>1739</v>
      </c>
      <c r="AB403" s="2" t="str">
        <f>LEFT(A403,3)</f>
        <v>POE</v>
      </c>
    </row>
    <row r="404" spans="1:28">
      <c r="A404" s="6" t="s">
        <v>1740</v>
      </c>
      <c r="B404" s="6" t="s">
        <v>104</v>
      </c>
      <c r="C404" s="6" t="s">
        <v>68</v>
      </c>
      <c r="D404" s="6" t="s">
        <v>104</v>
      </c>
      <c r="E404" s="6" t="s">
        <v>104</v>
      </c>
      <c r="F404" s="6" t="s">
        <v>1741</v>
      </c>
      <c r="G404" s="2" t="s">
        <v>1741</v>
      </c>
      <c r="H404" s="2" t="s">
        <v>1741</v>
      </c>
      <c r="I404" s="2" t="s">
        <v>53</v>
      </c>
      <c r="J404" s="7">
        <v>330450.21732</v>
      </c>
      <c r="K404" s="7">
        <v>362074.82074</v>
      </c>
      <c r="L404" s="8">
        <v>165.33129522317699</v>
      </c>
      <c r="M404" s="8">
        <v>-20.937957335807099</v>
      </c>
      <c r="N404" s="2">
        <v>3</v>
      </c>
      <c r="O404" s="2">
        <v>3</v>
      </c>
      <c r="P404" s="2">
        <v>3</v>
      </c>
      <c r="Q404" s="2" t="s">
        <v>35</v>
      </c>
      <c r="R404" s="2" t="s">
        <v>1742</v>
      </c>
      <c r="S404" s="2" t="s">
        <v>37</v>
      </c>
      <c r="U404" s="2">
        <f>P404-N404</f>
        <v>0</v>
      </c>
      <c r="W404" s="30" t="s">
        <v>104</v>
      </c>
      <c r="X404" s="2" t="s">
        <v>82</v>
      </c>
      <c r="Y404" s="6" t="s">
        <v>1741</v>
      </c>
      <c r="Z404" s="2" t="s">
        <v>73</v>
      </c>
      <c r="AA404" s="2" t="s">
        <v>1741</v>
      </c>
      <c r="AB404" s="2" t="str">
        <f>LEFT(A404,3)</f>
        <v>POI</v>
      </c>
    </row>
    <row r="405" spans="1:28">
      <c r="A405" s="2" t="s">
        <v>1743</v>
      </c>
      <c r="B405" s="2" t="s">
        <v>79</v>
      </c>
      <c r="C405" s="2" t="s">
        <v>68</v>
      </c>
      <c r="D405" s="2" t="s">
        <v>1744</v>
      </c>
      <c r="E405" s="2" t="s">
        <v>52</v>
      </c>
      <c r="F405" s="2" t="s">
        <v>1745</v>
      </c>
      <c r="G405" s="2" t="s">
        <v>1745</v>
      </c>
      <c r="H405" s="2" t="s">
        <v>1745</v>
      </c>
      <c r="I405" s="2" t="s">
        <v>53</v>
      </c>
      <c r="J405" s="2">
        <v>337729</v>
      </c>
      <c r="K405" s="2">
        <v>347340</v>
      </c>
      <c r="L405" s="2">
        <v>165.40074000000001</v>
      </c>
      <c r="M405" s="2">
        <v>-21.07132</v>
      </c>
      <c r="N405" s="2">
        <v>3</v>
      </c>
      <c r="O405" s="2">
        <v>3</v>
      </c>
      <c r="P405" s="2">
        <v>3</v>
      </c>
      <c r="Q405" s="2" t="s">
        <v>35</v>
      </c>
      <c r="R405" s="2" t="s">
        <v>1746</v>
      </c>
      <c r="S405" s="2" t="s">
        <v>47</v>
      </c>
      <c r="U405" s="2">
        <f>P405-N405</f>
        <v>0</v>
      </c>
      <c r="W405" s="30" t="s">
        <v>52</v>
      </c>
      <c r="X405" s="6" t="s">
        <v>52</v>
      </c>
      <c r="Y405" s="2" t="s">
        <v>1745</v>
      </c>
      <c r="Z405" s="2" t="s">
        <v>73</v>
      </c>
      <c r="AA405" s="2" t="s">
        <v>1745</v>
      </c>
      <c r="AB405" s="2" t="str">
        <f>LEFT(A405,3)</f>
        <v>PON</v>
      </c>
    </row>
    <row r="406" spans="1:28">
      <c r="A406" s="2" t="s">
        <v>1747</v>
      </c>
      <c r="B406" s="2" t="s">
        <v>402</v>
      </c>
      <c r="C406" s="2" t="s">
        <v>68</v>
      </c>
      <c r="D406" s="2" t="s">
        <v>1748</v>
      </c>
      <c r="E406" s="2" t="s">
        <v>52</v>
      </c>
      <c r="F406" s="2" t="s">
        <v>1749</v>
      </c>
      <c r="G406" s="2" t="s">
        <v>1749</v>
      </c>
      <c r="H406" s="2" t="s">
        <v>723</v>
      </c>
      <c r="I406" s="2" t="s">
        <v>34</v>
      </c>
      <c r="J406" s="2">
        <v>335561</v>
      </c>
      <c r="K406" s="2">
        <v>335502</v>
      </c>
      <c r="L406" s="2">
        <v>165.37942000000001</v>
      </c>
      <c r="M406" s="8">
        <v>-21.178170000000001</v>
      </c>
      <c r="N406" s="2">
        <v>1</v>
      </c>
      <c r="O406" s="2">
        <v>1</v>
      </c>
      <c r="P406" s="2">
        <v>1</v>
      </c>
      <c r="Q406" s="2" t="s">
        <v>195</v>
      </c>
      <c r="R406" s="2" t="s">
        <v>1748</v>
      </c>
      <c r="S406" s="2" t="s">
        <v>47</v>
      </c>
      <c r="U406" s="2">
        <f>P406-N406</f>
        <v>0</v>
      </c>
      <c r="W406" s="30" t="s">
        <v>52</v>
      </c>
      <c r="X406" s="6" t="s">
        <v>52</v>
      </c>
      <c r="Y406" s="2" t="s">
        <v>1749</v>
      </c>
      <c r="Z406" s="2" t="s">
        <v>73</v>
      </c>
      <c r="AA406" s="2" t="s">
        <v>1749</v>
      </c>
      <c r="AB406" s="2" t="str">
        <f>LEFT(A406,3)</f>
        <v>POO</v>
      </c>
    </row>
    <row r="407" spans="1:28">
      <c r="A407" s="6" t="s">
        <v>1750</v>
      </c>
      <c r="B407" s="6" t="s">
        <v>978</v>
      </c>
      <c r="C407" s="6" t="s">
        <v>68</v>
      </c>
      <c r="D407" s="6" t="s">
        <v>107</v>
      </c>
      <c r="E407" s="6" t="s">
        <v>107</v>
      </c>
      <c r="F407" s="6" t="s">
        <v>107</v>
      </c>
      <c r="G407" s="2" t="s">
        <v>1751</v>
      </c>
      <c r="H407" s="2" t="s">
        <v>107</v>
      </c>
      <c r="I407" s="2" t="s">
        <v>34</v>
      </c>
      <c r="J407" s="7">
        <v>319726.76841000002</v>
      </c>
      <c r="K407" s="7">
        <v>377565.44183000003</v>
      </c>
      <c r="L407" s="8">
        <v>165.228932579972</v>
      </c>
      <c r="M407" s="8">
        <v>-20.797598208617099</v>
      </c>
      <c r="N407" s="2">
        <v>2</v>
      </c>
      <c r="O407" s="2">
        <v>2</v>
      </c>
      <c r="P407" s="2">
        <f>N407</f>
        <v>2</v>
      </c>
      <c r="Q407" s="2" t="s">
        <v>35</v>
      </c>
      <c r="R407" s="2" t="s">
        <v>1752</v>
      </c>
      <c r="S407" s="2" t="s">
        <v>47</v>
      </c>
      <c r="U407" s="2">
        <f>P407-N407</f>
        <v>0</v>
      </c>
      <c r="W407" s="30" t="s">
        <v>107</v>
      </c>
      <c r="X407" s="2" t="s">
        <v>82</v>
      </c>
      <c r="Y407" s="6" t="s">
        <v>107</v>
      </c>
      <c r="Z407" s="2" t="s">
        <v>73</v>
      </c>
      <c r="AA407" s="2" t="s">
        <v>1751</v>
      </c>
      <c r="AB407" s="2" t="str">
        <f>LEFT(A407,3)</f>
        <v>POP</v>
      </c>
    </row>
    <row r="408" spans="1:28">
      <c r="A408" s="6" t="s">
        <v>1753</v>
      </c>
      <c r="B408" s="6" t="s">
        <v>602</v>
      </c>
      <c r="C408" s="6" t="s">
        <v>43</v>
      </c>
      <c r="D408" s="6" t="s">
        <v>1754</v>
      </c>
      <c r="E408" s="6" t="s">
        <v>52</v>
      </c>
      <c r="F408" s="6" t="s">
        <v>1755</v>
      </c>
      <c r="G408" s="6" t="s">
        <v>1755</v>
      </c>
      <c r="H408" s="6" t="s">
        <v>1755</v>
      </c>
      <c r="I408" s="2" t="s">
        <v>53</v>
      </c>
      <c r="J408" s="7">
        <v>390414</v>
      </c>
      <c r="K408" s="7">
        <v>275517</v>
      </c>
      <c r="L408" s="8">
        <v>165.90733900000001</v>
      </c>
      <c r="M408" s="8">
        <v>-21.721112000000002</v>
      </c>
      <c r="N408" s="2">
        <v>3</v>
      </c>
      <c r="O408" s="2">
        <v>3</v>
      </c>
      <c r="P408" s="2">
        <f>N408</f>
        <v>3</v>
      </c>
      <c r="Q408" s="2" t="s">
        <v>35</v>
      </c>
      <c r="R408" s="2" t="s">
        <v>1756</v>
      </c>
      <c r="S408" s="2" t="s">
        <v>47</v>
      </c>
      <c r="U408" s="2">
        <f>P408-N408</f>
        <v>0</v>
      </c>
      <c r="W408" s="30" t="s">
        <v>52</v>
      </c>
      <c r="X408" s="2" t="s">
        <v>52</v>
      </c>
      <c r="Y408" s="6" t="s">
        <v>1755</v>
      </c>
      <c r="Z408" s="2" t="s">
        <v>73</v>
      </c>
      <c r="AA408" s="6" t="s">
        <v>1755</v>
      </c>
      <c r="AB408" s="2" t="str">
        <f>LEFT(A408,3)</f>
        <v>POQ</v>
      </c>
    </row>
    <row r="409" spans="1:28">
      <c r="A409" s="6" t="s">
        <v>1757</v>
      </c>
      <c r="B409" s="6" t="s">
        <v>402</v>
      </c>
      <c r="C409" s="6" t="s">
        <v>68</v>
      </c>
      <c r="D409" s="6" t="s">
        <v>1758</v>
      </c>
      <c r="E409" s="6" t="s">
        <v>52</v>
      </c>
      <c r="F409" s="6" t="s">
        <v>1759</v>
      </c>
      <c r="G409" s="6" t="s">
        <v>1759</v>
      </c>
      <c r="H409" s="6" t="s">
        <v>1759</v>
      </c>
      <c r="I409" s="2" t="s">
        <v>53</v>
      </c>
      <c r="J409" s="7">
        <v>369911</v>
      </c>
      <c r="K409" s="7">
        <v>322004</v>
      </c>
      <c r="L409" s="8">
        <v>165.70998599999999</v>
      </c>
      <c r="M409" s="8">
        <v>-21.300996000000001</v>
      </c>
      <c r="N409" s="2">
        <v>2</v>
      </c>
      <c r="O409" s="2">
        <v>2</v>
      </c>
      <c r="P409" s="2">
        <v>2</v>
      </c>
      <c r="Q409" s="2" t="s">
        <v>35</v>
      </c>
      <c r="R409" s="2" t="s">
        <v>1760</v>
      </c>
      <c r="S409" s="2" t="s">
        <v>47</v>
      </c>
      <c r="U409" s="2">
        <v>0</v>
      </c>
      <c r="W409" s="30" t="s">
        <v>52</v>
      </c>
      <c r="X409" s="2" t="s">
        <v>52</v>
      </c>
      <c r="Y409" s="6" t="s">
        <v>1759</v>
      </c>
      <c r="Z409" s="2" t="s">
        <v>73</v>
      </c>
      <c r="AA409" s="6" t="s">
        <v>1759</v>
      </c>
      <c r="AB409" s="2" t="str">
        <f>LEFT(A409,3)</f>
        <v>POR</v>
      </c>
    </row>
    <row r="410" spans="1:28">
      <c r="A410" s="6" t="s">
        <v>1761</v>
      </c>
      <c r="B410" s="6" t="s">
        <v>402</v>
      </c>
      <c r="C410" s="6" t="s">
        <v>68</v>
      </c>
      <c r="D410" s="6" t="s">
        <v>1762</v>
      </c>
      <c r="E410" s="6" t="s">
        <v>52</v>
      </c>
      <c r="F410" s="6" t="s">
        <v>1763</v>
      </c>
      <c r="G410" s="6" t="s">
        <v>1763</v>
      </c>
      <c r="H410" s="6" t="s">
        <v>1763</v>
      </c>
      <c r="I410" s="2" t="s">
        <v>53</v>
      </c>
      <c r="J410" s="7">
        <v>371416</v>
      </c>
      <c r="K410" s="7">
        <v>321872</v>
      </c>
      <c r="L410" s="8">
        <v>165.72449</v>
      </c>
      <c r="M410" s="8">
        <v>-21.302212999999998</v>
      </c>
      <c r="N410" s="2">
        <v>2</v>
      </c>
      <c r="O410" s="2">
        <v>2</v>
      </c>
      <c r="P410" s="2">
        <v>2</v>
      </c>
      <c r="Q410" s="2" t="s">
        <v>35</v>
      </c>
      <c r="R410" s="2" t="s">
        <v>1764</v>
      </c>
      <c r="S410" s="2" t="s">
        <v>47</v>
      </c>
      <c r="U410" s="2">
        <v>0</v>
      </c>
      <c r="W410" s="30" t="s">
        <v>52</v>
      </c>
      <c r="X410" s="2" t="s">
        <v>52</v>
      </c>
      <c r="Y410" s="6" t="s">
        <v>1763</v>
      </c>
      <c r="Z410" s="2" t="s">
        <v>73</v>
      </c>
      <c r="AA410" s="6" t="s">
        <v>1763</v>
      </c>
      <c r="AB410" s="2" t="str">
        <f>LEFT(A410,3)</f>
        <v>POT</v>
      </c>
    </row>
    <row r="411" spans="1:28">
      <c r="A411" s="2" t="s">
        <v>1765</v>
      </c>
      <c r="B411" s="2" t="s">
        <v>191</v>
      </c>
      <c r="C411" s="2" t="s">
        <v>43</v>
      </c>
      <c r="D411" s="2" t="s">
        <v>1766</v>
      </c>
      <c r="E411" s="2" t="s">
        <v>52</v>
      </c>
      <c r="F411" s="2" t="s">
        <v>1767</v>
      </c>
      <c r="G411" s="2" t="s">
        <v>1767</v>
      </c>
      <c r="H411" s="2" t="s">
        <v>1767</v>
      </c>
      <c r="I411" s="2" t="s">
        <v>53</v>
      </c>
      <c r="J411" s="7">
        <v>349280</v>
      </c>
      <c r="K411" s="7">
        <v>300544</v>
      </c>
      <c r="L411" s="8">
        <v>165.51048700000001</v>
      </c>
      <c r="M411" s="8">
        <v>-21.494368999999999</v>
      </c>
      <c r="N411" s="2">
        <v>1</v>
      </c>
      <c r="O411" s="2">
        <v>1</v>
      </c>
      <c r="P411" s="2">
        <v>1</v>
      </c>
      <c r="Q411" s="2" t="s">
        <v>35</v>
      </c>
      <c r="R411" s="2" t="s">
        <v>1768</v>
      </c>
      <c r="S411" s="2" t="s">
        <v>47</v>
      </c>
      <c r="U411" s="2">
        <f>P411-N411</f>
        <v>0</v>
      </c>
      <c r="W411" s="30" t="s">
        <v>52</v>
      </c>
      <c r="X411" s="6" t="s">
        <v>52</v>
      </c>
      <c r="Y411" s="2" t="s">
        <v>1767</v>
      </c>
      <c r="Z411" s="2" t="s">
        <v>73</v>
      </c>
      <c r="AA411" s="2" t="s">
        <v>1767</v>
      </c>
      <c r="AB411" s="2" t="str">
        <f>LEFT(A411,3)</f>
        <v>POU</v>
      </c>
    </row>
    <row r="412" spans="1:28">
      <c r="A412" s="6" t="s">
        <v>1769</v>
      </c>
      <c r="B412" s="6" t="s">
        <v>148</v>
      </c>
      <c r="C412" s="6" t="s">
        <v>68</v>
      </c>
      <c r="D412" s="6" t="s">
        <v>1770</v>
      </c>
      <c r="E412" s="6" t="s">
        <v>1770</v>
      </c>
      <c r="F412" s="6" t="s">
        <v>1770</v>
      </c>
      <c r="G412" s="2" t="s">
        <v>1771</v>
      </c>
      <c r="H412" s="2" t="s">
        <v>148</v>
      </c>
      <c r="I412" s="2" t="s">
        <v>34</v>
      </c>
      <c r="J412" s="7">
        <v>313580.11940999998</v>
      </c>
      <c r="K412" s="7">
        <v>315595.65694000002</v>
      </c>
      <c r="L412" s="8">
        <v>165.16671536351899</v>
      </c>
      <c r="M412" s="8">
        <v>-21.357048426590001</v>
      </c>
      <c r="N412" s="2">
        <v>3</v>
      </c>
      <c r="O412" s="2">
        <v>5</v>
      </c>
      <c r="P412" s="2">
        <v>6</v>
      </c>
      <c r="Q412" s="2" t="s">
        <v>35</v>
      </c>
      <c r="R412" s="2" t="s">
        <v>1764</v>
      </c>
      <c r="S412" s="2" t="s">
        <v>47</v>
      </c>
      <c r="U412" s="2">
        <v>3</v>
      </c>
      <c r="W412" s="30" t="s">
        <v>1770</v>
      </c>
      <c r="X412" s="2" t="s">
        <v>82</v>
      </c>
      <c r="Y412" s="6" t="s">
        <v>1770</v>
      </c>
      <c r="Z412" s="2" t="s">
        <v>73</v>
      </c>
      <c r="AA412" s="2" t="s">
        <v>1771</v>
      </c>
      <c r="AB412" s="2" t="str">
        <f>LEFT(A412,3)</f>
        <v>POY</v>
      </c>
    </row>
    <row r="413" spans="1:28">
      <c r="A413" s="6" t="s">
        <v>1772</v>
      </c>
      <c r="B413" s="6" t="s">
        <v>178</v>
      </c>
      <c r="C413" s="6" t="s">
        <v>68</v>
      </c>
      <c r="D413" s="6" t="s">
        <v>1773</v>
      </c>
      <c r="E413" s="6" t="s">
        <v>1773</v>
      </c>
      <c r="F413" s="6" t="s">
        <v>1774</v>
      </c>
      <c r="G413" s="2" t="s">
        <v>1775</v>
      </c>
      <c r="H413" s="2" t="s">
        <v>1773</v>
      </c>
      <c r="I413" s="2" t="s">
        <v>34</v>
      </c>
      <c r="J413" s="7">
        <v>295068.05092000001</v>
      </c>
      <c r="K413" s="7">
        <v>347204.72655000002</v>
      </c>
      <c r="L413" s="8">
        <v>164.990191023949</v>
      </c>
      <c r="M413" s="8">
        <v>-21.0705550811496</v>
      </c>
      <c r="N413" s="2">
        <v>3</v>
      </c>
      <c r="O413" s="2">
        <v>6</v>
      </c>
      <c r="P413" s="2">
        <f>N413</f>
        <v>3</v>
      </c>
      <c r="Q413" s="2" t="s">
        <v>35</v>
      </c>
      <c r="R413" s="2" t="s">
        <v>1776</v>
      </c>
      <c r="S413" s="2" t="s">
        <v>47</v>
      </c>
      <c r="U413" s="2">
        <f>P413-N413</f>
        <v>0</v>
      </c>
      <c r="W413" s="30" t="s">
        <v>1773</v>
      </c>
      <c r="X413" s="2" t="s">
        <v>82</v>
      </c>
      <c r="Y413" s="6" t="s">
        <v>1774</v>
      </c>
      <c r="Z413" s="2" t="s">
        <v>73</v>
      </c>
      <c r="AA413" s="2" t="s">
        <v>1775</v>
      </c>
      <c r="AB413" s="2" t="str">
        <f>LEFT(A413,3)</f>
        <v>PPA</v>
      </c>
    </row>
    <row r="414" spans="1:28">
      <c r="A414" s="6" t="s">
        <v>1777</v>
      </c>
      <c r="B414" s="6" t="s">
        <v>421</v>
      </c>
      <c r="C414" s="6" t="s">
        <v>43</v>
      </c>
      <c r="D414" s="6" t="s">
        <v>1778</v>
      </c>
      <c r="E414" s="6" t="s">
        <v>1778</v>
      </c>
      <c r="F414" s="6" t="s">
        <v>1778</v>
      </c>
      <c r="G414" s="2" t="s">
        <v>1779</v>
      </c>
      <c r="H414" s="2" t="s">
        <v>1778</v>
      </c>
      <c r="I414" s="2" t="s">
        <v>34</v>
      </c>
      <c r="J414" s="7">
        <v>370177.07104000001</v>
      </c>
      <c r="K414" s="7">
        <v>276167.74372000003</v>
      </c>
      <c r="L414" s="8">
        <v>165.71173525207001</v>
      </c>
      <c r="M414" s="8">
        <v>-21.7150096936865</v>
      </c>
      <c r="N414" s="2">
        <v>3</v>
      </c>
      <c r="O414" s="2">
        <v>3</v>
      </c>
      <c r="P414" s="2">
        <f>N414</f>
        <v>3</v>
      </c>
      <c r="Q414" s="2" t="s">
        <v>35</v>
      </c>
      <c r="R414" s="2" t="s">
        <v>1780</v>
      </c>
      <c r="S414" s="2" t="s">
        <v>47</v>
      </c>
      <c r="U414" s="2">
        <f>P414-N414</f>
        <v>0</v>
      </c>
      <c r="W414" s="30" t="s">
        <v>1778</v>
      </c>
      <c r="X414" s="2" t="s">
        <v>39</v>
      </c>
      <c r="Y414" s="6" t="s">
        <v>1778</v>
      </c>
      <c r="Z414" s="2" t="s">
        <v>40</v>
      </c>
      <c r="AA414" s="2" t="s">
        <v>1779</v>
      </c>
      <c r="AB414" s="2" t="str">
        <f>LEFT(A414,3)</f>
        <v>PRA</v>
      </c>
    </row>
    <row r="415" spans="1:28">
      <c r="A415" s="6" t="s">
        <v>1781</v>
      </c>
      <c r="B415" s="6" t="s">
        <v>142</v>
      </c>
      <c r="C415" s="6" t="s">
        <v>43</v>
      </c>
      <c r="D415" s="6" t="s">
        <v>1782</v>
      </c>
      <c r="E415" s="6" t="s">
        <v>52</v>
      </c>
      <c r="F415" s="6" t="s">
        <v>1783</v>
      </c>
      <c r="G415" s="6" t="s">
        <v>1783</v>
      </c>
      <c r="H415" s="6" t="s">
        <v>1783</v>
      </c>
      <c r="I415" s="2" t="s">
        <v>53</v>
      </c>
      <c r="J415" s="7">
        <v>469156</v>
      </c>
      <c r="K415" s="7">
        <v>232181</v>
      </c>
      <c r="L415" s="8">
        <v>166.67027100000001</v>
      </c>
      <c r="M415" s="8">
        <v>-22.111198999999999</v>
      </c>
      <c r="N415" s="2">
        <v>4</v>
      </c>
      <c r="O415" s="2">
        <v>4</v>
      </c>
      <c r="P415" s="2">
        <f>N415</f>
        <v>4</v>
      </c>
      <c r="Q415" s="2" t="s">
        <v>35</v>
      </c>
      <c r="R415" s="2" t="s">
        <v>1784</v>
      </c>
      <c r="S415" s="2" t="s">
        <v>47</v>
      </c>
      <c r="U415" s="2">
        <f>P415-N415</f>
        <v>0</v>
      </c>
      <c r="W415" s="30" t="s">
        <v>52</v>
      </c>
      <c r="X415" s="2" t="s">
        <v>52</v>
      </c>
      <c r="Y415" s="6" t="s">
        <v>1783</v>
      </c>
      <c r="Z415" s="2" t="s">
        <v>40</v>
      </c>
      <c r="AA415" s="6" t="s">
        <v>1783</v>
      </c>
      <c r="AB415" s="2" t="str">
        <f>LEFT(A415,3)</f>
        <v>PRB</v>
      </c>
    </row>
    <row r="416" spans="1:28">
      <c r="A416" s="6" t="s">
        <v>1785</v>
      </c>
      <c r="B416" s="6" t="s">
        <v>49</v>
      </c>
      <c r="C416" s="6" t="s">
        <v>50</v>
      </c>
      <c r="D416" s="6" t="s">
        <v>1786</v>
      </c>
      <c r="E416" s="6" t="s">
        <v>52</v>
      </c>
      <c r="F416" s="6" t="s">
        <v>1787</v>
      </c>
      <c r="G416" s="6" t="s">
        <v>1787</v>
      </c>
      <c r="H416" s="6" t="s">
        <v>1787</v>
      </c>
      <c r="I416" s="2" t="s">
        <v>53</v>
      </c>
      <c r="J416" s="7">
        <v>449519</v>
      </c>
      <c r="K416" s="7">
        <v>223112</v>
      </c>
      <c r="L416" s="8">
        <v>166.48021800000001</v>
      </c>
      <c r="M416" s="8">
        <v>-22.193753999999998</v>
      </c>
      <c r="N416" s="2">
        <v>3</v>
      </c>
      <c r="O416" s="2">
        <v>3</v>
      </c>
      <c r="P416" s="2">
        <f>N416</f>
        <v>3</v>
      </c>
      <c r="Q416" s="2" t="s">
        <v>35</v>
      </c>
      <c r="R416" s="2" t="s">
        <v>1788</v>
      </c>
      <c r="S416" s="2" t="s">
        <v>37</v>
      </c>
      <c r="U416" s="2">
        <f>P416-N416</f>
        <v>0</v>
      </c>
      <c r="W416" s="30" t="s">
        <v>52</v>
      </c>
      <c r="X416" s="2" t="s">
        <v>52</v>
      </c>
      <c r="Y416" s="6" t="s">
        <v>1787</v>
      </c>
      <c r="Z416" s="2" t="s">
        <v>40</v>
      </c>
      <c r="AA416" s="6" t="s">
        <v>1787</v>
      </c>
      <c r="AB416" s="2" t="str">
        <f>LEFT(A416,3)</f>
        <v>PRE</v>
      </c>
    </row>
    <row r="417" spans="1:28">
      <c r="A417" s="6" t="s">
        <v>1789</v>
      </c>
      <c r="B417" s="6" t="s">
        <v>93</v>
      </c>
      <c r="C417" s="6" t="s">
        <v>50</v>
      </c>
      <c r="D417" s="6" t="s">
        <v>1790</v>
      </c>
      <c r="E417" s="6" t="s">
        <v>52</v>
      </c>
      <c r="F417" s="6" t="s">
        <v>1790</v>
      </c>
      <c r="G417" s="6" t="s">
        <v>1790</v>
      </c>
      <c r="H417" s="2" t="s">
        <v>460</v>
      </c>
      <c r="I417" s="2" t="s">
        <v>53</v>
      </c>
      <c r="J417" s="7">
        <v>461183</v>
      </c>
      <c r="K417" s="7">
        <v>212793</v>
      </c>
      <c r="L417" s="8">
        <v>166.59370999999999</v>
      </c>
      <c r="M417" s="8">
        <v>-22.286581000000002</v>
      </c>
      <c r="N417" s="2">
        <v>3</v>
      </c>
      <c r="O417" s="2">
        <v>3</v>
      </c>
      <c r="P417" s="2">
        <f>N417</f>
        <v>3</v>
      </c>
      <c r="Q417" s="2" t="s">
        <v>35</v>
      </c>
      <c r="R417" s="2" t="s">
        <v>1791</v>
      </c>
      <c r="S417" s="2" t="s">
        <v>37</v>
      </c>
      <c r="U417" s="2">
        <f>P417-N417</f>
        <v>0</v>
      </c>
      <c r="W417" s="30" t="s">
        <v>52</v>
      </c>
      <c r="X417" s="2" t="s">
        <v>52</v>
      </c>
      <c r="Y417" s="6" t="s">
        <v>1792</v>
      </c>
      <c r="Z417" s="2" t="s">
        <v>40</v>
      </c>
      <c r="AA417" s="6" t="s">
        <v>1792</v>
      </c>
      <c r="AB417" s="2" t="str">
        <f>LEFT(A417,3)</f>
        <v>PRH</v>
      </c>
    </row>
    <row r="418" spans="1:28">
      <c r="A418" s="6" t="s">
        <v>1793</v>
      </c>
      <c r="B418" s="6" t="s">
        <v>98</v>
      </c>
      <c r="C418" s="6" t="s">
        <v>68</v>
      </c>
      <c r="D418" s="6" t="s">
        <v>112</v>
      </c>
      <c r="E418" s="6" t="s">
        <v>112</v>
      </c>
      <c r="F418" s="6" t="s">
        <v>1794</v>
      </c>
      <c r="G418" s="2" t="s">
        <v>1794</v>
      </c>
      <c r="H418" s="2" t="s">
        <v>112</v>
      </c>
      <c r="I418" s="2" t="s">
        <v>34</v>
      </c>
      <c r="J418" s="7">
        <v>385467.03149000002</v>
      </c>
      <c r="K418" s="7">
        <v>300085.52402000001</v>
      </c>
      <c r="L418" s="8">
        <v>165.85973346794199</v>
      </c>
      <c r="M418" s="8">
        <v>-21.4991643177393</v>
      </c>
      <c r="N418" s="2">
        <v>3</v>
      </c>
      <c r="O418" s="2">
        <v>3</v>
      </c>
      <c r="P418" s="2">
        <v>6</v>
      </c>
      <c r="Q418" s="2" t="s">
        <v>35</v>
      </c>
      <c r="R418" s="2" t="s">
        <v>1795</v>
      </c>
      <c r="S418" s="2" t="s">
        <v>47</v>
      </c>
      <c r="U418" s="2">
        <f>P418-N418</f>
        <v>3</v>
      </c>
      <c r="W418" s="30" t="s">
        <v>112</v>
      </c>
      <c r="X418" s="2" t="s">
        <v>39</v>
      </c>
      <c r="Y418" s="6" t="s">
        <v>1794</v>
      </c>
      <c r="Z418" s="2" t="s">
        <v>40</v>
      </c>
      <c r="AA418" s="6" t="s">
        <v>1794</v>
      </c>
      <c r="AB418" s="2" t="str">
        <f>LEFT(A418,3)</f>
        <v>PRK</v>
      </c>
    </row>
    <row r="419" spans="1:28">
      <c r="A419" s="2" t="s">
        <v>1796</v>
      </c>
      <c r="B419" s="2" t="s">
        <v>178</v>
      </c>
      <c r="C419" s="2" t="s">
        <v>68</v>
      </c>
      <c r="D419" s="2" t="s">
        <v>1797</v>
      </c>
      <c r="E419" s="2" t="s">
        <v>52</v>
      </c>
      <c r="F419" s="2" t="s">
        <v>1798</v>
      </c>
      <c r="G419" s="2" t="s">
        <v>1798</v>
      </c>
      <c r="H419" s="2" t="s">
        <v>1798</v>
      </c>
      <c r="I419" s="2" t="s">
        <v>53</v>
      </c>
      <c r="J419" s="2">
        <v>288258</v>
      </c>
      <c r="K419" s="2">
        <v>341345</v>
      </c>
      <c r="L419" s="2">
        <v>164.92426920606201</v>
      </c>
      <c r="M419" s="8">
        <v>-21.123074966944799</v>
      </c>
      <c r="N419" s="2">
        <v>3</v>
      </c>
      <c r="O419" s="2">
        <v>6</v>
      </c>
      <c r="P419" s="2">
        <v>6</v>
      </c>
      <c r="Q419" s="2" t="s">
        <v>35</v>
      </c>
      <c r="R419" s="2" t="s">
        <v>1799</v>
      </c>
      <c r="S419" s="2" t="s">
        <v>47</v>
      </c>
      <c r="U419" s="2">
        <f>P419-N419</f>
        <v>3</v>
      </c>
      <c r="W419" s="30" t="s">
        <v>52</v>
      </c>
      <c r="X419" s="6" t="s">
        <v>52</v>
      </c>
      <c r="Y419" s="2" t="s">
        <v>1798</v>
      </c>
      <c r="Z419" s="2" t="s">
        <v>73</v>
      </c>
      <c r="AA419" s="2" t="s">
        <v>1798</v>
      </c>
      <c r="AB419" s="2" t="str">
        <f>LEFT(A419,3)</f>
        <v>PRP</v>
      </c>
    </row>
    <row r="420" spans="1:28">
      <c r="A420" s="6" t="s">
        <v>1800</v>
      </c>
      <c r="B420" s="6" t="s">
        <v>562</v>
      </c>
      <c r="C420" s="6" t="s">
        <v>43</v>
      </c>
      <c r="D420" s="6" t="s">
        <v>1801</v>
      </c>
      <c r="E420" s="6" t="s">
        <v>1801</v>
      </c>
      <c r="F420" s="6" t="s">
        <v>1801</v>
      </c>
      <c r="G420" s="2" t="s">
        <v>1802</v>
      </c>
      <c r="H420" s="2" t="s">
        <v>1801</v>
      </c>
      <c r="I420" s="2" t="s">
        <v>34</v>
      </c>
      <c r="J420" s="7">
        <v>416588.02065999998</v>
      </c>
      <c r="K420" s="7">
        <v>281070.43563000002</v>
      </c>
      <c r="L420" s="8">
        <v>166.16028871972</v>
      </c>
      <c r="M420" s="8">
        <v>-21.670905446975102</v>
      </c>
      <c r="N420" s="2">
        <v>3</v>
      </c>
      <c r="O420" s="2">
        <v>3</v>
      </c>
      <c r="P420" s="2">
        <f>N420</f>
        <v>3</v>
      </c>
      <c r="Q420" s="2" t="s">
        <v>35</v>
      </c>
      <c r="R420" s="2" t="s">
        <v>1803</v>
      </c>
      <c r="S420" s="2" t="s">
        <v>47</v>
      </c>
      <c r="U420" s="2">
        <f>P420-N420</f>
        <v>0</v>
      </c>
      <c r="W420" s="30" t="s">
        <v>1801</v>
      </c>
      <c r="X420" s="2" t="s">
        <v>39</v>
      </c>
      <c r="Y420" s="6" t="s">
        <v>1801</v>
      </c>
      <c r="Z420" s="2" t="s">
        <v>40</v>
      </c>
      <c r="AA420" s="2" t="s">
        <v>1802</v>
      </c>
      <c r="AB420" s="2" t="str">
        <f>LEFT(A420,3)</f>
        <v>PRU</v>
      </c>
    </row>
    <row r="421" spans="1:28">
      <c r="A421" s="2" t="s">
        <v>1804</v>
      </c>
      <c r="B421" s="2" t="s">
        <v>178</v>
      </c>
      <c r="C421" s="2" t="s">
        <v>68</v>
      </c>
      <c r="D421" s="2" t="s">
        <v>1805</v>
      </c>
      <c r="E421" s="2" t="s">
        <v>52</v>
      </c>
      <c r="F421" s="2" t="s">
        <v>1806</v>
      </c>
      <c r="G421" s="2" t="s">
        <v>1806</v>
      </c>
      <c r="H421" s="2" t="s">
        <v>1806</v>
      </c>
      <c r="I421" s="2" t="s">
        <v>53</v>
      </c>
      <c r="J421" s="2">
        <v>283476</v>
      </c>
      <c r="K421" s="2">
        <v>335023</v>
      </c>
      <c r="L421" s="2">
        <v>164.87780000000001</v>
      </c>
      <c r="M421" s="8">
        <v>-21.179870000000001</v>
      </c>
      <c r="N421" s="2">
        <v>2</v>
      </c>
      <c r="O421" s="2">
        <v>1</v>
      </c>
      <c r="P421" s="2">
        <f>N421</f>
        <v>2</v>
      </c>
      <c r="Q421" s="2" t="s">
        <v>35</v>
      </c>
      <c r="R421" s="2" t="s">
        <v>1807</v>
      </c>
      <c r="S421" s="2" t="s">
        <v>47</v>
      </c>
      <c r="U421" s="2">
        <f>P421-N421</f>
        <v>0</v>
      </c>
      <c r="W421" s="30" t="s">
        <v>52</v>
      </c>
      <c r="X421" s="6" t="s">
        <v>52</v>
      </c>
      <c r="Y421" s="2" t="s">
        <v>1806</v>
      </c>
      <c r="Z421" s="2" t="s">
        <v>73</v>
      </c>
      <c r="AA421" s="2" t="s">
        <v>1806</v>
      </c>
      <c r="AB421" s="2" t="str">
        <f>LEFT(A421,3)</f>
        <v>PTA</v>
      </c>
    </row>
    <row r="422" spans="1:28">
      <c r="A422" s="6" t="s">
        <v>1808</v>
      </c>
      <c r="B422" s="6" t="s">
        <v>614</v>
      </c>
      <c r="C422" s="6" t="s">
        <v>43</v>
      </c>
      <c r="D422" s="6" t="s">
        <v>1074</v>
      </c>
      <c r="E422" s="6" t="s">
        <v>1809</v>
      </c>
      <c r="F422" s="6" t="s">
        <v>1074</v>
      </c>
      <c r="G422" s="6" t="s">
        <v>1074</v>
      </c>
      <c r="H422" s="2" t="s">
        <v>632</v>
      </c>
      <c r="I422" s="2" t="s">
        <v>34</v>
      </c>
      <c r="J422" s="7">
        <v>372364.02919999999</v>
      </c>
      <c r="K422" s="7">
        <v>281573.17794000002</v>
      </c>
      <c r="L422" s="8">
        <v>165.73296367386499</v>
      </c>
      <c r="M422" s="8">
        <v>-21.666225852644001</v>
      </c>
      <c r="N422" s="2">
        <v>3</v>
      </c>
      <c r="O422" s="2">
        <v>3</v>
      </c>
      <c r="P422" s="2">
        <v>3</v>
      </c>
      <c r="Q422" s="2" t="s">
        <v>195</v>
      </c>
      <c r="R422" s="2" t="s">
        <v>1810</v>
      </c>
      <c r="S422" s="2" t="s">
        <v>47</v>
      </c>
      <c r="U422" s="2">
        <f>P422-N422</f>
        <v>0</v>
      </c>
      <c r="V422" s="2" t="s">
        <v>102</v>
      </c>
      <c r="W422" s="30" t="s">
        <v>1809</v>
      </c>
      <c r="X422" s="2" t="s">
        <v>39</v>
      </c>
      <c r="Y422" s="6" t="s">
        <v>1074</v>
      </c>
      <c r="Z422" s="2" t="s">
        <v>40</v>
      </c>
      <c r="AA422" s="6" t="s">
        <v>1074</v>
      </c>
      <c r="AB422" s="2" t="str">
        <f>LEFT(A422,3)</f>
        <v>PTO</v>
      </c>
    </row>
    <row r="423" spans="1:28">
      <c r="A423" s="6" t="s">
        <v>1811</v>
      </c>
      <c r="B423" s="6" t="s">
        <v>142</v>
      </c>
      <c r="C423" s="6" t="s">
        <v>43</v>
      </c>
      <c r="D423" s="6" t="s">
        <v>1812</v>
      </c>
      <c r="E423" s="6" t="s">
        <v>1812</v>
      </c>
      <c r="F423" s="6" t="s">
        <v>1812</v>
      </c>
      <c r="G423" s="2" t="s">
        <v>1813</v>
      </c>
      <c r="H423" s="2" t="s">
        <v>1812</v>
      </c>
      <c r="I423" s="2" t="s">
        <v>34</v>
      </c>
      <c r="J423" s="7">
        <v>496061.06237</v>
      </c>
      <c r="K423" s="7">
        <v>233832.47164</v>
      </c>
      <c r="L423" s="8">
        <v>166.930938539051</v>
      </c>
      <c r="M423" s="8">
        <v>-22.0950436191596</v>
      </c>
      <c r="N423" s="2">
        <v>2</v>
      </c>
      <c r="O423" s="2">
        <v>2</v>
      </c>
      <c r="P423" s="2">
        <f>N423</f>
        <v>2</v>
      </c>
      <c r="Q423" s="2" t="s">
        <v>35</v>
      </c>
      <c r="R423" s="2" t="s">
        <v>1814</v>
      </c>
      <c r="S423" s="2" t="s">
        <v>47</v>
      </c>
      <c r="U423" s="2">
        <f>P423-N423</f>
        <v>0</v>
      </c>
      <c r="W423" s="30" t="s">
        <v>1812</v>
      </c>
      <c r="X423" s="2" t="s">
        <v>39</v>
      </c>
      <c r="Y423" s="6" t="s">
        <v>1812</v>
      </c>
      <c r="Z423" s="2" t="s">
        <v>40</v>
      </c>
      <c r="AA423" s="2" t="s">
        <v>1813</v>
      </c>
      <c r="AB423" s="2" t="str">
        <f>LEFT(A423,3)</f>
        <v>PUA</v>
      </c>
    </row>
    <row r="424" spans="1:28">
      <c r="A424" s="6" t="s">
        <v>1815</v>
      </c>
      <c r="B424" s="6" t="s">
        <v>123</v>
      </c>
      <c r="C424" s="6" t="s">
        <v>68</v>
      </c>
      <c r="D424" s="6" t="s">
        <v>123</v>
      </c>
      <c r="E424" s="6" t="s">
        <v>123</v>
      </c>
      <c r="F424" s="6" t="s">
        <v>123</v>
      </c>
      <c r="G424" s="2" t="s">
        <v>1816</v>
      </c>
      <c r="H424" s="2" t="s">
        <v>123</v>
      </c>
      <c r="I424" s="2" t="s">
        <v>34</v>
      </c>
      <c r="J424" s="7">
        <v>194420.42431</v>
      </c>
      <c r="K424" s="7">
        <v>438508.06557999999</v>
      </c>
      <c r="L424" s="8">
        <v>164.032743245055</v>
      </c>
      <c r="M424" s="8">
        <v>-20.2372572945707</v>
      </c>
      <c r="N424" s="2">
        <v>2</v>
      </c>
      <c r="O424" s="2">
        <v>2</v>
      </c>
      <c r="P424" s="2">
        <v>4</v>
      </c>
      <c r="Q424" s="2" t="s">
        <v>35</v>
      </c>
      <c r="R424" s="2" t="s">
        <v>1817</v>
      </c>
      <c r="S424" s="2" t="s">
        <v>47</v>
      </c>
      <c r="U424" s="2">
        <f>P424-N424</f>
        <v>2</v>
      </c>
      <c r="W424" s="30" t="s">
        <v>123</v>
      </c>
      <c r="X424" s="2" t="s">
        <v>82</v>
      </c>
      <c r="Y424" s="6" t="s">
        <v>123</v>
      </c>
      <c r="Z424" s="2" t="s">
        <v>73</v>
      </c>
      <c r="AA424" s="2" t="s">
        <v>1816</v>
      </c>
      <c r="AB424" s="2" t="str">
        <f>LEFT(A424,3)</f>
        <v>PUM</v>
      </c>
    </row>
    <row r="425" spans="1:28">
      <c r="A425" s="2" t="s">
        <v>1818</v>
      </c>
      <c r="B425" s="2" t="s">
        <v>191</v>
      </c>
      <c r="C425" s="2" t="s">
        <v>43</v>
      </c>
      <c r="D425" s="2" t="s">
        <v>1819</v>
      </c>
      <c r="E425" s="2" t="s">
        <v>52</v>
      </c>
      <c r="F425" s="2" t="s">
        <v>1820</v>
      </c>
      <c r="G425" s="2" t="s">
        <v>1820</v>
      </c>
      <c r="H425" s="2" t="s">
        <v>1820</v>
      </c>
      <c r="I425" s="2" t="s">
        <v>53</v>
      </c>
      <c r="J425" s="7">
        <v>349430</v>
      </c>
      <c r="K425" s="7">
        <v>296241</v>
      </c>
      <c r="L425" s="8">
        <v>165.51179999999999</v>
      </c>
      <c r="M425" s="8">
        <v>-21.533239999999999</v>
      </c>
      <c r="N425" s="2">
        <v>3</v>
      </c>
      <c r="O425" s="2">
        <v>3</v>
      </c>
      <c r="P425" s="2">
        <f>N425</f>
        <v>3</v>
      </c>
      <c r="Q425" s="2" t="s">
        <v>35</v>
      </c>
      <c r="R425" s="2" t="s">
        <v>1821</v>
      </c>
      <c r="S425" s="2" t="s">
        <v>47</v>
      </c>
      <c r="U425" s="2">
        <f>P425-N425</f>
        <v>0</v>
      </c>
      <c r="W425" s="30" t="s">
        <v>52</v>
      </c>
      <c r="X425" s="6" t="s">
        <v>52</v>
      </c>
      <c r="Y425" s="2" t="s">
        <v>1820</v>
      </c>
      <c r="Z425" s="2" t="s">
        <v>73</v>
      </c>
      <c r="AA425" s="2" t="s">
        <v>1820</v>
      </c>
      <c r="AB425" s="2" t="str">
        <f>LEFT(A425,3)</f>
        <v>PUO</v>
      </c>
    </row>
    <row r="426" spans="1:28">
      <c r="A426" s="6" t="s">
        <v>1822</v>
      </c>
      <c r="B426" s="6" t="s">
        <v>249</v>
      </c>
      <c r="C426" s="6" t="s">
        <v>68</v>
      </c>
      <c r="D426" s="6" t="s">
        <v>1823</v>
      </c>
      <c r="E426" s="6" t="s">
        <v>1823</v>
      </c>
      <c r="F426" s="6" t="s">
        <v>1823</v>
      </c>
      <c r="G426" s="2" t="s">
        <v>1824</v>
      </c>
      <c r="H426" s="2" t="s">
        <v>1823</v>
      </c>
      <c r="I426" s="2" t="s">
        <v>34</v>
      </c>
      <c r="J426" s="7">
        <v>263999.88692999998</v>
      </c>
      <c r="K426" s="7">
        <v>360475.95474000002</v>
      </c>
      <c r="L426" s="8">
        <v>164.692290040633</v>
      </c>
      <c r="M426" s="8">
        <v>-20.9486060095374</v>
      </c>
      <c r="N426" s="2">
        <v>3</v>
      </c>
      <c r="O426" s="2">
        <v>6</v>
      </c>
      <c r="P426" s="2">
        <v>6</v>
      </c>
      <c r="Q426" s="2" t="s">
        <v>35</v>
      </c>
      <c r="R426" s="2" t="s">
        <v>1825</v>
      </c>
      <c r="S426" s="2" t="s">
        <v>47</v>
      </c>
      <c r="U426" s="2">
        <f>P426-N426</f>
        <v>3</v>
      </c>
      <c r="W426" s="30" t="s">
        <v>1823</v>
      </c>
      <c r="X426" s="2" t="s">
        <v>82</v>
      </c>
      <c r="Y426" s="6" t="s">
        <v>1823</v>
      </c>
      <c r="Z426" s="2" t="s">
        <v>73</v>
      </c>
      <c r="AA426" s="2" t="s">
        <v>1824</v>
      </c>
      <c r="AB426" s="2" t="str">
        <f>LEFT(A426,3)</f>
        <v>PWA</v>
      </c>
    </row>
    <row r="427" spans="1:28">
      <c r="A427" s="6" t="s">
        <v>1826</v>
      </c>
      <c r="B427" s="6" t="s">
        <v>67</v>
      </c>
      <c r="C427" s="6" t="s">
        <v>68</v>
      </c>
      <c r="D427" s="6" t="s">
        <v>1827</v>
      </c>
      <c r="E427" s="6" t="s">
        <v>1828</v>
      </c>
      <c r="F427" s="6" t="s">
        <v>1829</v>
      </c>
      <c r="G427" s="2" t="s">
        <v>1829</v>
      </c>
      <c r="H427" s="2" t="s">
        <v>1829</v>
      </c>
      <c r="I427" s="2" t="s">
        <v>34</v>
      </c>
      <c r="J427" s="7">
        <v>296901.03307</v>
      </c>
      <c r="K427" s="7">
        <v>356304.12378000002</v>
      </c>
      <c r="L427" s="8">
        <v>165.008385780998</v>
      </c>
      <c r="M427" s="8">
        <v>-20.988474681431001</v>
      </c>
      <c r="N427" s="2">
        <v>2</v>
      </c>
      <c r="O427" s="2">
        <v>3</v>
      </c>
      <c r="P427" s="2">
        <v>4</v>
      </c>
      <c r="Q427" s="2" t="s">
        <v>151</v>
      </c>
      <c r="R427" s="2" t="s">
        <v>1830</v>
      </c>
      <c r="S427" s="2" t="s">
        <v>47</v>
      </c>
      <c r="U427" s="2">
        <f>P427-N427</f>
        <v>2</v>
      </c>
      <c r="V427" s="2" t="s">
        <v>102</v>
      </c>
      <c r="W427" s="30" t="s">
        <v>1828</v>
      </c>
      <c r="X427" s="2" t="s">
        <v>82</v>
      </c>
      <c r="Y427" s="6" t="s">
        <v>1829</v>
      </c>
      <c r="Z427" s="2" t="s">
        <v>73</v>
      </c>
      <c r="AA427" s="2" t="s">
        <v>1829</v>
      </c>
      <c r="AB427" s="2" t="str">
        <f>LEFT(A427,3)</f>
        <v>PWD</v>
      </c>
    </row>
    <row r="428" spans="1:28">
      <c r="A428" s="6" t="s">
        <v>1831</v>
      </c>
      <c r="B428" s="6" t="s">
        <v>67</v>
      </c>
      <c r="C428" s="6" t="s">
        <v>68</v>
      </c>
      <c r="D428" s="6" t="s">
        <v>1832</v>
      </c>
      <c r="E428" s="6" t="s">
        <v>1832</v>
      </c>
      <c r="F428" s="6" t="s">
        <v>1833</v>
      </c>
      <c r="G428" s="2" t="s">
        <v>1833</v>
      </c>
      <c r="H428" s="2" t="s">
        <v>1832</v>
      </c>
      <c r="I428" s="2" t="s">
        <v>34</v>
      </c>
      <c r="J428" s="7">
        <v>298639.01504999999</v>
      </c>
      <c r="K428" s="7">
        <v>359009.69880999997</v>
      </c>
      <c r="L428" s="8">
        <v>165.025263843804</v>
      </c>
      <c r="M428" s="8">
        <v>-20.9641315912687</v>
      </c>
      <c r="N428" s="2">
        <v>2</v>
      </c>
      <c r="O428" s="2">
        <v>2</v>
      </c>
      <c r="P428" s="2">
        <v>2</v>
      </c>
      <c r="Q428" s="2" t="s">
        <v>35</v>
      </c>
      <c r="R428" s="2" t="s">
        <v>1834</v>
      </c>
      <c r="S428" s="2" t="s">
        <v>47</v>
      </c>
      <c r="U428" s="2">
        <f>P428-N428</f>
        <v>0</v>
      </c>
      <c r="V428" s="2" t="s">
        <v>102</v>
      </c>
      <c r="W428" s="30" t="s">
        <v>1832</v>
      </c>
      <c r="X428" s="2" t="s">
        <v>82</v>
      </c>
      <c r="Y428" s="6" t="s">
        <v>1833</v>
      </c>
      <c r="Z428" s="2" t="s">
        <v>73</v>
      </c>
      <c r="AA428" s="2" t="s">
        <v>1833</v>
      </c>
      <c r="AB428" s="2" t="str">
        <f>LEFT(A428,3)</f>
        <v>PWN</v>
      </c>
    </row>
    <row r="429" spans="1:28">
      <c r="A429" s="6" t="s">
        <v>1835</v>
      </c>
      <c r="B429" s="6" t="s">
        <v>104</v>
      </c>
      <c r="C429" s="6" t="s">
        <v>68</v>
      </c>
      <c r="D429" s="6" t="s">
        <v>1836</v>
      </c>
      <c r="E429" s="6" t="s">
        <v>1837</v>
      </c>
      <c r="F429" s="6" t="s">
        <v>1836</v>
      </c>
      <c r="G429" s="2" t="s">
        <v>1836</v>
      </c>
      <c r="H429" s="2" t="s">
        <v>231</v>
      </c>
      <c r="I429" s="2" t="s">
        <v>34</v>
      </c>
      <c r="J429" s="7">
        <v>312014</v>
      </c>
      <c r="K429" s="7">
        <v>366922.90629999997</v>
      </c>
      <c r="L429" s="8">
        <v>165.15429324154499</v>
      </c>
      <c r="M429" s="8">
        <v>-20.8933611663319</v>
      </c>
      <c r="N429" s="2">
        <v>2</v>
      </c>
      <c r="O429" s="2">
        <v>2</v>
      </c>
      <c r="P429" s="2">
        <v>2</v>
      </c>
      <c r="Q429" s="2" t="s">
        <v>195</v>
      </c>
      <c r="R429" s="2" t="s">
        <v>1838</v>
      </c>
      <c r="S429" s="2" t="s">
        <v>47</v>
      </c>
      <c r="U429" s="2">
        <f>P429-N429</f>
        <v>0</v>
      </c>
      <c r="V429" s="2" t="s">
        <v>102</v>
      </c>
      <c r="W429" s="30" t="s">
        <v>1837</v>
      </c>
      <c r="X429" s="2" t="s">
        <v>82</v>
      </c>
      <c r="Y429" s="2" t="s">
        <v>1836</v>
      </c>
      <c r="Z429" s="2" t="s">
        <v>73</v>
      </c>
      <c r="AA429" s="2" t="s">
        <v>1836</v>
      </c>
      <c r="AB429" s="2" t="str">
        <f>LEFT(A429,3)</f>
        <v>PWT</v>
      </c>
    </row>
    <row r="430" spans="1:28">
      <c r="A430" s="6" t="s">
        <v>1839</v>
      </c>
      <c r="B430" s="6" t="s">
        <v>29</v>
      </c>
      <c r="C430" s="6" t="s">
        <v>30</v>
      </c>
      <c r="D430" s="6" t="s">
        <v>1840</v>
      </c>
      <c r="E430" s="6" t="s">
        <v>1840</v>
      </c>
      <c r="F430" s="6" t="s">
        <v>1840</v>
      </c>
      <c r="G430" s="2" t="s">
        <v>1841</v>
      </c>
      <c r="H430" s="2" t="s">
        <v>1840</v>
      </c>
      <c r="I430" s="2" t="s">
        <v>34</v>
      </c>
      <c r="J430" s="7">
        <v>448487.64188000001</v>
      </c>
      <c r="K430" s="7">
        <v>215574.99414</v>
      </c>
      <c r="L430" s="8">
        <v>166.47043954493</v>
      </c>
      <c r="M430" s="8">
        <v>-22.261848186854699</v>
      </c>
      <c r="N430" s="2">
        <v>1</v>
      </c>
      <c r="O430" s="2">
        <v>2</v>
      </c>
      <c r="P430" s="2">
        <f>N430</f>
        <v>1</v>
      </c>
      <c r="Q430" s="2" t="s">
        <v>35</v>
      </c>
      <c r="R430" s="2" t="s">
        <v>1842</v>
      </c>
      <c r="S430" s="2" t="s">
        <v>37</v>
      </c>
      <c r="U430" s="2">
        <f>P430-N430</f>
        <v>0</v>
      </c>
      <c r="W430" s="30" t="s">
        <v>52</v>
      </c>
      <c r="X430" s="2" t="s">
        <v>39</v>
      </c>
      <c r="Y430" s="6" t="s">
        <v>1840</v>
      </c>
      <c r="Z430" s="2" t="s">
        <v>40</v>
      </c>
      <c r="AA430" s="2" t="s">
        <v>1841</v>
      </c>
      <c r="AB430" s="2" t="str">
        <f>LEFT(A430,3)</f>
        <v>RAB</v>
      </c>
    </row>
    <row r="431" spans="1:28">
      <c r="A431" s="1" t="s">
        <v>1843</v>
      </c>
      <c r="B431" s="2" t="s">
        <v>29</v>
      </c>
      <c r="C431" s="6" t="s">
        <v>30</v>
      </c>
      <c r="D431" s="1" t="s">
        <v>1696</v>
      </c>
      <c r="E431" s="1" t="s">
        <v>1696</v>
      </c>
      <c r="F431" s="1" t="s">
        <v>1844</v>
      </c>
      <c r="G431" s="2" t="s">
        <v>1845</v>
      </c>
      <c r="H431" s="2" t="s">
        <v>1696</v>
      </c>
      <c r="I431" s="2" t="s">
        <v>34</v>
      </c>
      <c r="J431" s="7">
        <v>446768.78480999998</v>
      </c>
      <c r="K431" s="7">
        <v>216211.03727</v>
      </c>
      <c r="L431" s="8">
        <v>166.45374367399299</v>
      </c>
      <c r="M431" s="8">
        <v>-22.256150492232798</v>
      </c>
      <c r="N431" s="2">
        <v>3</v>
      </c>
      <c r="O431" s="2">
        <v>3</v>
      </c>
      <c r="P431" s="2">
        <f>N431</f>
        <v>3</v>
      </c>
      <c r="Q431" s="2" t="s">
        <v>35</v>
      </c>
      <c r="R431" s="2" t="s">
        <v>1846</v>
      </c>
      <c r="S431" s="2" t="s">
        <v>37</v>
      </c>
      <c r="T431" s="2" t="s">
        <v>205</v>
      </c>
      <c r="U431" s="2">
        <f>P431-N431</f>
        <v>0</v>
      </c>
      <c r="V431" s="2" t="s">
        <v>38</v>
      </c>
      <c r="W431" s="30" t="s">
        <v>1696</v>
      </c>
      <c r="X431" s="2" t="s">
        <v>39</v>
      </c>
      <c r="Y431" s="1" t="s">
        <v>1844</v>
      </c>
      <c r="Z431" s="2" t="s">
        <v>40</v>
      </c>
      <c r="AA431" s="2" t="s">
        <v>1845</v>
      </c>
      <c r="AB431" s="2" t="str">
        <f>LEFT(A431,3)</f>
        <v>RAV</v>
      </c>
    </row>
    <row r="432" spans="1:28">
      <c r="A432" s="2" t="s">
        <v>1847</v>
      </c>
      <c r="B432" s="2" t="s">
        <v>351</v>
      </c>
      <c r="C432" s="2" t="s">
        <v>129</v>
      </c>
      <c r="D432" s="6" t="s">
        <v>1848</v>
      </c>
      <c r="E432" s="2" t="s">
        <v>1849</v>
      </c>
      <c r="F432" s="6" t="s">
        <v>1850</v>
      </c>
      <c r="G432" s="6" t="s">
        <v>1850</v>
      </c>
      <c r="H432" s="6" t="s">
        <v>1850</v>
      </c>
      <c r="I432" s="2" t="s">
        <v>53</v>
      </c>
      <c r="J432" s="7">
        <v>604672</v>
      </c>
      <c r="K432" s="7">
        <v>298650</v>
      </c>
      <c r="L432" s="2">
        <v>167.975480391079</v>
      </c>
      <c r="M432" s="8">
        <v>-21.500512781852802</v>
      </c>
      <c r="N432" s="2">
        <v>3</v>
      </c>
      <c r="O432" s="2">
        <v>3</v>
      </c>
      <c r="P432" s="2">
        <v>3</v>
      </c>
      <c r="Q432" s="2" t="s">
        <v>35</v>
      </c>
      <c r="R432" s="2" t="s">
        <v>1851</v>
      </c>
      <c r="S432" s="2" t="s">
        <v>47</v>
      </c>
      <c r="U432" s="2">
        <f>P432-N432</f>
        <v>0</v>
      </c>
      <c r="W432" s="30" t="s">
        <v>1849</v>
      </c>
      <c r="X432" s="2" t="s">
        <v>82</v>
      </c>
      <c r="Y432" s="6" t="s">
        <v>1850</v>
      </c>
      <c r="Z432" s="2" t="s">
        <v>73</v>
      </c>
      <c r="AA432" s="6" t="s">
        <v>1850</v>
      </c>
      <c r="AB432" s="2" t="str">
        <f>LEFT(A432,3)</f>
        <v>RAW</v>
      </c>
    </row>
    <row r="433" spans="1:28">
      <c r="A433" s="6" t="s">
        <v>1852</v>
      </c>
      <c r="B433" s="6" t="s">
        <v>207</v>
      </c>
      <c r="C433" s="6" t="s">
        <v>43</v>
      </c>
      <c r="D433" s="6" t="s">
        <v>1853</v>
      </c>
      <c r="E433" s="6" t="s">
        <v>1853</v>
      </c>
      <c r="F433" s="6" t="s">
        <v>1853</v>
      </c>
      <c r="G433" s="2" t="s">
        <v>1854</v>
      </c>
      <c r="H433" s="2" t="s">
        <v>1853</v>
      </c>
      <c r="I433" s="2" t="s">
        <v>34</v>
      </c>
      <c r="J433" s="7">
        <v>399960.97853999998</v>
      </c>
      <c r="K433" s="7">
        <v>251045.23634999999</v>
      </c>
      <c r="L433" s="8">
        <v>165.99962244479599</v>
      </c>
      <c r="M433" s="8">
        <v>-21.942167440056899</v>
      </c>
      <c r="N433" s="2">
        <v>3</v>
      </c>
      <c r="O433" s="2">
        <v>6</v>
      </c>
      <c r="P433" s="2">
        <v>6</v>
      </c>
      <c r="Q433" s="2" t="s">
        <v>35</v>
      </c>
      <c r="R433" s="2" t="s">
        <v>1855</v>
      </c>
      <c r="S433" s="2" t="s">
        <v>47</v>
      </c>
      <c r="U433" s="2">
        <f>P433-N433</f>
        <v>3</v>
      </c>
      <c r="W433" s="30" t="s">
        <v>1853</v>
      </c>
      <c r="X433" s="2" t="s">
        <v>39</v>
      </c>
      <c r="Y433" s="6" t="s">
        <v>1853</v>
      </c>
      <c r="Z433" s="2" t="s">
        <v>40</v>
      </c>
      <c r="AA433" s="2" t="s">
        <v>1854</v>
      </c>
      <c r="AB433" s="2" t="str">
        <f>LEFT(A433,3)</f>
        <v>RBK</v>
      </c>
    </row>
    <row r="434" spans="1:28">
      <c r="A434" s="6" t="s">
        <v>1856</v>
      </c>
      <c r="B434" s="6" t="s">
        <v>56</v>
      </c>
      <c r="C434" s="6" t="s">
        <v>50</v>
      </c>
      <c r="D434" s="6" t="s">
        <v>1857</v>
      </c>
      <c r="E434" s="6" t="s">
        <v>1857</v>
      </c>
      <c r="F434" s="6" t="s">
        <v>1857</v>
      </c>
      <c r="G434" s="2" t="s">
        <v>1858</v>
      </c>
      <c r="H434" s="2" t="s">
        <v>1857</v>
      </c>
      <c r="I434" s="2" t="s">
        <v>34</v>
      </c>
      <c r="J434" s="7">
        <v>428304</v>
      </c>
      <c r="K434" s="7">
        <v>237838</v>
      </c>
      <c r="L434" s="8">
        <v>166.27423227592499</v>
      </c>
      <c r="M434" s="8">
        <v>-22.061222993292699</v>
      </c>
      <c r="N434" s="2">
        <v>3</v>
      </c>
      <c r="O434" s="2">
        <v>6</v>
      </c>
      <c r="P434" s="2">
        <v>9</v>
      </c>
      <c r="Q434" s="2" t="s">
        <v>35</v>
      </c>
      <c r="R434" s="2" t="s">
        <v>1859</v>
      </c>
      <c r="S434" s="2" t="s">
        <v>47</v>
      </c>
      <c r="U434" s="2">
        <f>P434-N434</f>
        <v>6</v>
      </c>
      <c r="W434" s="30" t="s">
        <v>1857</v>
      </c>
      <c r="X434" s="2" t="s">
        <v>39</v>
      </c>
      <c r="Y434" s="6" t="s">
        <v>1857</v>
      </c>
      <c r="Z434" s="2" t="s">
        <v>40</v>
      </c>
      <c r="AA434" s="2" t="s">
        <v>1858</v>
      </c>
      <c r="AB434" s="2" t="str">
        <f>LEFT(A434,3)</f>
        <v>RBL</v>
      </c>
    </row>
    <row r="435" spans="1:28">
      <c r="A435" s="6" t="s">
        <v>1860</v>
      </c>
      <c r="B435" s="6" t="s">
        <v>191</v>
      </c>
      <c r="C435" s="6" t="s">
        <v>43</v>
      </c>
      <c r="D435" s="6" t="s">
        <v>1861</v>
      </c>
      <c r="E435" s="6" t="s">
        <v>1861</v>
      </c>
      <c r="F435" s="6" t="s">
        <v>1861</v>
      </c>
      <c r="G435" s="2" t="s">
        <v>1862</v>
      </c>
      <c r="H435" s="2" t="s">
        <v>1861</v>
      </c>
      <c r="I435" s="2" t="s">
        <v>34</v>
      </c>
      <c r="J435" s="7">
        <v>347545</v>
      </c>
      <c r="K435" s="7">
        <v>292273</v>
      </c>
      <c r="L435" s="8">
        <v>165.493483242856</v>
      </c>
      <c r="M435" s="8">
        <v>-21.569025849985401</v>
      </c>
      <c r="N435" s="2">
        <v>3</v>
      </c>
      <c r="O435" s="2">
        <v>6</v>
      </c>
      <c r="P435" s="2">
        <v>9</v>
      </c>
      <c r="Q435" s="2" t="s">
        <v>35</v>
      </c>
      <c r="R435" s="2" t="s">
        <v>1863</v>
      </c>
      <c r="S435" s="2" t="s">
        <v>37</v>
      </c>
      <c r="U435" s="2">
        <f>P435-N435</f>
        <v>6</v>
      </c>
      <c r="W435" s="30" t="s">
        <v>1861</v>
      </c>
      <c r="X435" s="2" t="s">
        <v>82</v>
      </c>
      <c r="Y435" s="6" t="s">
        <v>1861</v>
      </c>
      <c r="Z435" s="2" t="s">
        <v>73</v>
      </c>
      <c r="AA435" s="2" t="s">
        <v>1862</v>
      </c>
      <c r="AB435" s="2" t="str">
        <f>LEFT(A435,3)</f>
        <v>RBO</v>
      </c>
    </row>
    <row r="436" spans="1:28">
      <c r="A436" s="6" t="s">
        <v>1864</v>
      </c>
      <c r="B436" s="6" t="s">
        <v>173</v>
      </c>
      <c r="C436" s="6" t="s">
        <v>68</v>
      </c>
      <c r="D436" s="6" t="s">
        <v>1865</v>
      </c>
      <c r="E436" s="6" t="s">
        <v>1866</v>
      </c>
      <c r="F436" s="6" t="s">
        <v>1867</v>
      </c>
      <c r="G436" s="6" t="s">
        <v>1867</v>
      </c>
      <c r="H436" s="2" t="s">
        <v>123</v>
      </c>
      <c r="I436" s="2" t="s">
        <v>34</v>
      </c>
      <c r="J436" s="7">
        <v>155037.00541000001</v>
      </c>
      <c r="K436" s="7">
        <v>494341.77321999997</v>
      </c>
      <c r="L436" s="8">
        <v>163.663910965291</v>
      </c>
      <c r="M436" s="8">
        <v>-19.7281799039697</v>
      </c>
      <c r="N436" s="2">
        <v>2</v>
      </c>
      <c r="O436" s="2">
        <v>2</v>
      </c>
      <c r="P436" s="2">
        <v>2</v>
      </c>
      <c r="Q436" s="2" t="s">
        <v>195</v>
      </c>
      <c r="R436" s="2" t="s">
        <v>1868</v>
      </c>
      <c r="S436" s="2" t="s">
        <v>47</v>
      </c>
      <c r="U436" s="2">
        <f>P436-N436</f>
        <v>0</v>
      </c>
      <c r="W436" s="30" t="s">
        <v>1869</v>
      </c>
      <c r="X436" s="2" t="s">
        <v>82</v>
      </c>
      <c r="Y436" s="6" t="s">
        <v>1867</v>
      </c>
      <c r="Z436" s="2" t="s">
        <v>73</v>
      </c>
      <c r="AA436" s="6" t="s">
        <v>1867</v>
      </c>
      <c r="AB436" s="2" t="str">
        <f>LEFT(A436,3)</f>
        <v>RBP</v>
      </c>
    </row>
    <row r="437" spans="1:28">
      <c r="A437" s="6" t="s">
        <v>1870</v>
      </c>
      <c r="B437" s="2" t="s">
        <v>56</v>
      </c>
      <c r="C437" s="2" t="s">
        <v>50</v>
      </c>
      <c r="D437" s="6" t="s">
        <v>1871</v>
      </c>
      <c r="E437" s="2" t="s">
        <v>1871</v>
      </c>
      <c r="F437" s="2" t="s">
        <v>1871</v>
      </c>
      <c r="G437" s="2" t="s">
        <v>1872</v>
      </c>
      <c r="H437" s="2" t="s">
        <v>1871</v>
      </c>
      <c r="I437" s="2" t="s">
        <v>34</v>
      </c>
      <c r="J437" s="7">
        <v>434975</v>
      </c>
      <c r="K437" s="7">
        <v>231123</v>
      </c>
      <c r="L437" s="8">
        <v>166.33900727992801</v>
      </c>
      <c r="M437" s="8">
        <v>-22.1217500518528</v>
      </c>
      <c r="N437" s="2">
        <v>2</v>
      </c>
      <c r="O437" s="2">
        <v>4</v>
      </c>
      <c r="P437" s="2">
        <v>6</v>
      </c>
      <c r="Q437" s="2" t="s">
        <v>35</v>
      </c>
      <c r="R437" s="2" t="s">
        <v>1873</v>
      </c>
      <c r="S437" s="2" t="s">
        <v>37</v>
      </c>
      <c r="U437" s="2">
        <f>P437-N437</f>
        <v>4</v>
      </c>
      <c r="W437" s="30" t="s">
        <v>52</v>
      </c>
      <c r="X437" s="2" t="s">
        <v>39</v>
      </c>
      <c r="Y437" s="2" t="s">
        <v>1871</v>
      </c>
      <c r="Z437" s="2" t="s">
        <v>40</v>
      </c>
      <c r="AA437" s="2" t="s">
        <v>1872</v>
      </c>
      <c r="AB437" s="2" t="str">
        <f>LEFT(A437,3)</f>
        <v>RBV</v>
      </c>
    </row>
    <row r="438" spans="1:28">
      <c r="A438" s="6" t="s">
        <v>1874</v>
      </c>
      <c r="B438" s="2" t="s">
        <v>49</v>
      </c>
      <c r="C438" s="2" t="s">
        <v>50</v>
      </c>
      <c r="D438" s="6" t="s">
        <v>1875</v>
      </c>
      <c r="E438" s="6" t="s">
        <v>1875</v>
      </c>
      <c r="F438" s="6" t="s">
        <v>1876</v>
      </c>
      <c r="G438" s="6" t="s">
        <v>1876</v>
      </c>
      <c r="H438" s="6" t="s">
        <v>1876</v>
      </c>
      <c r="I438" s="2" t="s">
        <v>53</v>
      </c>
      <c r="J438" s="7">
        <v>446380</v>
      </c>
      <c r="K438" s="7">
        <v>222330</v>
      </c>
      <c r="L438" s="8">
        <v>166.44979888105499</v>
      </c>
      <c r="M438" s="8">
        <v>-22.200900643168499</v>
      </c>
      <c r="N438" s="2">
        <v>3</v>
      </c>
      <c r="O438" s="2">
        <v>9</v>
      </c>
      <c r="P438" s="2">
        <v>9</v>
      </c>
      <c r="Q438" s="2" t="s">
        <v>35</v>
      </c>
      <c r="R438" s="2" t="s">
        <v>1877</v>
      </c>
      <c r="S438" s="2" t="s">
        <v>37</v>
      </c>
      <c r="T438" s="2" t="s">
        <v>205</v>
      </c>
      <c r="U438" s="2">
        <f>P438-N438</f>
        <v>6</v>
      </c>
      <c r="V438" s="2" t="s">
        <v>38</v>
      </c>
      <c r="W438" s="30" t="s">
        <v>1875</v>
      </c>
      <c r="X438" s="2" t="s">
        <v>39</v>
      </c>
      <c r="Y438" s="6" t="s">
        <v>1876</v>
      </c>
      <c r="Z438" s="2" t="s">
        <v>40</v>
      </c>
      <c r="AA438" s="2" t="s">
        <v>1876</v>
      </c>
      <c r="AB438" s="2" t="str">
        <f>LEFT(A438,3)</f>
        <v>RDN</v>
      </c>
    </row>
    <row r="439" spans="1:28">
      <c r="A439" s="6" t="s">
        <v>1878</v>
      </c>
      <c r="B439" s="2" t="s">
        <v>49</v>
      </c>
      <c r="C439" s="2" t="s">
        <v>50</v>
      </c>
      <c r="D439" s="6" t="s">
        <v>1879</v>
      </c>
      <c r="E439" s="6" t="s">
        <v>1879</v>
      </c>
      <c r="F439" s="6" t="s">
        <v>1880</v>
      </c>
      <c r="G439" s="6" t="s">
        <v>1880</v>
      </c>
      <c r="H439" s="6" t="s">
        <v>1880</v>
      </c>
      <c r="I439" s="2" t="s">
        <v>53</v>
      </c>
      <c r="J439" s="7">
        <v>446380</v>
      </c>
      <c r="K439" s="7">
        <v>222330</v>
      </c>
      <c r="L439" s="8">
        <v>166.44979888105499</v>
      </c>
      <c r="M439" s="8">
        <v>-22.200900643168499</v>
      </c>
      <c r="N439" s="2">
        <v>3</v>
      </c>
      <c r="O439" s="2">
        <v>9</v>
      </c>
      <c r="P439" s="2">
        <v>9</v>
      </c>
      <c r="Q439" s="2" t="s">
        <v>35</v>
      </c>
      <c r="R439" s="2" t="s">
        <v>1881</v>
      </c>
      <c r="S439" s="2" t="s">
        <v>37</v>
      </c>
      <c r="U439" s="2">
        <f>P439-N439</f>
        <v>6</v>
      </c>
      <c r="V439" s="2" t="s">
        <v>38</v>
      </c>
      <c r="W439" s="30" t="s">
        <v>1879</v>
      </c>
      <c r="X439" s="2" t="s">
        <v>39</v>
      </c>
      <c r="Y439" s="6" t="s">
        <v>1880</v>
      </c>
      <c r="Z439" s="2" t="s">
        <v>40</v>
      </c>
      <c r="AA439" s="2" t="s">
        <v>1880</v>
      </c>
      <c r="AB439" s="2" t="str">
        <f>LEFT(A439,3)</f>
        <v>RDS</v>
      </c>
    </row>
    <row r="440" spans="1:28">
      <c r="A440" s="6" t="s">
        <v>1882</v>
      </c>
      <c r="B440" s="2" t="s">
        <v>191</v>
      </c>
      <c r="C440" s="2" t="s">
        <v>43</v>
      </c>
      <c r="D440" s="6" t="s">
        <v>1883</v>
      </c>
      <c r="E440" s="6" t="s">
        <v>52</v>
      </c>
      <c r="F440" s="6" t="s">
        <v>1884</v>
      </c>
      <c r="G440" s="6" t="s">
        <v>1884</v>
      </c>
      <c r="H440" s="6" t="s">
        <v>1884</v>
      </c>
      <c r="I440" s="2" t="s">
        <v>53</v>
      </c>
      <c r="J440" s="7">
        <v>336799</v>
      </c>
      <c r="K440" s="7">
        <v>288960</v>
      </c>
      <c r="L440" s="8">
        <v>165.38959360699999</v>
      </c>
      <c r="M440" s="8">
        <v>-21.598603089000001</v>
      </c>
      <c r="N440" s="2">
        <v>3</v>
      </c>
      <c r="O440" s="2">
        <v>3</v>
      </c>
      <c r="P440" s="2">
        <v>3</v>
      </c>
      <c r="Q440" s="2" t="s">
        <v>35</v>
      </c>
      <c r="R440" s="2" t="s">
        <v>1885</v>
      </c>
      <c r="S440" s="2" t="s">
        <v>47</v>
      </c>
      <c r="U440" s="2">
        <f>P440-N440</f>
        <v>0</v>
      </c>
      <c r="V440" s="2" t="s">
        <v>38</v>
      </c>
      <c r="W440" s="30" t="s">
        <v>52</v>
      </c>
      <c r="X440" s="2" t="s">
        <v>52</v>
      </c>
      <c r="Y440" s="6" t="s">
        <v>1884</v>
      </c>
      <c r="Z440" s="2" t="s">
        <v>73</v>
      </c>
      <c r="AA440" s="6" t="s">
        <v>1884</v>
      </c>
      <c r="AB440" s="2" t="str">
        <f>LEFT(A440,3)</f>
        <v>RDV</v>
      </c>
    </row>
    <row r="441" spans="1:28">
      <c r="A441" s="6" t="s">
        <v>1886</v>
      </c>
      <c r="B441" s="6" t="s">
        <v>29</v>
      </c>
      <c r="C441" s="6" t="s">
        <v>30</v>
      </c>
      <c r="D441" s="6" t="s">
        <v>1887</v>
      </c>
      <c r="E441" s="6" t="s">
        <v>1887</v>
      </c>
      <c r="F441" s="6" t="s">
        <v>1888</v>
      </c>
      <c r="G441" s="6" t="s">
        <v>1888</v>
      </c>
      <c r="H441" s="6" t="s">
        <v>1888</v>
      </c>
      <c r="I441" s="2" t="s">
        <v>53</v>
      </c>
      <c r="J441" s="7">
        <v>445675.61654999998</v>
      </c>
      <c r="K441" s="7">
        <v>214091.42343</v>
      </c>
      <c r="L441" s="8">
        <v>166.443197971046</v>
      </c>
      <c r="M441" s="8">
        <v>-22.2753240439142</v>
      </c>
      <c r="N441" s="2">
        <v>3</v>
      </c>
      <c r="O441" s="2">
        <v>9</v>
      </c>
      <c r="P441" s="2">
        <v>9</v>
      </c>
      <c r="Q441" s="2" t="s">
        <v>35</v>
      </c>
      <c r="R441" s="2" t="s">
        <v>1887</v>
      </c>
      <c r="S441" s="2" t="s">
        <v>37</v>
      </c>
      <c r="U441" s="2">
        <f>P441-N441</f>
        <v>6</v>
      </c>
      <c r="W441" s="30" t="s">
        <v>52</v>
      </c>
      <c r="X441" s="2" t="s">
        <v>39</v>
      </c>
      <c r="Y441" s="6" t="s">
        <v>1888</v>
      </c>
      <c r="Z441" s="2" t="s">
        <v>40</v>
      </c>
      <c r="AA441" s="6" t="s">
        <v>1888</v>
      </c>
      <c r="AB441" s="2" t="str">
        <f>LEFT(A441,3)</f>
        <v>REP</v>
      </c>
    </row>
    <row r="442" spans="1:28">
      <c r="A442" s="6" t="s">
        <v>1889</v>
      </c>
      <c r="B442" s="6" t="s">
        <v>67</v>
      </c>
      <c r="C442" s="6" t="s">
        <v>68</v>
      </c>
      <c r="D442" s="6" t="s">
        <v>1890</v>
      </c>
      <c r="E442" s="6" t="s">
        <v>1890</v>
      </c>
      <c r="F442" s="6" t="s">
        <v>1890</v>
      </c>
      <c r="G442" s="2" t="s">
        <v>1891</v>
      </c>
      <c r="H442" s="2" t="s">
        <v>1890</v>
      </c>
      <c r="I442" s="2" t="s">
        <v>34</v>
      </c>
      <c r="J442" s="7">
        <v>282259.99375000002</v>
      </c>
      <c r="K442" s="7">
        <v>345905.26766999997</v>
      </c>
      <c r="L442" s="8">
        <v>164.86684713929401</v>
      </c>
      <c r="M442" s="8">
        <v>-21.081504309232098</v>
      </c>
      <c r="N442" s="2">
        <v>3</v>
      </c>
      <c r="O442" s="2">
        <v>9</v>
      </c>
      <c r="P442" s="2">
        <v>9</v>
      </c>
      <c r="Q442" s="2" t="s">
        <v>35</v>
      </c>
      <c r="R442" s="2" t="s">
        <v>1892</v>
      </c>
      <c r="S442" s="2" t="s">
        <v>37</v>
      </c>
      <c r="U442" s="2">
        <f>P442-N442</f>
        <v>6</v>
      </c>
      <c r="W442" s="30" t="s">
        <v>1890</v>
      </c>
      <c r="X442" s="2" t="s">
        <v>82</v>
      </c>
      <c r="Y442" s="6" t="s">
        <v>1890</v>
      </c>
      <c r="Z442" s="2" t="s">
        <v>73</v>
      </c>
      <c r="AA442" s="2" t="s">
        <v>1891</v>
      </c>
      <c r="AB442" s="2" t="str">
        <f>LEFT(A442,3)</f>
        <v>RGA</v>
      </c>
    </row>
    <row r="443" spans="1:28">
      <c r="A443" s="6" t="s">
        <v>1893</v>
      </c>
      <c r="B443" s="6" t="s">
        <v>148</v>
      </c>
      <c r="C443" s="6" t="s">
        <v>68</v>
      </c>
      <c r="D443" s="6" t="s">
        <v>1894</v>
      </c>
      <c r="E443" s="6" t="s">
        <v>52</v>
      </c>
      <c r="F443" s="6" t="s">
        <v>1895</v>
      </c>
      <c r="G443" s="6" t="s">
        <v>1895</v>
      </c>
      <c r="H443" s="6" t="s">
        <v>1895</v>
      </c>
      <c r="I443" s="2" t="s">
        <v>53</v>
      </c>
      <c r="J443" s="7">
        <v>324142</v>
      </c>
      <c r="K443" s="7">
        <v>331453</v>
      </c>
      <c r="L443" s="8">
        <v>165.26927000000001</v>
      </c>
      <c r="M443" s="8">
        <v>-21.214296999999998</v>
      </c>
      <c r="N443" s="2">
        <v>3</v>
      </c>
      <c r="O443" s="2">
        <v>3</v>
      </c>
      <c r="P443" s="2">
        <v>3</v>
      </c>
      <c r="Q443" s="2" t="s">
        <v>35</v>
      </c>
      <c r="R443" s="2" t="s">
        <v>1896</v>
      </c>
      <c r="S443" s="2" t="s">
        <v>47</v>
      </c>
      <c r="U443" s="2">
        <f>P443-N443</f>
        <v>0</v>
      </c>
      <c r="W443" s="30" t="s">
        <v>52</v>
      </c>
      <c r="X443" s="2" t="s">
        <v>52</v>
      </c>
      <c r="Y443" s="6" t="s">
        <v>1895</v>
      </c>
      <c r="Z443" s="2" t="s">
        <v>73</v>
      </c>
      <c r="AA443" s="6" t="s">
        <v>1895</v>
      </c>
      <c r="AB443" s="2" t="str">
        <f>LEFT(A443,3)</f>
        <v>RGO</v>
      </c>
    </row>
    <row r="444" spans="1:28">
      <c r="A444" s="17" t="s">
        <v>1897</v>
      </c>
      <c r="B444" s="6" t="s">
        <v>79</v>
      </c>
      <c r="C444" s="6" t="s">
        <v>68</v>
      </c>
      <c r="D444" s="6" t="s">
        <v>1898</v>
      </c>
      <c r="E444" s="6" t="s">
        <v>52</v>
      </c>
      <c r="F444" s="6" t="s">
        <v>756</v>
      </c>
      <c r="G444" s="6" t="s">
        <v>756</v>
      </c>
      <c r="H444" s="6" t="s">
        <v>756</v>
      </c>
      <c r="I444" s="2" t="s">
        <v>53</v>
      </c>
      <c r="J444" s="7">
        <v>332254</v>
      </c>
      <c r="K444" s="7">
        <v>344643</v>
      </c>
      <c r="L444" s="8">
        <v>165.34794099999999</v>
      </c>
      <c r="M444" s="8">
        <v>-21.095482000000001</v>
      </c>
      <c r="N444" s="2">
        <v>2</v>
      </c>
      <c r="O444" s="2">
        <v>2</v>
      </c>
      <c r="P444" s="2">
        <v>2</v>
      </c>
      <c r="Q444" s="2" t="s">
        <v>35</v>
      </c>
      <c r="R444" s="2" t="s">
        <v>1899</v>
      </c>
      <c r="S444" s="2" t="s">
        <v>47</v>
      </c>
      <c r="U444" s="2">
        <f>P444-N444</f>
        <v>0</v>
      </c>
      <c r="W444" s="30" t="s">
        <v>52</v>
      </c>
      <c r="X444" s="2" t="s">
        <v>52</v>
      </c>
      <c r="Y444" s="6" t="s">
        <v>756</v>
      </c>
      <c r="Z444" s="2" t="s">
        <v>73</v>
      </c>
      <c r="AA444" s="6" t="s">
        <v>756</v>
      </c>
      <c r="AB444" s="2" t="str">
        <f>LEFT(A444,3)</f>
        <v>RGY</v>
      </c>
    </row>
    <row r="445" spans="1:28">
      <c r="A445" s="6" t="s">
        <v>1900</v>
      </c>
      <c r="B445" s="6" t="s">
        <v>142</v>
      </c>
      <c r="C445" s="6" t="s">
        <v>43</v>
      </c>
      <c r="D445" s="6" t="s">
        <v>1901</v>
      </c>
      <c r="E445" s="6" t="s">
        <v>1901</v>
      </c>
      <c r="F445" s="6" t="s">
        <v>1902</v>
      </c>
      <c r="G445" s="2" t="s">
        <v>1902</v>
      </c>
      <c r="H445" s="2" t="s">
        <v>1902</v>
      </c>
      <c r="I445" s="2" t="s">
        <v>53</v>
      </c>
      <c r="J445" s="7">
        <v>476010.88548</v>
      </c>
      <c r="K445" s="7">
        <v>229466.53997000001</v>
      </c>
      <c r="L445" s="8">
        <v>166.736834253995</v>
      </c>
      <c r="M445" s="8">
        <v>-22.135430421875601</v>
      </c>
      <c r="N445" s="2">
        <v>3</v>
      </c>
      <c r="O445" s="2">
        <v>3</v>
      </c>
      <c r="P445" s="2">
        <v>3</v>
      </c>
      <c r="Q445" s="2" t="s">
        <v>35</v>
      </c>
      <c r="R445" s="2" t="s">
        <v>1903</v>
      </c>
      <c r="S445" s="2" t="s">
        <v>47</v>
      </c>
      <c r="U445" s="2">
        <f>P445-N445</f>
        <v>0</v>
      </c>
      <c r="W445" s="30" t="s">
        <v>1901</v>
      </c>
      <c r="X445" s="2" t="s">
        <v>39</v>
      </c>
      <c r="Y445" s="2" t="s">
        <v>1902</v>
      </c>
      <c r="Z445" s="2" t="s">
        <v>40</v>
      </c>
      <c r="AA445" s="2" t="s">
        <v>1902</v>
      </c>
      <c r="AB445" s="2" t="str">
        <f>LEFT(A445,3)</f>
        <v>RIV</v>
      </c>
    </row>
    <row r="446" spans="1:28">
      <c r="A446" s="6" t="s">
        <v>1904</v>
      </c>
      <c r="B446" s="6" t="s">
        <v>368</v>
      </c>
      <c r="C446" s="6" t="s">
        <v>68</v>
      </c>
      <c r="D446" s="6" t="s">
        <v>1905</v>
      </c>
      <c r="E446" s="6" t="s">
        <v>1905</v>
      </c>
      <c r="F446" s="6" t="s">
        <v>1905</v>
      </c>
      <c r="G446" s="2" t="s">
        <v>1906</v>
      </c>
      <c r="H446" s="2" t="s">
        <v>1905</v>
      </c>
      <c r="I446" s="2" t="s">
        <v>34</v>
      </c>
      <c r="J446" s="7">
        <v>221295.16201</v>
      </c>
      <c r="K446" s="7">
        <v>404158.56806000002</v>
      </c>
      <c r="L446" s="8">
        <v>164.28629293781199</v>
      </c>
      <c r="M446" s="8">
        <v>-20.550331587841601</v>
      </c>
      <c r="N446" s="2">
        <v>3</v>
      </c>
      <c r="O446" s="2">
        <v>6</v>
      </c>
      <c r="P446" s="2">
        <v>8</v>
      </c>
      <c r="Q446" s="2" t="s">
        <v>35</v>
      </c>
      <c r="R446" s="2" t="s">
        <v>1907</v>
      </c>
      <c r="S446" s="2" t="s">
        <v>47</v>
      </c>
      <c r="U446" s="2">
        <f>P446-N446</f>
        <v>5</v>
      </c>
      <c r="W446" s="30" t="s">
        <v>1905</v>
      </c>
      <c r="X446" s="2" t="s">
        <v>82</v>
      </c>
      <c r="Y446" s="6" t="s">
        <v>1905</v>
      </c>
      <c r="Z446" s="2" t="s">
        <v>73</v>
      </c>
      <c r="AA446" s="2" t="s">
        <v>1906</v>
      </c>
      <c r="AB446" s="2" t="str">
        <f>LEFT(A446,3)</f>
        <v>RKC</v>
      </c>
    </row>
    <row r="447" spans="1:28">
      <c r="A447" s="2" t="s">
        <v>1908</v>
      </c>
      <c r="B447" s="2" t="s">
        <v>207</v>
      </c>
      <c r="C447" s="2" t="s">
        <v>43</v>
      </c>
      <c r="D447" s="6" t="s">
        <v>1909</v>
      </c>
      <c r="E447" s="6" t="s">
        <v>1910</v>
      </c>
      <c r="F447" s="6" t="s">
        <v>1909</v>
      </c>
      <c r="G447" s="6" t="s">
        <v>1909</v>
      </c>
      <c r="H447" s="6" t="s">
        <v>1909</v>
      </c>
      <c r="I447" s="2" t="s">
        <v>53</v>
      </c>
      <c r="J447" s="7">
        <v>408023</v>
      </c>
      <c r="K447" s="7">
        <v>274042</v>
      </c>
      <c r="L447" s="9">
        <v>166.07756000000001</v>
      </c>
      <c r="M447" s="8">
        <v>-21.734439999999999</v>
      </c>
      <c r="N447" s="2">
        <v>2</v>
      </c>
      <c r="O447" s="2">
        <v>2</v>
      </c>
      <c r="P447" s="2">
        <v>2</v>
      </c>
      <c r="Q447" s="2" t="s">
        <v>35</v>
      </c>
      <c r="R447" s="2" t="s">
        <v>1911</v>
      </c>
      <c r="S447" s="2" t="s">
        <v>47</v>
      </c>
      <c r="U447" s="2">
        <f>P447-N447</f>
        <v>0</v>
      </c>
      <c r="W447" s="30" t="s">
        <v>1910</v>
      </c>
      <c r="X447" s="2" t="s">
        <v>39</v>
      </c>
      <c r="Y447" s="6" t="s">
        <v>1909</v>
      </c>
      <c r="Z447" s="2" t="s">
        <v>40</v>
      </c>
      <c r="AA447" s="2" t="s">
        <v>1909</v>
      </c>
      <c r="AB447" s="2" t="str">
        <f>LEFT(A447,3)</f>
        <v>RKG</v>
      </c>
    </row>
    <row r="448" spans="1:28">
      <c r="A448" s="2" t="s">
        <v>1912</v>
      </c>
      <c r="B448" s="2" t="s">
        <v>49</v>
      </c>
      <c r="C448" s="2" t="s">
        <v>50</v>
      </c>
      <c r="D448" s="6" t="s">
        <v>1913</v>
      </c>
      <c r="E448" s="6" t="s">
        <v>1913</v>
      </c>
      <c r="F448" s="6" t="s">
        <v>1914</v>
      </c>
      <c r="G448" s="6" t="s">
        <v>1914</v>
      </c>
      <c r="H448" s="6" t="s">
        <v>1913</v>
      </c>
      <c r="I448" s="2" t="s">
        <v>145</v>
      </c>
      <c r="J448" s="7">
        <v>447344</v>
      </c>
      <c r="K448" s="7">
        <v>222025</v>
      </c>
      <c r="L448" s="2">
        <v>166.45915650499501</v>
      </c>
      <c r="M448" s="8">
        <v>-22.203629778360401</v>
      </c>
      <c r="N448" s="2">
        <v>3</v>
      </c>
      <c r="O448" s="2">
        <v>9</v>
      </c>
      <c r="P448" s="2">
        <v>6</v>
      </c>
      <c r="Q448" s="2" t="s">
        <v>35</v>
      </c>
      <c r="R448" s="2" t="s">
        <v>1915</v>
      </c>
      <c r="S448" s="2" t="s">
        <v>37</v>
      </c>
      <c r="U448" s="2">
        <f>P448-N448</f>
        <v>3</v>
      </c>
      <c r="V448" s="2" t="s">
        <v>38</v>
      </c>
      <c r="W448" s="30" t="s">
        <v>1913</v>
      </c>
      <c r="X448" s="2" t="s">
        <v>39</v>
      </c>
      <c r="Y448" s="6" t="s">
        <v>1914</v>
      </c>
      <c r="Z448" s="2" t="s">
        <v>40</v>
      </c>
      <c r="AA448" s="6" t="s">
        <v>1914</v>
      </c>
      <c r="AB448" s="2" t="str">
        <f>LEFT(A448,3)</f>
        <v>RKO</v>
      </c>
    </row>
    <row r="449" spans="1:28">
      <c r="A449" s="6" t="s">
        <v>1916</v>
      </c>
      <c r="B449" s="6" t="s">
        <v>602</v>
      </c>
      <c r="C449" s="6" t="s">
        <v>43</v>
      </c>
      <c r="D449" s="6" t="s">
        <v>1917</v>
      </c>
      <c r="E449" s="6" t="s">
        <v>1917</v>
      </c>
      <c r="F449" s="6" t="s">
        <v>1918</v>
      </c>
      <c r="G449" s="2" t="s">
        <v>1919</v>
      </c>
      <c r="H449" s="2" t="s">
        <v>1917</v>
      </c>
      <c r="I449" s="2" t="s">
        <v>34</v>
      </c>
      <c r="J449" s="7">
        <v>383329.00493</v>
      </c>
      <c r="K449" s="7">
        <v>275965.93173000001</v>
      </c>
      <c r="L449" s="8">
        <v>165.83885841864199</v>
      </c>
      <c r="M449" s="8">
        <v>-21.717004936455801</v>
      </c>
      <c r="N449" s="2">
        <v>3</v>
      </c>
      <c r="O449" s="2">
        <v>6</v>
      </c>
      <c r="P449" s="2">
        <v>6</v>
      </c>
      <c r="Q449" s="2" t="s">
        <v>35</v>
      </c>
      <c r="R449" s="2" t="s">
        <v>1920</v>
      </c>
      <c r="S449" s="2" t="s">
        <v>47</v>
      </c>
      <c r="U449" s="2">
        <v>3</v>
      </c>
      <c r="W449" s="30" t="s">
        <v>1917</v>
      </c>
      <c r="X449" s="2" t="s">
        <v>39</v>
      </c>
      <c r="Y449" s="6" t="s">
        <v>1918</v>
      </c>
      <c r="Z449" s="2" t="s">
        <v>40</v>
      </c>
      <c r="AA449" s="2" t="s">
        <v>1921</v>
      </c>
      <c r="AB449" s="2" t="str">
        <f>LEFT(A449,3)</f>
        <v>RME</v>
      </c>
    </row>
    <row r="450" spans="1:28">
      <c r="A450" s="6" t="s">
        <v>1922</v>
      </c>
      <c r="B450" s="6" t="s">
        <v>56</v>
      </c>
      <c r="C450" s="6" t="s">
        <v>50</v>
      </c>
      <c r="D450" s="6" t="s">
        <v>1923</v>
      </c>
      <c r="E450" s="6" t="s">
        <v>52</v>
      </c>
      <c r="F450" s="6" t="s">
        <v>1924</v>
      </c>
      <c r="G450" s="6" t="s">
        <v>1924</v>
      </c>
      <c r="H450" s="6" t="s">
        <v>1924</v>
      </c>
      <c r="I450" s="2" t="s">
        <v>53</v>
      </c>
      <c r="J450" s="7">
        <v>433291</v>
      </c>
      <c r="K450" s="7">
        <v>227823</v>
      </c>
      <c r="L450" s="8">
        <v>166.32275100000001</v>
      </c>
      <c r="M450" s="8">
        <v>-22.151585000000001</v>
      </c>
      <c r="N450" s="2">
        <v>2</v>
      </c>
      <c r="O450" s="2">
        <v>2</v>
      </c>
      <c r="P450" s="2">
        <v>2</v>
      </c>
      <c r="Q450" s="2" t="s">
        <v>35</v>
      </c>
      <c r="R450" s="2" t="s">
        <v>1925</v>
      </c>
      <c r="S450" s="2" t="s">
        <v>47</v>
      </c>
      <c r="U450" s="2">
        <f>P450-N450</f>
        <v>0</v>
      </c>
      <c r="W450" s="30" t="s">
        <v>52</v>
      </c>
      <c r="X450" s="2" t="s">
        <v>52</v>
      </c>
      <c r="Y450" s="6" t="s">
        <v>1924</v>
      </c>
      <c r="Z450" s="2" t="s">
        <v>40</v>
      </c>
      <c r="AA450" s="6" t="s">
        <v>1924</v>
      </c>
      <c r="AB450" s="2" t="str">
        <f>LEFT(A450,3)</f>
        <v>RND</v>
      </c>
    </row>
    <row r="451" spans="1:28">
      <c r="A451" s="6" t="s">
        <v>1926</v>
      </c>
      <c r="B451" s="6" t="s">
        <v>104</v>
      </c>
      <c r="C451" s="6" t="s">
        <v>68</v>
      </c>
      <c r="D451" s="6" t="s">
        <v>1927</v>
      </c>
      <c r="E451" s="6" t="s">
        <v>52</v>
      </c>
      <c r="F451" s="6" t="s">
        <v>1928</v>
      </c>
      <c r="G451" s="2" t="s">
        <v>1928</v>
      </c>
      <c r="H451" s="2" t="s">
        <v>1928</v>
      </c>
      <c r="I451" s="2" t="s">
        <v>53</v>
      </c>
      <c r="J451" s="7">
        <v>334818</v>
      </c>
      <c r="K451" s="7">
        <v>359912</v>
      </c>
      <c r="L451" s="8">
        <v>165.373209</v>
      </c>
      <c r="M451" s="8">
        <v>-20.957657999999999</v>
      </c>
      <c r="N451" s="2">
        <v>2</v>
      </c>
      <c r="O451" s="2">
        <v>2</v>
      </c>
      <c r="P451" s="2">
        <v>2</v>
      </c>
      <c r="Q451" s="2" t="s">
        <v>35</v>
      </c>
      <c r="R451" s="2" t="s">
        <v>1925</v>
      </c>
      <c r="S451" s="2" t="s">
        <v>47</v>
      </c>
      <c r="U451" s="2">
        <f>P451-N451</f>
        <v>0</v>
      </c>
      <c r="W451" s="30" t="s">
        <v>52</v>
      </c>
      <c r="X451" s="2" t="s">
        <v>52</v>
      </c>
      <c r="Y451" s="6" t="s">
        <v>1929</v>
      </c>
      <c r="Z451" s="2" t="s">
        <v>73</v>
      </c>
      <c r="AA451" s="6" t="s">
        <v>1929</v>
      </c>
      <c r="AB451" s="2" t="str">
        <f>LEFT(A451,3)</f>
        <v>RNP</v>
      </c>
    </row>
    <row r="452" spans="1:28">
      <c r="A452" s="6" t="s">
        <v>1930</v>
      </c>
      <c r="B452" s="6" t="s">
        <v>93</v>
      </c>
      <c r="C452" s="6" t="s">
        <v>50</v>
      </c>
      <c r="D452" s="6" t="s">
        <v>213</v>
      </c>
      <c r="E452" s="6" t="s">
        <v>213</v>
      </c>
      <c r="F452" s="6" t="s">
        <v>213</v>
      </c>
      <c r="G452" s="2" t="s">
        <v>1931</v>
      </c>
      <c r="H452" s="2" t="s">
        <v>213</v>
      </c>
      <c r="I452" s="2" t="s">
        <v>34</v>
      </c>
      <c r="J452" s="7">
        <v>452649.97584000003</v>
      </c>
      <c r="K452" s="7">
        <v>219690.87787999999</v>
      </c>
      <c r="L452" s="8">
        <v>166.51068930540799</v>
      </c>
      <c r="M452" s="8">
        <v>-22.2245593194157</v>
      </c>
      <c r="N452" s="2">
        <v>3</v>
      </c>
      <c r="O452" s="2">
        <v>6</v>
      </c>
      <c r="P452" s="2">
        <v>6</v>
      </c>
      <c r="Q452" s="2" t="s">
        <v>35</v>
      </c>
      <c r="R452" s="2" t="s">
        <v>1932</v>
      </c>
      <c r="S452" s="2" t="s">
        <v>37</v>
      </c>
      <c r="U452" s="2">
        <f>P452-N452</f>
        <v>3</v>
      </c>
      <c r="W452" s="30" t="s">
        <v>213</v>
      </c>
      <c r="X452" s="2" t="s">
        <v>39</v>
      </c>
      <c r="Y452" s="6" t="s">
        <v>213</v>
      </c>
      <c r="Z452" s="2" t="s">
        <v>40</v>
      </c>
      <c r="AA452" s="2" t="s">
        <v>1931</v>
      </c>
      <c r="AB452" s="2" t="str">
        <f>LEFT(A452,3)</f>
        <v>ROB</v>
      </c>
    </row>
    <row r="453" spans="1:28">
      <c r="A453" s="6" t="s">
        <v>1933</v>
      </c>
      <c r="B453" s="6" t="s">
        <v>351</v>
      </c>
      <c r="C453" s="6" t="s">
        <v>129</v>
      </c>
      <c r="D453" s="6" t="s">
        <v>1934</v>
      </c>
      <c r="E453" s="6" t="s">
        <v>1934</v>
      </c>
      <c r="F453" s="6" t="s">
        <v>1935</v>
      </c>
      <c r="G453" s="2" t="s">
        <v>1935</v>
      </c>
      <c r="H453" s="2" t="s">
        <v>1934</v>
      </c>
      <c r="I453" s="2" t="s">
        <v>34</v>
      </c>
      <c r="J453" s="7">
        <v>610860.40885000001</v>
      </c>
      <c r="K453" s="7">
        <v>301581.27695999999</v>
      </c>
      <c r="L453" s="8">
        <v>168.03483168704801</v>
      </c>
      <c r="M453" s="8">
        <v>-21.473323906254699</v>
      </c>
      <c r="N453" s="2">
        <v>4</v>
      </c>
      <c r="O453" s="2">
        <v>4</v>
      </c>
      <c r="P453" s="2">
        <f>N453</f>
        <v>4</v>
      </c>
      <c r="Q453" s="2" t="s">
        <v>35</v>
      </c>
      <c r="R453" s="2" t="s">
        <v>1936</v>
      </c>
      <c r="S453" s="2" t="s">
        <v>47</v>
      </c>
      <c r="U453" s="2">
        <f>P453-N453</f>
        <v>0</v>
      </c>
      <c r="W453" s="30" t="s">
        <v>1934</v>
      </c>
      <c r="X453" s="2" t="s">
        <v>82</v>
      </c>
      <c r="Y453" s="6" t="s">
        <v>1935</v>
      </c>
      <c r="Z453" s="2" t="s">
        <v>73</v>
      </c>
      <c r="AA453" s="2" t="s">
        <v>1935</v>
      </c>
      <c r="AB453" s="2" t="str">
        <f>LEFT(A453,3)</f>
        <v>ROC</v>
      </c>
    </row>
    <row r="454" spans="1:28">
      <c r="A454" s="2" t="s">
        <v>1937</v>
      </c>
      <c r="B454" s="2" t="s">
        <v>56</v>
      </c>
      <c r="C454" s="2" t="s">
        <v>50</v>
      </c>
      <c r="D454" s="6" t="s">
        <v>1938</v>
      </c>
      <c r="E454" s="6" t="s">
        <v>1938</v>
      </c>
      <c r="F454" s="6" t="s">
        <v>1938</v>
      </c>
      <c r="G454" s="6" t="s">
        <v>1939</v>
      </c>
      <c r="H454" s="2" t="s">
        <v>1938</v>
      </c>
      <c r="I454" s="2" t="s">
        <v>145</v>
      </c>
      <c r="J454" s="7">
        <v>438354</v>
      </c>
      <c r="K454" s="7">
        <v>230488</v>
      </c>
      <c r="L454" s="2">
        <v>166.37177392531001</v>
      </c>
      <c r="M454" s="8">
        <v>-22.127415494264799</v>
      </c>
      <c r="N454" s="2">
        <v>3</v>
      </c>
      <c r="O454" s="2">
        <v>6</v>
      </c>
      <c r="P454" s="2">
        <v>9</v>
      </c>
      <c r="Q454" s="2" t="s">
        <v>35</v>
      </c>
      <c r="R454" s="2" t="s">
        <v>1940</v>
      </c>
      <c r="S454" s="2" t="s">
        <v>37</v>
      </c>
      <c r="T454" s="2" t="s">
        <v>205</v>
      </c>
      <c r="U454" s="2">
        <f>P454-N454</f>
        <v>6</v>
      </c>
      <c r="V454" s="2" t="s">
        <v>38</v>
      </c>
      <c r="W454" s="30" t="s">
        <v>1938</v>
      </c>
      <c r="X454" s="2" t="s">
        <v>39</v>
      </c>
      <c r="Y454" s="6" t="s">
        <v>1938</v>
      </c>
      <c r="Z454" s="2" t="s">
        <v>40</v>
      </c>
      <c r="AA454" s="6" t="s">
        <v>1939</v>
      </c>
      <c r="AB454" s="2" t="str">
        <f>LEFT(A454,3)</f>
        <v>RPA</v>
      </c>
    </row>
    <row r="455" spans="1:28">
      <c r="A455" s="6" t="s">
        <v>1941</v>
      </c>
      <c r="B455" s="6" t="s">
        <v>178</v>
      </c>
      <c r="C455" s="6" t="s">
        <v>68</v>
      </c>
      <c r="D455" s="6" t="s">
        <v>1942</v>
      </c>
      <c r="E455" s="6" t="s">
        <v>1942</v>
      </c>
      <c r="F455" s="6" t="s">
        <v>1942</v>
      </c>
      <c r="G455" s="2" t="s">
        <v>1943</v>
      </c>
      <c r="H455" s="2" t="s">
        <v>1942</v>
      </c>
      <c r="I455" s="2" t="s">
        <v>34</v>
      </c>
      <c r="J455" s="7">
        <v>284784.65364999999</v>
      </c>
      <c r="K455" s="7">
        <v>343185.52704999998</v>
      </c>
      <c r="L455" s="8">
        <v>164.89096176632799</v>
      </c>
      <c r="M455" s="8">
        <v>-21.1062270380855</v>
      </c>
      <c r="N455" s="2">
        <v>3</v>
      </c>
      <c r="O455" s="2">
        <v>9</v>
      </c>
      <c r="P455" s="2">
        <v>9</v>
      </c>
      <c r="Q455" s="2" t="s">
        <v>35</v>
      </c>
      <c r="R455" s="2" t="s">
        <v>1944</v>
      </c>
      <c r="S455" s="2" t="s">
        <v>37</v>
      </c>
      <c r="U455" s="2">
        <f>P455-N455</f>
        <v>6</v>
      </c>
      <c r="W455" s="30" t="s">
        <v>1942</v>
      </c>
      <c r="X455" s="2" t="s">
        <v>82</v>
      </c>
      <c r="Y455" s="6" t="s">
        <v>1942</v>
      </c>
      <c r="Z455" s="2" t="s">
        <v>73</v>
      </c>
      <c r="AA455" s="2" t="s">
        <v>1943</v>
      </c>
      <c r="AB455" s="2" t="str">
        <f>LEFT(A455,3)</f>
        <v>RPB</v>
      </c>
    </row>
    <row r="456" spans="1:28">
      <c r="A456" s="3" t="s">
        <v>1945</v>
      </c>
      <c r="B456" s="3" t="s">
        <v>67</v>
      </c>
      <c r="C456" s="2" t="s">
        <v>68</v>
      </c>
      <c r="D456" s="3" t="s">
        <v>1946</v>
      </c>
      <c r="E456" s="2" t="s">
        <v>52</v>
      </c>
      <c r="F456" s="3" t="s">
        <v>1947</v>
      </c>
      <c r="G456" s="3" t="s">
        <v>1947</v>
      </c>
      <c r="H456" s="3" t="s">
        <v>1947</v>
      </c>
      <c r="I456" s="6" t="s">
        <v>53</v>
      </c>
      <c r="J456" s="7">
        <v>275780</v>
      </c>
      <c r="K456" s="7">
        <v>350216</v>
      </c>
      <c r="L456" s="9">
        <v>164.804802</v>
      </c>
      <c r="M456" s="8">
        <v>-21.04213</v>
      </c>
      <c r="N456" s="2">
        <v>3</v>
      </c>
      <c r="O456" s="2">
        <v>3</v>
      </c>
      <c r="P456" s="2">
        <v>3</v>
      </c>
      <c r="Q456" s="2" t="s">
        <v>35</v>
      </c>
      <c r="R456" s="2" t="s">
        <v>1948</v>
      </c>
      <c r="S456" s="2" t="s">
        <v>47</v>
      </c>
      <c r="U456" s="2">
        <f>P456-N456</f>
        <v>0</v>
      </c>
      <c r="W456" s="30" t="s">
        <v>52</v>
      </c>
      <c r="X456" s="6" t="s">
        <v>52</v>
      </c>
      <c r="Y456" s="3" t="s">
        <v>1947</v>
      </c>
      <c r="Z456" s="2" t="s">
        <v>73</v>
      </c>
      <c r="AA456" s="3" t="s">
        <v>1947</v>
      </c>
      <c r="AB456" s="2" t="str">
        <f>LEFT(A456,3)</f>
        <v>RPJ</v>
      </c>
    </row>
    <row r="457" spans="1:28">
      <c r="A457" s="3" t="s">
        <v>1949</v>
      </c>
      <c r="B457" s="3" t="s">
        <v>402</v>
      </c>
      <c r="C457" s="2" t="s">
        <v>68</v>
      </c>
      <c r="D457" s="3" t="s">
        <v>1950</v>
      </c>
      <c r="E457" s="2" t="s">
        <v>52</v>
      </c>
      <c r="F457" s="3" t="s">
        <v>1951</v>
      </c>
      <c r="G457" s="3" t="s">
        <v>1951</v>
      </c>
      <c r="H457" s="3" t="s">
        <v>1951</v>
      </c>
      <c r="I457" s="6" t="s">
        <v>53</v>
      </c>
      <c r="J457" s="7">
        <v>370083</v>
      </c>
      <c r="K457" s="7">
        <v>321501</v>
      </c>
      <c r="L457" s="9">
        <v>165.71163000000001</v>
      </c>
      <c r="M457" s="8">
        <v>-21.305540000000001</v>
      </c>
      <c r="N457" s="2">
        <v>1</v>
      </c>
      <c r="O457" s="2">
        <v>1</v>
      </c>
      <c r="P457" s="2">
        <v>1</v>
      </c>
      <c r="Q457" s="2" t="s">
        <v>35</v>
      </c>
      <c r="R457" s="2" t="s">
        <v>1952</v>
      </c>
      <c r="S457" s="2" t="s">
        <v>47</v>
      </c>
      <c r="U457" s="2">
        <f>P457-N457</f>
        <v>0</v>
      </c>
      <c r="W457" s="30" t="s">
        <v>52</v>
      </c>
      <c r="X457" s="6" t="s">
        <v>52</v>
      </c>
      <c r="Y457" s="3" t="s">
        <v>1951</v>
      </c>
      <c r="Z457" s="2" t="s">
        <v>73</v>
      </c>
      <c r="AA457" s="3" t="s">
        <v>1951</v>
      </c>
      <c r="AB457" s="2" t="str">
        <f>LEFT(A457,3)</f>
        <v>RPO</v>
      </c>
    </row>
    <row r="458" spans="1:28">
      <c r="A458" s="2" t="s">
        <v>1953</v>
      </c>
      <c r="B458" s="2" t="s">
        <v>207</v>
      </c>
      <c r="C458" s="2" t="s">
        <v>43</v>
      </c>
      <c r="D458" s="2" t="s">
        <v>1954</v>
      </c>
      <c r="E458" s="2" t="s">
        <v>52</v>
      </c>
      <c r="F458" s="2" t="s">
        <v>261</v>
      </c>
      <c r="G458" s="2" t="s">
        <v>261</v>
      </c>
      <c r="H458" s="2" t="s">
        <v>261</v>
      </c>
      <c r="I458" s="2" t="s">
        <v>53</v>
      </c>
      <c r="J458" s="2">
        <v>400594</v>
      </c>
      <c r="K458" s="7">
        <v>256103</v>
      </c>
      <c r="L458" s="8">
        <v>165.0020695</v>
      </c>
      <c r="M458" s="8">
        <v>-21.534734499999999</v>
      </c>
      <c r="N458" s="2">
        <v>1</v>
      </c>
      <c r="O458" s="2">
        <v>1</v>
      </c>
      <c r="P458" s="2">
        <v>1</v>
      </c>
      <c r="Q458" s="2" t="s">
        <v>35</v>
      </c>
      <c r="R458" s="2" t="s">
        <v>1955</v>
      </c>
      <c r="S458" s="2" t="s">
        <v>47</v>
      </c>
      <c r="U458" s="2">
        <f>P458-N458</f>
        <v>0</v>
      </c>
      <c r="W458" s="30" t="s">
        <v>52</v>
      </c>
      <c r="X458" s="6" t="s">
        <v>52</v>
      </c>
      <c r="Y458" s="2" t="s">
        <v>1956</v>
      </c>
      <c r="Z458" s="2" t="s">
        <v>40</v>
      </c>
      <c r="AA458" s="2" t="s">
        <v>1956</v>
      </c>
      <c r="AB458" s="2" t="str">
        <f>LEFT(A458,3)</f>
        <v>RPT</v>
      </c>
    </row>
    <row r="459" spans="1:28">
      <c r="A459" s="6" t="s">
        <v>1957</v>
      </c>
      <c r="B459" s="6" t="s">
        <v>249</v>
      </c>
      <c r="C459" s="6" t="s">
        <v>68</v>
      </c>
      <c r="D459" s="78" t="s">
        <v>1958</v>
      </c>
      <c r="E459" s="6" t="s">
        <v>1959</v>
      </c>
      <c r="F459" s="78" t="s">
        <v>1960</v>
      </c>
      <c r="G459" s="2" t="s">
        <v>1960</v>
      </c>
      <c r="H459" s="2" t="s">
        <v>1959</v>
      </c>
      <c r="I459" s="2" t="s">
        <v>34</v>
      </c>
      <c r="J459" s="7">
        <v>263470.25328</v>
      </c>
      <c r="K459" s="7">
        <v>366300.09944999998</v>
      </c>
      <c r="L459" s="8">
        <v>164.68766416450501</v>
      </c>
      <c r="M459" s="8">
        <v>-20.8959618244252</v>
      </c>
      <c r="N459" s="2">
        <v>3</v>
      </c>
      <c r="O459" s="2">
        <v>5</v>
      </c>
      <c r="P459" s="2">
        <v>6</v>
      </c>
      <c r="Q459" s="2" t="s">
        <v>35</v>
      </c>
      <c r="R459" s="2" t="s">
        <v>1961</v>
      </c>
      <c r="S459" s="2" t="s">
        <v>47</v>
      </c>
      <c r="U459" s="2">
        <f>P459-N459</f>
        <v>3</v>
      </c>
      <c r="W459" s="30" t="s">
        <v>1959</v>
      </c>
      <c r="X459" s="2" t="s">
        <v>82</v>
      </c>
      <c r="Y459" s="6" t="s">
        <v>1960</v>
      </c>
      <c r="Z459" s="2" t="s">
        <v>73</v>
      </c>
      <c r="AA459" s="2" t="s">
        <v>1960</v>
      </c>
      <c r="AB459" s="2" t="str">
        <f>LEFT(A459,3)</f>
        <v>RTA</v>
      </c>
    </row>
    <row r="460" spans="1:28">
      <c r="A460" s="2" t="s">
        <v>1962</v>
      </c>
      <c r="B460" s="2" t="s">
        <v>614</v>
      </c>
      <c r="C460" s="2" t="s">
        <v>43</v>
      </c>
      <c r="D460" s="2" t="s">
        <v>1963</v>
      </c>
      <c r="E460" s="2" t="s">
        <v>52</v>
      </c>
      <c r="F460" s="2" t="s">
        <v>1964</v>
      </c>
      <c r="G460" s="2" t="s">
        <v>1964</v>
      </c>
      <c r="H460" s="2" t="s">
        <v>1964</v>
      </c>
      <c r="I460" s="2" t="s">
        <v>53</v>
      </c>
      <c r="J460" s="2">
        <v>371907</v>
      </c>
      <c r="K460" s="2">
        <v>284564</v>
      </c>
      <c r="L460" s="2">
        <v>165.7286</v>
      </c>
      <c r="M460" s="8">
        <v>-21.639199999999999</v>
      </c>
      <c r="N460" s="2">
        <v>3</v>
      </c>
      <c r="O460" s="2">
        <v>3</v>
      </c>
      <c r="P460" s="2">
        <v>3</v>
      </c>
      <c r="Q460" s="2" t="s">
        <v>35</v>
      </c>
      <c r="R460" s="2" t="s">
        <v>1965</v>
      </c>
      <c r="S460" s="2" t="s">
        <v>47</v>
      </c>
      <c r="U460" s="2">
        <f>P460-N460</f>
        <v>0</v>
      </c>
      <c r="W460" s="30" t="s">
        <v>52</v>
      </c>
      <c r="X460" s="6" t="s">
        <v>52</v>
      </c>
      <c r="Y460" s="2" t="s">
        <v>1964</v>
      </c>
      <c r="Z460" s="2" t="s">
        <v>40</v>
      </c>
      <c r="AA460" s="2" t="s">
        <v>1964</v>
      </c>
      <c r="AB460" s="2" t="str">
        <f>LEFT(A460,3)</f>
        <v>RTE</v>
      </c>
    </row>
    <row r="461" spans="1:28">
      <c r="A461" s="6" t="s">
        <v>1966</v>
      </c>
      <c r="B461" s="6" t="s">
        <v>49</v>
      </c>
      <c r="C461" s="6" t="s">
        <v>50</v>
      </c>
      <c r="D461" s="6" t="s">
        <v>1967</v>
      </c>
      <c r="E461" s="6" t="s">
        <v>1968</v>
      </c>
      <c r="F461" s="6" t="s">
        <v>1969</v>
      </c>
      <c r="G461" s="2" t="s">
        <v>1970</v>
      </c>
      <c r="H461" s="2" t="s">
        <v>1969</v>
      </c>
      <c r="I461" s="2" t="s">
        <v>34</v>
      </c>
      <c r="J461" s="7">
        <v>449694</v>
      </c>
      <c r="K461" s="7">
        <v>223987</v>
      </c>
      <c r="L461" s="8">
        <v>166.481891746</v>
      </c>
      <c r="M461" s="8">
        <v>-22.185844975999998</v>
      </c>
      <c r="N461" s="2">
        <v>2</v>
      </c>
      <c r="O461" s="2">
        <v>4</v>
      </c>
      <c r="P461" s="2">
        <v>4</v>
      </c>
      <c r="Q461" s="2" t="s">
        <v>35</v>
      </c>
      <c r="R461" s="2" t="s">
        <v>1971</v>
      </c>
      <c r="S461" s="2" t="s">
        <v>37</v>
      </c>
      <c r="U461" s="2">
        <f>P461-N461</f>
        <v>2</v>
      </c>
      <c r="V461" s="2" t="s">
        <v>38</v>
      </c>
      <c r="W461" s="30" t="s">
        <v>1968</v>
      </c>
      <c r="X461" s="2" t="s">
        <v>39</v>
      </c>
      <c r="Y461" s="6" t="s">
        <v>1969</v>
      </c>
      <c r="Z461" s="2" t="s">
        <v>40</v>
      </c>
      <c r="AA461" s="2" t="s">
        <v>1970</v>
      </c>
      <c r="AB461" s="2" t="str">
        <f>LEFT(A461,3)</f>
        <v>RTG</v>
      </c>
    </row>
    <row r="462" spans="1:28">
      <c r="A462" s="2" t="s">
        <v>1972</v>
      </c>
      <c r="B462" s="2" t="s">
        <v>29</v>
      </c>
      <c r="C462" s="2" t="s">
        <v>30</v>
      </c>
      <c r="D462" s="6" t="s">
        <v>1973</v>
      </c>
      <c r="E462" s="6" t="s">
        <v>1974</v>
      </c>
      <c r="F462" s="6" t="s">
        <v>1973</v>
      </c>
      <c r="G462" s="6" t="s">
        <v>1973</v>
      </c>
      <c r="H462" s="2" t="s">
        <v>1974</v>
      </c>
      <c r="I462" s="2" t="s">
        <v>34</v>
      </c>
      <c r="J462" s="7">
        <v>448719</v>
      </c>
      <c r="K462" s="7">
        <v>219432</v>
      </c>
      <c r="L462" s="2">
        <v>166.47256761319699</v>
      </c>
      <c r="M462" s="8">
        <v>-22.227009965137299</v>
      </c>
      <c r="N462" s="2">
        <v>3</v>
      </c>
      <c r="O462" s="2">
        <v>9</v>
      </c>
      <c r="P462" s="2">
        <v>6</v>
      </c>
      <c r="Q462" s="2" t="s">
        <v>35</v>
      </c>
      <c r="R462" s="2" t="s">
        <v>1975</v>
      </c>
      <c r="S462" s="2" t="s">
        <v>37</v>
      </c>
      <c r="U462" s="2">
        <f>P462-N462</f>
        <v>3</v>
      </c>
      <c r="V462" s="2" t="s">
        <v>38</v>
      </c>
      <c r="W462" s="30" t="s">
        <v>1974</v>
      </c>
      <c r="X462" s="2" t="s">
        <v>39</v>
      </c>
      <c r="Y462" s="6" t="s">
        <v>1973</v>
      </c>
      <c r="Z462" s="2" t="s">
        <v>40</v>
      </c>
      <c r="AA462" s="6" t="s">
        <v>1973</v>
      </c>
      <c r="AB462" s="2" t="str">
        <f>LEFT(A462,3)</f>
        <v>RTR</v>
      </c>
    </row>
    <row r="463" spans="1:28">
      <c r="A463" s="6" t="s">
        <v>1976</v>
      </c>
      <c r="B463" s="6" t="s">
        <v>56</v>
      </c>
      <c r="C463" s="6" t="s">
        <v>50</v>
      </c>
      <c r="D463" s="6" t="s">
        <v>1977</v>
      </c>
      <c r="E463" s="6" t="s">
        <v>1977</v>
      </c>
      <c r="F463" s="6" t="s">
        <v>1977</v>
      </c>
      <c r="G463" s="2" t="s">
        <v>1978</v>
      </c>
      <c r="H463" s="2" t="s">
        <v>1977</v>
      </c>
      <c r="I463" s="2" t="s">
        <v>34</v>
      </c>
      <c r="J463" s="7">
        <v>438286.76741999999</v>
      </c>
      <c r="K463" s="7">
        <v>226862.27131000001</v>
      </c>
      <c r="L463" s="8">
        <v>166.37120794222199</v>
      </c>
      <c r="M463" s="8">
        <v>-22.160163893637201</v>
      </c>
      <c r="N463" s="2">
        <v>2</v>
      </c>
      <c r="O463" s="2">
        <v>4</v>
      </c>
      <c r="P463" s="2">
        <f>N463</f>
        <v>2</v>
      </c>
      <c r="Q463" s="2" t="s">
        <v>35</v>
      </c>
      <c r="R463" s="2" t="s">
        <v>1979</v>
      </c>
      <c r="S463" s="2" t="s">
        <v>37</v>
      </c>
      <c r="U463" s="2">
        <f>P463-N463</f>
        <v>0</v>
      </c>
      <c r="W463" s="30" t="s">
        <v>52</v>
      </c>
      <c r="X463" s="2" t="s">
        <v>39</v>
      </c>
      <c r="Y463" s="6" t="s">
        <v>1977</v>
      </c>
      <c r="Z463" s="2" t="s">
        <v>40</v>
      </c>
      <c r="AA463" s="2" t="s">
        <v>1978</v>
      </c>
      <c r="AB463" s="2" t="str">
        <f>LEFT(A463,3)</f>
        <v>RVL</v>
      </c>
    </row>
    <row r="464" spans="1:28">
      <c r="A464" s="6" t="s">
        <v>1980</v>
      </c>
      <c r="B464" s="6" t="s">
        <v>29</v>
      </c>
      <c r="C464" s="6" t="s">
        <v>30</v>
      </c>
      <c r="D464" s="6" t="s">
        <v>1981</v>
      </c>
      <c r="E464" s="6" t="s">
        <v>1981</v>
      </c>
      <c r="F464" s="6" t="s">
        <v>1981</v>
      </c>
      <c r="G464" s="2" t="s">
        <v>1982</v>
      </c>
      <c r="H464" s="2" t="s">
        <v>1982</v>
      </c>
      <c r="I464" s="2" t="s">
        <v>53</v>
      </c>
      <c r="J464" s="7">
        <v>447850.79541999998</v>
      </c>
      <c r="K464" s="7">
        <v>218634.08798000001</v>
      </c>
      <c r="L464" s="8">
        <v>166.46417116564101</v>
      </c>
      <c r="M464" s="8">
        <v>-22.234240092236501</v>
      </c>
      <c r="N464" s="2">
        <v>3</v>
      </c>
      <c r="O464" s="2">
        <v>6</v>
      </c>
      <c r="P464" s="2">
        <v>9</v>
      </c>
      <c r="Q464" s="2" t="s">
        <v>35</v>
      </c>
      <c r="R464" s="2" t="s">
        <v>1983</v>
      </c>
      <c r="S464" s="2" t="s">
        <v>37</v>
      </c>
      <c r="U464" s="2">
        <f>P464-N464</f>
        <v>6</v>
      </c>
      <c r="W464" s="30" t="s">
        <v>1981</v>
      </c>
      <c r="X464" s="2" t="s">
        <v>39</v>
      </c>
      <c r="Y464" s="6" t="s">
        <v>1981</v>
      </c>
      <c r="Z464" s="2" t="s">
        <v>40</v>
      </c>
      <c r="AA464" s="2" t="s">
        <v>1982</v>
      </c>
      <c r="AB464" s="2" t="str">
        <f>LEFT(A464,3)</f>
        <v>SAL</v>
      </c>
    </row>
    <row r="465" spans="1:28">
      <c r="A465" s="6" t="s">
        <v>1984</v>
      </c>
      <c r="B465" s="6" t="s">
        <v>56</v>
      </c>
      <c r="C465" s="6" t="s">
        <v>50</v>
      </c>
      <c r="D465" s="6" t="s">
        <v>1985</v>
      </c>
      <c r="E465" s="6" t="s">
        <v>1985</v>
      </c>
      <c r="F465" s="6" t="s">
        <v>1985</v>
      </c>
      <c r="G465" s="2" t="s">
        <v>1986</v>
      </c>
      <c r="H465" s="2" t="s">
        <v>1985</v>
      </c>
      <c r="I465" s="2" t="s">
        <v>34</v>
      </c>
      <c r="J465" s="7">
        <v>433776.79139000003</v>
      </c>
      <c r="K465" s="7">
        <v>236538.66613999999</v>
      </c>
      <c r="L465" s="8">
        <v>166.32728537851301</v>
      </c>
      <c r="M465" s="8">
        <v>-22.072859651396101</v>
      </c>
      <c r="N465" s="2">
        <v>2</v>
      </c>
      <c r="O465" s="2">
        <v>4</v>
      </c>
      <c r="P465" s="2">
        <f>N465</f>
        <v>2</v>
      </c>
      <c r="Q465" s="2" t="s">
        <v>35</v>
      </c>
      <c r="R465" s="2" t="s">
        <v>1987</v>
      </c>
      <c r="S465" s="2" t="s">
        <v>47</v>
      </c>
      <c r="U465" s="2">
        <f>P465-N465</f>
        <v>0</v>
      </c>
      <c r="W465" s="30" t="s">
        <v>1985</v>
      </c>
      <c r="X465" s="2" t="s">
        <v>39</v>
      </c>
      <c r="Y465" s="6" t="s">
        <v>1985</v>
      </c>
      <c r="Z465" s="2" t="s">
        <v>40</v>
      </c>
      <c r="AA465" s="2" t="s">
        <v>1986</v>
      </c>
      <c r="AB465" s="2" t="str">
        <f>LEFT(A465,3)</f>
        <v>SAN</v>
      </c>
    </row>
    <row r="466" spans="1:28">
      <c r="A466" s="6" t="s">
        <v>1988</v>
      </c>
      <c r="B466" s="6" t="s">
        <v>56</v>
      </c>
      <c r="C466" s="6" t="s">
        <v>50</v>
      </c>
      <c r="D466" s="6" t="s">
        <v>1989</v>
      </c>
      <c r="E466" s="6" t="s">
        <v>1989</v>
      </c>
      <c r="F466" s="6" t="s">
        <v>1990</v>
      </c>
      <c r="G466" s="2" t="s">
        <v>1990</v>
      </c>
      <c r="H466" s="2" t="s">
        <v>1990</v>
      </c>
      <c r="I466" s="2" t="s">
        <v>53</v>
      </c>
      <c r="J466" s="7">
        <v>440061.16632999998</v>
      </c>
      <c r="K466" s="7">
        <v>226894.08385</v>
      </c>
      <c r="L466" s="8">
        <v>166.38840674927999</v>
      </c>
      <c r="M466" s="8">
        <v>-22.159835973394699</v>
      </c>
      <c r="N466" s="2">
        <v>3</v>
      </c>
      <c r="O466" s="2">
        <v>9</v>
      </c>
      <c r="P466" s="2">
        <v>9</v>
      </c>
      <c r="Q466" s="2" t="s">
        <v>35</v>
      </c>
      <c r="R466" s="2" t="s">
        <v>1991</v>
      </c>
      <c r="S466" s="2" t="s">
        <v>37</v>
      </c>
      <c r="U466" s="2">
        <f>P466-N466</f>
        <v>6</v>
      </c>
      <c r="W466" s="30" t="s">
        <v>1989</v>
      </c>
      <c r="X466" s="2" t="s">
        <v>39</v>
      </c>
      <c r="Y466" s="6" t="s">
        <v>1990</v>
      </c>
      <c r="Z466" s="2" t="s">
        <v>40</v>
      </c>
      <c r="AA466" s="2" t="s">
        <v>1990</v>
      </c>
      <c r="AB466" s="2" t="str">
        <f>LEFT(A466,3)</f>
        <v>SAV</v>
      </c>
    </row>
    <row r="467" spans="1:28">
      <c r="A467" s="6" t="s">
        <v>1992</v>
      </c>
      <c r="B467" s="6" t="s">
        <v>93</v>
      </c>
      <c r="C467" s="6" t="s">
        <v>50</v>
      </c>
      <c r="D467" s="6" t="s">
        <v>1993</v>
      </c>
      <c r="E467" s="2" t="s">
        <v>52</v>
      </c>
      <c r="F467" s="6" t="s">
        <v>1073</v>
      </c>
      <c r="G467" s="6" t="s">
        <v>1073</v>
      </c>
      <c r="H467" s="6" t="s">
        <v>1073</v>
      </c>
      <c r="I467" s="2" t="s">
        <v>53</v>
      </c>
      <c r="J467" s="7">
        <v>461934</v>
      </c>
      <c r="K467" s="7">
        <v>220419</v>
      </c>
      <c r="L467" s="8">
        <v>166.60071300000001</v>
      </c>
      <c r="M467" s="8">
        <v>-22.217687000000002</v>
      </c>
      <c r="N467" s="2">
        <v>3</v>
      </c>
      <c r="O467" s="2">
        <v>3</v>
      </c>
      <c r="P467" s="2">
        <v>3</v>
      </c>
      <c r="Q467" s="2" t="s">
        <v>35</v>
      </c>
      <c r="R467" s="2" t="s">
        <v>1994</v>
      </c>
      <c r="S467" s="2" t="s">
        <v>47</v>
      </c>
      <c r="U467" s="2">
        <f>P467-N467</f>
        <v>0</v>
      </c>
      <c r="W467" s="30" t="s">
        <v>52</v>
      </c>
      <c r="X467" s="2" t="s">
        <v>39</v>
      </c>
      <c r="Y467" s="2" t="s">
        <v>1995</v>
      </c>
      <c r="Z467" s="2" t="s">
        <v>40</v>
      </c>
      <c r="AA467" s="2" t="s">
        <v>1995</v>
      </c>
      <c r="AB467" s="2" t="str">
        <f>LEFT(A467,3)</f>
        <v>SCH</v>
      </c>
    </row>
    <row r="468" spans="1:28">
      <c r="A468" s="6" t="s">
        <v>1996</v>
      </c>
      <c r="B468" s="2" t="s">
        <v>29</v>
      </c>
      <c r="C468" s="2" t="s">
        <v>30</v>
      </c>
      <c r="D468" s="6" t="s">
        <v>1997</v>
      </c>
      <c r="E468" s="2" t="s">
        <v>1997</v>
      </c>
      <c r="F468" s="2" t="s">
        <v>1998</v>
      </c>
      <c r="G468" s="2" t="s">
        <v>1998</v>
      </c>
      <c r="H468" s="2" t="s">
        <v>1997</v>
      </c>
      <c r="I468" s="2" t="s">
        <v>145</v>
      </c>
      <c r="J468" s="7">
        <v>446415</v>
      </c>
      <c r="K468" s="7">
        <v>215595</v>
      </c>
      <c r="L468" s="8">
        <v>166.45032647025801</v>
      </c>
      <c r="M468" s="8">
        <v>-22.261722704478</v>
      </c>
      <c r="N468" s="2">
        <v>2</v>
      </c>
      <c r="O468" s="2">
        <v>9</v>
      </c>
      <c r="P468" s="2">
        <v>9</v>
      </c>
      <c r="Q468" s="2" t="s">
        <v>35</v>
      </c>
      <c r="R468" s="2" t="s">
        <v>1999</v>
      </c>
      <c r="S468" s="2" t="s">
        <v>37</v>
      </c>
      <c r="U468" s="2">
        <f>P468-N468</f>
        <v>7</v>
      </c>
      <c r="W468" s="30" t="s">
        <v>1997</v>
      </c>
      <c r="X468" s="2" t="s">
        <v>39</v>
      </c>
      <c r="Y468" s="2" t="s">
        <v>1998</v>
      </c>
      <c r="Z468" s="2" t="s">
        <v>40</v>
      </c>
      <c r="AA468" s="2" t="s">
        <v>1998</v>
      </c>
      <c r="AB468" s="2" t="str">
        <f>LEFT(A468,3)</f>
        <v>SCO</v>
      </c>
    </row>
    <row r="469" spans="1:28">
      <c r="A469" s="6" t="s">
        <v>2000</v>
      </c>
      <c r="B469" s="2" t="s">
        <v>49</v>
      </c>
      <c r="C469" s="2" t="s">
        <v>50</v>
      </c>
      <c r="D469" s="6" t="s">
        <v>2001</v>
      </c>
      <c r="E469" s="6" t="s">
        <v>52</v>
      </c>
      <c r="F469" s="6" t="s">
        <v>2001</v>
      </c>
      <c r="G469" s="6" t="s">
        <v>2001</v>
      </c>
      <c r="H469" s="6" t="s">
        <v>2001</v>
      </c>
      <c r="I469" s="2" t="s">
        <v>53</v>
      </c>
      <c r="J469" s="7">
        <v>448798</v>
      </c>
      <c r="K469" s="7">
        <v>221422</v>
      </c>
      <c r="L469" s="8">
        <v>166.473275</v>
      </c>
      <c r="M469" s="8">
        <v>-22.209036000000001</v>
      </c>
      <c r="N469" s="2">
        <v>3</v>
      </c>
      <c r="O469" s="2">
        <v>3</v>
      </c>
      <c r="P469" s="2">
        <v>3</v>
      </c>
      <c r="Q469" s="2" t="s">
        <v>35</v>
      </c>
      <c r="R469" s="2" t="s">
        <v>2002</v>
      </c>
      <c r="S469" s="2" t="s">
        <v>37</v>
      </c>
      <c r="U469" s="2">
        <f>P469-N469</f>
        <v>0</v>
      </c>
      <c r="W469" s="30" t="s">
        <v>52</v>
      </c>
      <c r="X469" s="2" t="s">
        <v>52</v>
      </c>
      <c r="Y469" s="2" t="s">
        <v>2001</v>
      </c>
      <c r="Z469" s="2" t="s">
        <v>40</v>
      </c>
      <c r="AA469" s="2" t="s">
        <v>2001</v>
      </c>
      <c r="AB469" s="2" t="str">
        <f>LEFT(A469,3)</f>
        <v>SDK</v>
      </c>
    </row>
    <row r="470" spans="1:28">
      <c r="A470" s="6" t="s">
        <v>2003</v>
      </c>
      <c r="B470" s="6" t="s">
        <v>297</v>
      </c>
      <c r="C470" s="6" t="s">
        <v>68</v>
      </c>
      <c r="D470" s="6" t="s">
        <v>2004</v>
      </c>
      <c r="E470" s="6" t="s">
        <v>52</v>
      </c>
      <c r="F470" s="6" t="s">
        <v>2005</v>
      </c>
      <c r="G470" s="6" t="s">
        <v>2005</v>
      </c>
      <c r="H470" s="6" t="s">
        <v>2005</v>
      </c>
      <c r="I470" s="2" t="s">
        <v>53</v>
      </c>
      <c r="J470" s="7">
        <v>251168</v>
      </c>
      <c r="K470" s="7">
        <v>422035</v>
      </c>
      <c r="L470" s="8">
        <v>164.574308</v>
      </c>
      <c r="M470" s="8">
        <v>-20.391590999999998</v>
      </c>
      <c r="N470" s="2">
        <v>3</v>
      </c>
      <c r="O470" s="2">
        <v>3</v>
      </c>
      <c r="P470" s="2">
        <v>3</v>
      </c>
      <c r="Q470" s="2" t="s">
        <v>35</v>
      </c>
      <c r="R470" s="2" t="s">
        <v>2006</v>
      </c>
      <c r="S470" s="2" t="s">
        <v>47</v>
      </c>
      <c r="U470" s="2">
        <f>P470-N470</f>
        <v>0</v>
      </c>
      <c r="W470" s="30" t="s">
        <v>52</v>
      </c>
      <c r="X470" s="2" t="s">
        <v>52</v>
      </c>
      <c r="Y470" s="6" t="s">
        <v>2005</v>
      </c>
      <c r="Z470" s="2" t="s">
        <v>73</v>
      </c>
      <c r="AA470" s="6" t="s">
        <v>2005</v>
      </c>
      <c r="AB470" s="2" t="str">
        <f>LEFT(A470,3)</f>
        <v>SEL</v>
      </c>
    </row>
    <row r="471" spans="1:28">
      <c r="A471" s="6" t="s">
        <v>2007</v>
      </c>
      <c r="B471" s="6" t="s">
        <v>29</v>
      </c>
      <c r="C471" s="6" t="s">
        <v>30</v>
      </c>
      <c r="D471" s="6" t="s">
        <v>2008</v>
      </c>
      <c r="E471" s="6" t="s">
        <v>52</v>
      </c>
      <c r="F471" s="6" t="s">
        <v>2009</v>
      </c>
      <c r="G471" s="6" t="s">
        <v>2009</v>
      </c>
      <c r="H471" s="6" t="s">
        <v>2009</v>
      </c>
      <c r="I471" s="2" t="s">
        <v>53</v>
      </c>
      <c r="J471" s="7">
        <v>445940</v>
      </c>
      <c r="K471" s="7">
        <v>215015</v>
      </c>
      <c r="L471" s="8">
        <v>166.44573399999999</v>
      </c>
      <c r="M471" s="8">
        <v>-22.266973</v>
      </c>
      <c r="N471" s="2">
        <v>3</v>
      </c>
      <c r="O471" s="2">
        <v>9</v>
      </c>
      <c r="P471" s="2">
        <v>9</v>
      </c>
      <c r="Q471" s="2" t="s">
        <v>35</v>
      </c>
      <c r="R471" s="2" t="s">
        <v>2010</v>
      </c>
      <c r="S471" s="2" t="s">
        <v>37</v>
      </c>
      <c r="U471" s="2">
        <f>P471-N471</f>
        <v>6</v>
      </c>
      <c r="W471" s="30" t="s">
        <v>52</v>
      </c>
      <c r="X471" s="2" t="s">
        <v>52</v>
      </c>
      <c r="Y471" s="6" t="s">
        <v>2009</v>
      </c>
      <c r="Z471" s="2" t="s">
        <v>40</v>
      </c>
      <c r="AA471" s="6" t="s">
        <v>2009</v>
      </c>
      <c r="AB471" s="2" t="str">
        <f>LEFT(A471,3)</f>
        <v>SEM</v>
      </c>
    </row>
    <row r="472" spans="1:28">
      <c r="A472" s="6" t="s">
        <v>2011</v>
      </c>
      <c r="B472" s="6" t="s">
        <v>191</v>
      </c>
      <c r="C472" s="6" t="s">
        <v>43</v>
      </c>
      <c r="D472" s="6" t="s">
        <v>2012</v>
      </c>
      <c r="E472" s="6" t="s">
        <v>2012</v>
      </c>
      <c r="F472" s="6" t="s">
        <v>2012</v>
      </c>
      <c r="G472" s="2" t="s">
        <v>2013</v>
      </c>
      <c r="H472" s="2" t="s">
        <v>2012</v>
      </c>
      <c r="I472" s="2" t="s">
        <v>34</v>
      </c>
      <c r="J472" s="7">
        <v>334450</v>
      </c>
      <c r="K472" s="7">
        <v>288867</v>
      </c>
      <c r="L472" s="8">
        <v>165.366903156875</v>
      </c>
      <c r="M472" s="8">
        <v>-21.599358703331198</v>
      </c>
      <c r="N472" s="2">
        <v>2</v>
      </c>
      <c r="O472" s="2">
        <v>2</v>
      </c>
      <c r="P472" s="2">
        <f>N472</f>
        <v>2</v>
      </c>
      <c r="Q472" s="2" t="s">
        <v>35</v>
      </c>
      <c r="R472" s="2" t="s">
        <v>2014</v>
      </c>
      <c r="S472" s="2" t="s">
        <v>47</v>
      </c>
      <c r="U472" s="2">
        <f>P472-N472</f>
        <v>0</v>
      </c>
      <c r="W472" s="30" t="s">
        <v>2012</v>
      </c>
      <c r="X472" s="2" t="s">
        <v>82</v>
      </c>
      <c r="Y472" s="6" t="s">
        <v>2012</v>
      </c>
      <c r="Z472" s="2" t="s">
        <v>73</v>
      </c>
      <c r="AA472" s="2" t="s">
        <v>2013</v>
      </c>
      <c r="AB472" s="2" t="str">
        <f>LEFT(A472,3)</f>
        <v>SHE</v>
      </c>
    </row>
    <row r="473" spans="1:28">
      <c r="A473" s="6" t="s">
        <v>2015</v>
      </c>
      <c r="B473" s="6" t="s">
        <v>562</v>
      </c>
      <c r="C473" s="6" t="s">
        <v>43</v>
      </c>
      <c r="D473" s="6" t="s">
        <v>2016</v>
      </c>
      <c r="E473" s="6" t="s">
        <v>52</v>
      </c>
      <c r="F473" s="6" t="s">
        <v>2017</v>
      </c>
      <c r="G473" s="6" t="s">
        <v>2017</v>
      </c>
      <c r="H473" s="6" t="s">
        <v>2017</v>
      </c>
      <c r="I473" s="2" t="s">
        <v>53</v>
      </c>
      <c r="J473" s="7">
        <v>448392</v>
      </c>
      <c r="K473" s="7">
        <v>270601</v>
      </c>
      <c r="L473" s="8">
        <v>166.46790999999999</v>
      </c>
      <c r="M473" s="8">
        <v>-21.764886000000001</v>
      </c>
      <c r="N473" s="2">
        <v>3</v>
      </c>
      <c r="O473" s="2">
        <v>3</v>
      </c>
      <c r="P473" s="2">
        <f>N473</f>
        <v>3</v>
      </c>
      <c r="Q473" s="2" t="s">
        <v>35</v>
      </c>
      <c r="R473" s="2" t="s">
        <v>2018</v>
      </c>
      <c r="S473" s="2" t="s">
        <v>47</v>
      </c>
      <c r="U473" s="2">
        <f>P473-N473</f>
        <v>0</v>
      </c>
      <c r="W473" s="30" t="s">
        <v>52</v>
      </c>
      <c r="X473" s="2" t="s">
        <v>52</v>
      </c>
      <c r="Y473" s="6" t="s">
        <v>2017</v>
      </c>
      <c r="Z473" s="2" t="s">
        <v>40</v>
      </c>
      <c r="AA473" s="6" t="s">
        <v>2017</v>
      </c>
      <c r="AB473" s="2" t="str">
        <f>LEFT(A473,3)</f>
        <v>SJB</v>
      </c>
    </row>
    <row r="474" spans="1:28">
      <c r="A474" s="6" t="s">
        <v>2019</v>
      </c>
      <c r="B474" s="6" t="s">
        <v>93</v>
      </c>
      <c r="C474" s="6" t="s">
        <v>50</v>
      </c>
      <c r="D474" s="6" t="s">
        <v>2020</v>
      </c>
      <c r="E474" s="6" t="s">
        <v>2020</v>
      </c>
      <c r="F474" s="6" t="s">
        <v>2020</v>
      </c>
      <c r="G474" s="2" t="s">
        <v>2021</v>
      </c>
      <c r="H474" s="2" t="s">
        <v>2020</v>
      </c>
      <c r="I474" s="2" t="s">
        <v>34</v>
      </c>
      <c r="J474" s="7">
        <v>457130</v>
      </c>
      <c r="K474" s="7">
        <v>219273</v>
      </c>
      <c r="L474" s="8">
        <v>166.554157992781</v>
      </c>
      <c r="M474" s="8">
        <v>-22.228196431615199</v>
      </c>
      <c r="N474" s="2">
        <v>3</v>
      </c>
      <c r="O474" s="2">
        <v>5</v>
      </c>
      <c r="P474" s="2">
        <f>N474</f>
        <v>3</v>
      </c>
      <c r="Q474" s="2" t="s">
        <v>35</v>
      </c>
      <c r="R474" s="2" t="s">
        <v>2022</v>
      </c>
      <c r="S474" s="2" t="s">
        <v>37</v>
      </c>
      <c r="U474" s="2">
        <f>P474-N474</f>
        <v>0</v>
      </c>
      <c r="W474" s="30" t="s">
        <v>52</v>
      </c>
      <c r="X474" s="2" t="s">
        <v>39</v>
      </c>
      <c r="Y474" s="6" t="s">
        <v>2020</v>
      </c>
      <c r="Z474" s="2" t="s">
        <v>40</v>
      </c>
      <c r="AA474" s="2" t="s">
        <v>2021</v>
      </c>
      <c r="AB474" s="2" t="str">
        <f>LEFT(A474,3)</f>
        <v>SLO</v>
      </c>
    </row>
    <row r="475" spans="1:28">
      <c r="A475" s="6" t="s">
        <v>2023</v>
      </c>
      <c r="B475" s="6" t="s">
        <v>123</v>
      </c>
      <c r="C475" s="6" t="s">
        <v>68</v>
      </c>
      <c r="D475" s="6" t="s">
        <v>2024</v>
      </c>
      <c r="E475" s="6" t="s">
        <v>52</v>
      </c>
      <c r="F475" s="6" t="s">
        <v>2025</v>
      </c>
      <c r="G475" s="6" t="s">
        <v>2025</v>
      </c>
      <c r="H475" s="6" t="s">
        <v>2025</v>
      </c>
      <c r="I475" s="2" t="s">
        <v>53</v>
      </c>
      <c r="J475" s="7">
        <v>195073</v>
      </c>
      <c r="K475" s="7">
        <v>436038</v>
      </c>
      <c r="L475" s="8">
        <v>164.03869499999999</v>
      </c>
      <c r="M475" s="8">
        <v>-20.259637999999999</v>
      </c>
      <c r="N475" s="2">
        <v>4</v>
      </c>
      <c r="O475" s="2">
        <v>4</v>
      </c>
      <c r="P475" s="2">
        <f>N475</f>
        <v>4</v>
      </c>
      <c r="Q475" s="2" t="s">
        <v>35</v>
      </c>
      <c r="R475" s="2" t="s">
        <v>2026</v>
      </c>
      <c r="S475" s="2" t="s">
        <v>47</v>
      </c>
      <c r="U475" s="2">
        <f>P475-N475</f>
        <v>0</v>
      </c>
      <c r="W475" s="30" t="s">
        <v>52</v>
      </c>
      <c r="X475" s="2" t="s">
        <v>52</v>
      </c>
      <c r="Y475" s="6" t="s">
        <v>2025</v>
      </c>
      <c r="Z475" s="2" t="s">
        <v>73</v>
      </c>
      <c r="AA475" s="6" t="s">
        <v>2025</v>
      </c>
      <c r="AB475" s="2" t="str">
        <f>LEFT(A475,3)</f>
        <v>SLR</v>
      </c>
    </row>
    <row r="476" spans="1:28">
      <c r="A476" s="6" t="s">
        <v>2027</v>
      </c>
      <c r="B476" s="6" t="s">
        <v>93</v>
      </c>
      <c r="C476" s="6" t="s">
        <v>50</v>
      </c>
      <c r="D476" s="6" t="s">
        <v>2028</v>
      </c>
      <c r="E476" s="6" t="s">
        <v>52</v>
      </c>
      <c r="F476" s="6" t="s">
        <v>2029</v>
      </c>
      <c r="G476" s="6" t="s">
        <v>2029</v>
      </c>
      <c r="H476" s="6" t="s">
        <v>2029</v>
      </c>
      <c r="I476" s="2" t="s">
        <v>53</v>
      </c>
      <c r="J476" s="7">
        <v>454688</v>
      </c>
      <c r="K476" s="7">
        <v>218985</v>
      </c>
      <c r="L476" s="8">
        <v>166.53048038700001</v>
      </c>
      <c r="M476" s="8">
        <v>-22.230873829</v>
      </c>
      <c r="N476" s="2">
        <v>3</v>
      </c>
      <c r="O476" s="2">
        <v>3</v>
      </c>
      <c r="P476" s="2">
        <f>N476</f>
        <v>3</v>
      </c>
      <c r="Q476" s="2" t="s">
        <v>35</v>
      </c>
      <c r="R476" s="2" t="s">
        <v>2030</v>
      </c>
      <c r="S476" s="2" t="s">
        <v>37</v>
      </c>
      <c r="U476" s="2">
        <f>P476-N476</f>
        <v>0</v>
      </c>
      <c r="W476" s="30" t="s">
        <v>52</v>
      </c>
      <c r="X476" s="2" t="s">
        <v>52</v>
      </c>
      <c r="Y476" s="6" t="s">
        <v>2029</v>
      </c>
      <c r="Z476" s="2" t="s">
        <v>40</v>
      </c>
      <c r="AA476" s="6" t="s">
        <v>2029</v>
      </c>
      <c r="AB476" s="2" t="str">
        <f>LEFT(A476,3)</f>
        <v>SMG</v>
      </c>
    </row>
    <row r="477" spans="1:28">
      <c r="A477" s="6" t="s">
        <v>2031</v>
      </c>
      <c r="B477" s="6" t="s">
        <v>93</v>
      </c>
      <c r="C477" s="6" t="s">
        <v>50</v>
      </c>
      <c r="D477" s="6" t="s">
        <v>2032</v>
      </c>
      <c r="E477" s="6" t="s">
        <v>2032</v>
      </c>
      <c r="F477" s="6" t="s">
        <v>2033</v>
      </c>
      <c r="G477" s="2" t="s">
        <v>2034</v>
      </c>
      <c r="H477" s="2" t="s">
        <v>2033</v>
      </c>
      <c r="I477" s="2" t="s">
        <v>34</v>
      </c>
      <c r="J477" s="7">
        <v>454958.48116000002</v>
      </c>
      <c r="K477" s="7">
        <v>219191.32311</v>
      </c>
      <c r="L477" s="8">
        <v>166.533092586066</v>
      </c>
      <c r="M477" s="8">
        <v>-22.229005174798601</v>
      </c>
      <c r="N477" s="2">
        <v>3</v>
      </c>
      <c r="O477" s="2">
        <v>6</v>
      </c>
      <c r="P477" s="2">
        <f>N477</f>
        <v>3</v>
      </c>
      <c r="Q477" s="2" t="s">
        <v>35</v>
      </c>
      <c r="R477" s="2" t="s">
        <v>2035</v>
      </c>
      <c r="S477" s="2" t="s">
        <v>37</v>
      </c>
      <c r="T477" s="2" t="s">
        <v>205</v>
      </c>
      <c r="U477" s="2">
        <f>P477-N477</f>
        <v>0</v>
      </c>
      <c r="W477" s="30" t="s">
        <v>52</v>
      </c>
      <c r="X477" s="2" t="s">
        <v>39</v>
      </c>
      <c r="Y477" s="6" t="s">
        <v>2033</v>
      </c>
      <c r="Z477" s="2" t="s">
        <v>40</v>
      </c>
      <c r="AA477" s="2" t="s">
        <v>2034</v>
      </c>
      <c r="AB477" s="2" t="str">
        <f>LEFT(A477,3)</f>
        <v>SML</v>
      </c>
    </row>
    <row r="478" spans="1:28">
      <c r="A478" s="2" t="s">
        <v>2036</v>
      </c>
      <c r="B478" s="2" t="s">
        <v>29</v>
      </c>
      <c r="C478" s="2" t="s">
        <v>30</v>
      </c>
      <c r="D478" s="6" t="s">
        <v>2037</v>
      </c>
      <c r="E478" s="2" t="s">
        <v>52</v>
      </c>
      <c r="F478" s="6" t="s">
        <v>2038</v>
      </c>
      <c r="G478" s="6" t="s">
        <v>2038</v>
      </c>
      <c r="H478" s="6" t="s">
        <v>2038</v>
      </c>
      <c r="I478" s="2" t="s">
        <v>53</v>
      </c>
      <c r="J478" s="15">
        <v>447415</v>
      </c>
      <c r="K478" s="15">
        <v>213765</v>
      </c>
      <c r="L478" s="9">
        <v>166.46008</v>
      </c>
      <c r="M478" s="8">
        <v>-22.278220000000001</v>
      </c>
      <c r="N478" s="2">
        <v>3</v>
      </c>
      <c r="O478" s="2">
        <v>9</v>
      </c>
      <c r="P478" s="2">
        <v>9</v>
      </c>
      <c r="Q478" s="2" t="s">
        <v>35</v>
      </c>
      <c r="R478" s="2" t="s">
        <v>2039</v>
      </c>
      <c r="S478" s="2" t="s">
        <v>37</v>
      </c>
      <c r="U478" s="2">
        <f>P478-N478</f>
        <v>6</v>
      </c>
      <c r="W478" s="30" t="s">
        <v>52</v>
      </c>
      <c r="X478" s="6" t="s">
        <v>52</v>
      </c>
      <c r="Y478" s="6" t="s">
        <v>2038</v>
      </c>
      <c r="Z478" s="2" t="s">
        <v>40</v>
      </c>
      <c r="AA478" s="6" t="s">
        <v>2038</v>
      </c>
      <c r="AB478" s="2" t="str">
        <f>LEFT(A478,3)</f>
        <v>SMN</v>
      </c>
    </row>
    <row r="479" spans="1:28">
      <c r="A479" s="6" t="s">
        <v>2040</v>
      </c>
      <c r="B479" s="2" t="s">
        <v>29</v>
      </c>
      <c r="C479" s="2" t="s">
        <v>30</v>
      </c>
      <c r="D479" s="6" t="s">
        <v>2041</v>
      </c>
      <c r="E479" s="6" t="s">
        <v>2041</v>
      </c>
      <c r="F479" s="6" t="s">
        <v>2041</v>
      </c>
      <c r="G479" s="2" t="s">
        <v>2042</v>
      </c>
      <c r="H479" s="2" t="s">
        <v>1696</v>
      </c>
      <c r="I479" s="2" t="s">
        <v>34</v>
      </c>
      <c r="J479" s="7">
        <v>449959</v>
      </c>
      <c r="K479" s="7">
        <v>211539</v>
      </c>
      <c r="L479" s="8">
        <v>166.484832813917</v>
      </c>
      <c r="M479" s="8">
        <v>-22.2982555831904</v>
      </c>
      <c r="N479" s="2">
        <v>2</v>
      </c>
      <c r="O479" s="2">
        <v>4</v>
      </c>
      <c r="P479" s="2">
        <v>4</v>
      </c>
      <c r="Q479" s="2" t="s">
        <v>35</v>
      </c>
      <c r="R479" s="2" t="s">
        <v>2043</v>
      </c>
      <c r="S479" s="2" t="s">
        <v>37</v>
      </c>
      <c r="U479" s="2">
        <f>P479-N479</f>
        <v>2</v>
      </c>
      <c r="V479" s="2" t="s">
        <v>38</v>
      </c>
      <c r="W479" s="30" t="s">
        <v>2041</v>
      </c>
      <c r="X479" s="2" t="s">
        <v>39</v>
      </c>
      <c r="Y479" s="6" t="s">
        <v>2041</v>
      </c>
      <c r="Z479" s="2" t="s">
        <v>40</v>
      </c>
      <c r="AA479" s="2" t="s">
        <v>2042</v>
      </c>
      <c r="AB479" s="2" t="str">
        <f>LEFT(A479,3)</f>
        <v>SMR</v>
      </c>
    </row>
    <row r="480" spans="1:28">
      <c r="A480" s="2" t="s">
        <v>2044</v>
      </c>
      <c r="B480" s="2" t="s">
        <v>56</v>
      </c>
      <c r="C480" s="2" t="s">
        <v>50</v>
      </c>
      <c r="D480" s="6" t="s">
        <v>2045</v>
      </c>
      <c r="E480" s="2" t="s">
        <v>52</v>
      </c>
      <c r="F480" s="6" t="s">
        <v>2046</v>
      </c>
      <c r="G480" s="6" t="s">
        <v>2046</v>
      </c>
      <c r="H480" s="6" t="s">
        <v>2046</v>
      </c>
      <c r="I480" s="2" t="s">
        <v>53</v>
      </c>
      <c r="J480" s="7">
        <v>431689</v>
      </c>
      <c r="K480" s="7">
        <v>236075</v>
      </c>
      <c r="L480" s="9">
        <v>166.30706000000001</v>
      </c>
      <c r="M480" s="8">
        <v>-22.077089999999998</v>
      </c>
      <c r="N480" s="2">
        <v>2</v>
      </c>
      <c r="O480" s="2">
        <v>2</v>
      </c>
      <c r="P480" s="2">
        <v>2</v>
      </c>
      <c r="Q480" s="2" t="s">
        <v>35</v>
      </c>
      <c r="R480" s="2" t="s">
        <v>2047</v>
      </c>
      <c r="S480" s="2" t="s">
        <v>47</v>
      </c>
      <c r="U480" s="2">
        <f>P480-N480</f>
        <v>0</v>
      </c>
      <c r="W480" s="30" t="s">
        <v>52</v>
      </c>
      <c r="X480" s="6" t="s">
        <v>52</v>
      </c>
      <c r="Y480" s="6" t="s">
        <v>2046</v>
      </c>
      <c r="Z480" s="2" t="s">
        <v>40</v>
      </c>
      <c r="AA480" s="6" t="s">
        <v>2046</v>
      </c>
      <c r="AB480" s="2" t="str">
        <f>LEFT(A480,3)</f>
        <v>SNL</v>
      </c>
    </row>
    <row r="481" spans="1:28">
      <c r="A481" s="2" t="s">
        <v>2048</v>
      </c>
      <c r="B481" s="2" t="s">
        <v>49</v>
      </c>
      <c r="C481" s="2" t="s">
        <v>50</v>
      </c>
      <c r="D481" s="2" t="s">
        <v>2049</v>
      </c>
      <c r="E481" s="2" t="s">
        <v>52</v>
      </c>
      <c r="F481" s="2" t="s">
        <v>2050</v>
      </c>
      <c r="G481" s="2" t="s">
        <v>2050</v>
      </c>
      <c r="H481" s="2" t="s">
        <v>2050</v>
      </c>
      <c r="I481" s="2" t="s">
        <v>53</v>
      </c>
      <c r="J481" s="2">
        <v>447850</v>
      </c>
      <c r="K481" s="2">
        <v>220525</v>
      </c>
      <c r="L481" s="2">
        <v>166.46411000000001</v>
      </c>
      <c r="M481" s="2">
        <v>-22.21716</v>
      </c>
      <c r="N481" s="2">
        <v>3</v>
      </c>
      <c r="O481" s="2">
        <v>6</v>
      </c>
      <c r="P481" s="2">
        <v>6</v>
      </c>
      <c r="Q481" s="2" t="s">
        <v>35</v>
      </c>
      <c r="R481" s="2" t="s">
        <v>2051</v>
      </c>
      <c r="S481" s="2" t="s">
        <v>37</v>
      </c>
      <c r="U481" s="2">
        <f>P481-N481</f>
        <v>3</v>
      </c>
      <c r="W481" s="30" t="s">
        <v>52</v>
      </c>
      <c r="X481" s="6" t="s">
        <v>52</v>
      </c>
      <c r="Y481" s="2" t="s">
        <v>2050</v>
      </c>
      <c r="Z481" s="2" t="s">
        <v>40</v>
      </c>
      <c r="AA481" s="2" t="s">
        <v>2050</v>
      </c>
      <c r="AB481" s="2" t="str">
        <f>LEFT(A481,3)</f>
        <v>SPA</v>
      </c>
    </row>
    <row r="482" spans="1:28">
      <c r="A482" s="2" t="s">
        <v>2052</v>
      </c>
      <c r="B482" s="2" t="s">
        <v>562</v>
      </c>
      <c r="C482" s="2" t="s">
        <v>43</v>
      </c>
      <c r="D482" s="6" t="s">
        <v>2053</v>
      </c>
      <c r="E482" s="2" t="s">
        <v>52</v>
      </c>
      <c r="F482" s="6" t="s">
        <v>2054</v>
      </c>
      <c r="G482" s="6" t="s">
        <v>2054</v>
      </c>
      <c r="H482" s="6" t="s">
        <v>2054</v>
      </c>
      <c r="I482" s="2" t="s">
        <v>53</v>
      </c>
      <c r="J482" s="7">
        <v>424180</v>
      </c>
      <c r="K482" s="7">
        <v>287760</v>
      </c>
      <c r="L482" s="9">
        <v>166.23355000000001</v>
      </c>
      <c r="M482" s="8">
        <v>-21.610389999999999</v>
      </c>
      <c r="N482" s="2">
        <v>3</v>
      </c>
      <c r="O482" s="2">
        <v>5</v>
      </c>
      <c r="P482" s="2">
        <v>6</v>
      </c>
      <c r="Q482" s="2" t="s">
        <v>35</v>
      </c>
      <c r="R482" s="2" t="s">
        <v>2055</v>
      </c>
      <c r="S482" s="2" t="s">
        <v>47</v>
      </c>
      <c r="U482" s="2">
        <f>P482-N482</f>
        <v>3</v>
      </c>
      <c r="W482" s="30" t="s">
        <v>52</v>
      </c>
      <c r="X482" s="6" t="s">
        <v>52</v>
      </c>
      <c r="Y482" s="6" t="s">
        <v>2054</v>
      </c>
      <c r="Z482" s="2" t="s">
        <v>40</v>
      </c>
      <c r="AA482" s="6" t="s">
        <v>2054</v>
      </c>
      <c r="AB482" s="2" t="str">
        <f>LEFT(A482,3)</f>
        <v>SPH</v>
      </c>
    </row>
    <row r="483" spans="1:28">
      <c r="A483" s="6" t="s">
        <v>2056</v>
      </c>
      <c r="B483" s="6" t="s">
        <v>29</v>
      </c>
      <c r="C483" s="6" t="s">
        <v>30</v>
      </c>
      <c r="D483" s="6" t="s">
        <v>2057</v>
      </c>
      <c r="E483" s="6" t="s">
        <v>2057</v>
      </c>
      <c r="F483" s="6" t="s">
        <v>2057</v>
      </c>
      <c r="G483" s="2" t="s">
        <v>2058</v>
      </c>
      <c r="H483" s="2" t="s">
        <v>2057</v>
      </c>
      <c r="I483" s="2" t="s">
        <v>34</v>
      </c>
      <c r="J483" s="7">
        <v>448265.53139999998</v>
      </c>
      <c r="K483" s="7">
        <v>212917.66985999999</v>
      </c>
      <c r="L483" s="8">
        <v>166.46836290718099</v>
      </c>
      <c r="M483" s="8">
        <v>-22.285848886478998</v>
      </c>
      <c r="N483" s="2">
        <v>2</v>
      </c>
      <c r="O483" s="2">
        <v>4</v>
      </c>
      <c r="P483" s="2">
        <f>N483</f>
        <v>2</v>
      </c>
      <c r="Q483" s="2" t="s">
        <v>35</v>
      </c>
      <c r="R483" s="2" t="s">
        <v>2059</v>
      </c>
      <c r="S483" s="2" t="s">
        <v>37</v>
      </c>
      <c r="U483" s="2">
        <f>P483-N483</f>
        <v>0</v>
      </c>
      <c r="W483" s="30" t="s">
        <v>52</v>
      </c>
      <c r="X483" s="2" t="s">
        <v>39</v>
      </c>
      <c r="Y483" s="6" t="s">
        <v>2057</v>
      </c>
      <c r="Z483" s="2" t="s">
        <v>40</v>
      </c>
      <c r="AA483" s="2" t="s">
        <v>2058</v>
      </c>
      <c r="AB483" s="2" t="str">
        <f>LEFT(A483,3)</f>
        <v>STA</v>
      </c>
    </row>
    <row r="484" spans="1:28">
      <c r="A484" s="6" t="s">
        <v>2060</v>
      </c>
      <c r="B484" s="6" t="s">
        <v>978</v>
      </c>
      <c r="C484" s="6" t="s">
        <v>68</v>
      </c>
      <c r="D484" s="6" t="s">
        <v>2061</v>
      </c>
      <c r="E484" s="6" t="s">
        <v>2061</v>
      </c>
      <c r="F484" s="6" t="s">
        <v>2061</v>
      </c>
      <c r="G484" s="2" t="s">
        <v>2062</v>
      </c>
      <c r="H484" s="2" t="s">
        <v>2061</v>
      </c>
      <c r="I484" s="2" t="s">
        <v>34</v>
      </c>
      <c r="J484" s="7">
        <v>325258.66197000002</v>
      </c>
      <c r="K484" s="7">
        <v>366926.60441000003</v>
      </c>
      <c r="L484" s="8">
        <v>165.281600198131</v>
      </c>
      <c r="M484" s="8">
        <v>-20.893923540950599</v>
      </c>
      <c r="N484" s="2">
        <v>2</v>
      </c>
      <c r="O484" s="2">
        <v>2</v>
      </c>
      <c r="P484" s="2">
        <f>N484</f>
        <v>2</v>
      </c>
      <c r="Q484" s="2" t="s">
        <v>35</v>
      </c>
      <c r="R484" s="2" t="s">
        <v>2063</v>
      </c>
      <c r="S484" s="2" t="s">
        <v>47</v>
      </c>
      <c r="U484" s="2">
        <f>P484-N484</f>
        <v>0</v>
      </c>
      <c r="W484" s="30" t="s">
        <v>2061</v>
      </c>
      <c r="X484" s="2" t="s">
        <v>82</v>
      </c>
      <c r="Y484" s="6" t="s">
        <v>2061</v>
      </c>
      <c r="Z484" s="2" t="s">
        <v>73</v>
      </c>
      <c r="AA484" s="2" t="s">
        <v>2062</v>
      </c>
      <c r="AB484" s="2" t="str">
        <f>LEFT(A484,3)</f>
        <v>STD</v>
      </c>
    </row>
    <row r="485" spans="1:28">
      <c r="A485" s="2" t="s">
        <v>2064</v>
      </c>
      <c r="B485" s="2" t="s">
        <v>297</v>
      </c>
      <c r="C485" s="2" t="s">
        <v>68</v>
      </c>
      <c r="D485" s="2" t="s">
        <v>2065</v>
      </c>
      <c r="E485" s="2" t="s">
        <v>2065</v>
      </c>
      <c r="F485" s="2" t="s">
        <v>2066</v>
      </c>
      <c r="G485" s="2" t="s">
        <v>2067</v>
      </c>
      <c r="H485" s="2" t="s">
        <v>298</v>
      </c>
      <c r="I485" s="2" t="s">
        <v>34</v>
      </c>
      <c r="J485" s="2">
        <v>246368.85167</v>
      </c>
      <c r="K485" s="2">
        <v>428688.10194999998</v>
      </c>
      <c r="L485" s="2">
        <v>164.52894028409401</v>
      </c>
      <c r="M485" s="8">
        <v>-20.3311031482984</v>
      </c>
      <c r="N485" s="2">
        <v>2</v>
      </c>
      <c r="O485" s="2">
        <v>2</v>
      </c>
      <c r="P485" s="2">
        <v>2</v>
      </c>
      <c r="Q485" s="2" t="s">
        <v>35</v>
      </c>
      <c r="R485" s="2" t="s">
        <v>2068</v>
      </c>
      <c r="S485" s="2" t="s">
        <v>47</v>
      </c>
      <c r="U485" s="2">
        <f>P485-N485</f>
        <v>0</v>
      </c>
      <c r="W485" s="30" t="s">
        <v>2065</v>
      </c>
      <c r="X485" s="2" t="s">
        <v>82</v>
      </c>
      <c r="Y485" s="2" t="s">
        <v>2066</v>
      </c>
      <c r="Z485" s="2" t="s">
        <v>73</v>
      </c>
      <c r="AA485" s="2" t="s">
        <v>2067</v>
      </c>
      <c r="AB485" s="2" t="str">
        <f>LEFT(A485,3)</f>
        <v>STM</v>
      </c>
    </row>
    <row r="486" spans="1:28">
      <c r="A486" s="6" t="s">
        <v>2069</v>
      </c>
      <c r="B486" s="6" t="s">
        <v>373</v>
      </c>
      <c r="C486" s="6" t="s">
        <v>129</v>
      </c>
      <c r="D486" s="6" t="s">
        <v>2070</v>
      </c>
      <c r="E486" s="6" t="s">
        <v>2070</v>
      </c>
      <c r="F486" s="6" t="s">
        <v>2070</v>
      </c>
      <c r="G486" s="2" t="s">
        <v>2071</v>
      </c>
      <c r="H486" s="2" t="s">
        <v>2070</v>
      </c>
      <c r="I486" s="2" t="s">
        <v>34</v>
      </c>
      <c r="J486" s="7">
        <v>530791.09161999996</v>
      </c>
      <c r="K486" s="7">
        <v>381009.92339000001</v>
      </c>
      <c r="L486" s="8">
        <v>167.256038562713</v>
      </c>
      <c r="M486" s="8">
        <v>-20.7635233691901</v>
      </c>
      <c r="N486" s="2">
        <v>2</v>
      </c>
      <c r="O486" s="2">
        <v>2</v>
      </c>
      <c r="P486" s="2">
        <f>N486</f>
        <v>2</v>
      </c>
      <c r="Q486" s="2" t="s">
        <v>35</v>
      </c>
      <c r="R486" s="2" t="s">
        <v>2072</v>
      </c>
      <c r="S486" s="2" t="s">
        <v>47</v>
      </c>
      <c r="U486" s="2">
        <f>P486-N486</f>
        <v>0</v>
      </c>
      <c r="W486" s="30" t="s">
        <v>2070</v>
      </c>
      <c r="X486" s="2" t="s">
        <v>82</v>
      </c>
      <c r="Y486" s="6" t="s">
        <v>2070</v>
      </c>
      <c r="Z486" s="2" t="s">
        <v>73</v>
      </c>
      <c r="AA486" s="2" t="s">
        <v>2071</v>
      </c>
      <c r="AB486" s="2" t="str">
        <f>LEFT(A486,3)</f>
        <v>STP</v>
      </c>
    </row>
    <row r="487" spans="1:28">
      <c r="A487" s="6" t="s">
        <v>2073</v>
      </c>
      <c r="B487" s="6" t="s">
        <v>49</v>
      </c>
      <c r="C487" s="6" t="s">
        <v>50</v>
      </c>
      <c r="D487" s="6" t="s">
        <v>2074</v>
      </c>
      <c r="E487" s="6" t="s">
        <v>2074</v>
      </c>
      <c r="F487" s="6" t="s">
        <v>2074</v>
      </c>
      <c r="G487" s="2" t="s">
        <v>2075</v>
      </c>
      <c r="H487" s="2" t="s">
        <v>2074</v>
      </c>
      <c r="I487" s="2" t="s">
        <v>34</v>
      </c>
      <c r="J487" s="7">
        <v>449815</v>
      </c>
      <c r="K487" s="7">
        <v>220390</v>
      </c>
      <c r="L487" s="9">
        <v>166.48317</v>
      </c>
      <c r="M487" s="8">
        <v>-22.218330000000002</v>
      </c>
      <c r="N487" s="2">
        <v>3</v>
      </c>
      <c r="O487" s="2">
        <v>9</v>
      </c>
      <c r="P487" s="2">
        <v>9</v>
      </c>
      <c r="Q487" s="2" t="s">
        <v>35</v>
      </c>
      <c r="R487" s="2" t="s">
        <v>2076</v>
      </c>
      <c r="S487" s="2" t="s">
        <v>37</v>
      </c>
      <c r="U487" s="2">
        <f>P487-N487</f>
        <v>6</v>
      </c>
      <c r="V487" s="2" t="s">
        <v>38</v>
      </c>
      <c r="W487" s="30" t="s">
        <v>2074</v>
      </c>
      <c r="X487" s="2" t="s">
        <v>39</v>
      </c>
      <c r="Y487" s="6" t="s">
        <v>2074</v>
      </c>
      <c r="Z487" s="2" t="s">
        <v>40</v>
      </c>
      <c r="AA487" s="2" t="s">
        <v>2075</v>
      </c>
      <c r="AB487" s="2" t="str">
        <f>LEFT(A487,3)</f>
        <v>STQ</v>
      </c>
    </row>
    <row r="488" spans="1:28">
      <c r="A488" s="6" t="s">
        <v>2077</v>
      </c>
      <c r="B488" s="6" t="s">
        <v>29</v>
      </c>
      <c r="C488" s="6" t="s">
        <v>30</v>
      </c>
      <c r="D488" s="6" t="s">
        <v>2078</v>
      </c>
      <c r="E488" s="6" t="s">
        <v>2078</v>
      </c>
      <c r="F488" s="6" t="s">
        <v>2078</v>
      </c>
      <c r="G488" s="2" t="s">
        <v>2079</v>
      </c>
      <c r="H488" s="2" t="s">
        <v>2078</v>
      </c>
      <c r="I488" s="2" t="s">
        <v>34</v>
      </c>
      <c r="J488" s="7">
        <v>445002.94273000001</v>
      </c>
      <c r="K488" s="7">
        <v>211033.47643000001</v>
      </c>
      <c r="L488" s="8">
        <v>166.436750729907</v>
      </c>
      <c r="M488" s="8">
        <v>-22.302957019246001</v>
      </c>
      <c r="N488" s="2">
        <v>2</v>
      </c>
      <c r="O488" s="2">
        <v>6</v>
      </c>
      <c r="P488" s="2">
        <v>4</v>
      </c>
      <c r="Q488" s="2" t="s">
        <v>35</v>
      </c>
      <c r="R488" s="2" t="s">
        <v>2080</v>
      </c>
      <c r="S488" s="2" t="s">
        <v>37</v>
      </c>
      <c r="U488" s="2">
        <f>P488-N488</f>
        <v>2</v>
      </c>
      <c r="W488" s="30" t="s">
        <v>52</v>
      </c>
      <c r="X488" s="2" t="s">
        <v>39</v>
      </c>
      <c r="Y488" s="6" t="s">
        <v>2078</v>
      </c>
      <c r="Z488" s="2" t="s">
        <v>40</v>
      </c>
      <c r="AA488" s="2" t="s">
        <v>2079</v>
      </c>
      <c r="AB488" s="2" t="str">
        <f>LEFT(A488,3)</f>
        <v>SUR</v>
      </c>
    </row>
    <row r="489" spans="1:28">
      <c r="A489" s="2" t="s">
        <v>2081</v>
      </c>
      <c r="B489" s="2" t="s">
        <v>49</v>
      </c>
      <c r="C489" s="2" t="s">
        <v>50</v>
      </c>
      <c r="D489" s="2" t="s">
        <v>2082</v>
      </c>
      <c r="E489" s="2" t="s">
        <v>2083</v>
      </c>
      <c r="F489" s="6" t="s">
        <v>2084</v>
      </c>
      <c r="G489" s="6" t="s">
        <v>2084</v>
      </c>
      <c r="H489" s="6" t="s">
        <v>2084</v>
      </c>
      <c r="I489" s="2" t="s">
        <v>53</v>
      </c>
      <c r="J489" s="7">
        <v>443870</v>
      </c>
      <c r="K489" s="7">
        <v>232024</v>
      </c>
      <c r="L489" s="2">
        <v>166.425201006625</v>
      </c>
      <c r="M489" s="8">
        <v>-22.1134165610591</v>
      </c>
      <c r="N489" s="2">
        <v>2</v>
      </c>
      <c r="O489" s="2">
        <v>2</v>
      </c>
      <c r="P489" s="2">
        <f>N489</f>
        <v>2</v>
      </c>
      <c r="Q489" s="2" t="s">
        <v>35</v>
      </c>
      <c r="R489" s="2" t="s">
        <v>2085</v>
      </c>
      <c r="S489" s="2" t="s">
        <v>47</v>
      </c>
      <c r="U489" s="2">
        <f>P489-N489</f>
        <v>0</v>
      </c>
      <c r="W489" s="30" t="s">
        <v>2083</v>
      </c>
      <c r="X489" s="2" t="s">
        <v>39</v>
      </c>
      <c r="Y489" s="6" t="s">
        <v>2084</v>
      </c>
      <c r="Z489" s="2" t="s">
        <v>40</v>
      </c>
      <c r="AA489" s="6" t="s">
        <v>2084</v>
      </c>
      <c r="AB489" s="2" t="str">
        <f>LEFT(A489,3)</f>
        <v>SUZ</v>
      </c>
    </row>
    <row r="490" spans="1:28">
      <c r="A490" s="3" t="s">
        <v>2086</v>
      </c>
      <c r="B490" s="3" t="s">
        <v>373</v>
      </c>
      <c r="C490" s="3" t="s">
        <v>129</v>
      </c>
      <c r="D490" s="3" t="s">
        <v>2087</v>
      </c>
      <c r="E490" s="2" t="s">
        <v>52</v>
      </c>
      <c r="F490" s="3" t="s">
        <v>2088</v>
      </c>
      <c r="G490" s="3" t="s">
        <v>2088</v>
      </c>
      <c r="H490" s="3" t="s">
        <v>2088</v>
      </c>
      <c r="I490" s="6" t="s">
        <v>53</v>
      </c>
      <c r="J490" s="7">
        <v>531545</v>
      </c>
      <c r="K490" s="7">
        <v>363917</v>
      </c>
      <c r="L490" s="9">
        <v>167.26461</v>
      </c>
      <c r="M490" s="8">
        <v>-20.917860000000001</v>
      </c>
      <c r="N490" s="2">
        <v>2</v>
      </c>
      <c r="O490" s="2">
        <v>2</v>
      </c>
      <c r="P490" s="2">
        <v>2</v>
      </c>
      <c r="Q490" s="2" t="s">
        <v>35</v>
      </c>
      <c r="R490" s="2" t="s">
        <v>2089</v>
      </c>
      <c r="S490" s="2" t="s">
        <v>47</v>
      </c>
      <c r="W490" s="30" t="s">
        <v>52</v>
      </c>
      <c r="X490" s="6" t="s">
        <v>52</v>
      </c>
      <c r="Y490" s="3" t="s">
        <v>2088</v>
      </c>
      <c r="Z490" s="2" t="s">
        <v>73</v>
      </c>
      <c r="AA490" s="3" t="s">
        <v>2088</v>
      </c>
      <c r="AB490" s="2" t="str">
        <f>LEFT(A490,3)</f>
        <v>SWE</v>
      </c>
    </row>
    <row r="491" spans="1:28">
      <c r="A491" s="6" t="s">
        <v>2090</v>
      </c>
      <c r="B491" s="6" t="s">
        <v>123</v>
      </c>
      <c r="C491" s="6" t="s">
        <v>68</v>
      </c>
      <c r="D491" s="6" t="s">
        <v>2091</v>
      </c>
      <c r="E491" s="6" t="s">
        <v>52</v>
      </c>
      <c r="F491" s="6" t="s">
        <v>2092</v>
      </c>
      <c r="G491" s="6" t="s">
        <v>2092</v>
      </c>
      <c r="H491" s="6" t="s">
        <v>2092</v>
      </c>
      <c r="I491" s="2" t="s">
        <v>53</v>
      </c>
      <c r="J491" s="7">
        <v>198613</v>
      </c>
      <c r="K491" s="7">
        <v>449354</v>
      </c>
      <c r="L491" s="8">
        <v>164.07414199999999</v>
      </c>
      <c r="M491" s="8">
        <v>-20.139780999999999</v>
      </c>
      <c r="N491" s="2">
        <v>3</v>
      </c>
      <c r="O491" s="2">
        <v>3</v>
      </c>
      <c r="P491" s="2">
        <f>N491</f>
        <v>3</v>
      </c>
      <c r="Q491" s="2" t="s">
        <v>35</v>
      </c>
      <c r="R491" s="2" t="s">
        <v>2093</v>
      </c>
      <c r="S491" s="2" t="s">
        <v>47</v>
      </c>
      <c r="U491" s="2">
        <f>P491-N491</f>
        <v>0</v>
      </c>
      <c r="W491" s="30" t="s">
        <v>52</v>
      </c>
      <c r="X491" s="6" t="s">
        <v>52</v>
      </c>
      <c r="Y491" s="6" t="s">
        <v>2092</v>
      </c>
      <c r="Z491" s="2" t="s">
        <v>73</v>
      </c>
      <c r="AA491" s="6" t="s">
        <v>2092</v>
      </c>
      <c r="AB491" s="2" t="str">
        <f>LEFT(A491,3)</f>
        <v>TAA</v>
      </c>
    </row>
    <row r="492" spans="1:28">
      <c r="A492" s="6" t="s">
        <v>2094</v>
      </c>
      <c r="B492" s="6" t="s">
        <v>351</v>
      </c>
      <c r="C492" s="6" t="s">
        <v>129</v>
      </c>
      <c r="D492" s="6" t="s">
        <v>1056</v>
      </c>
      <c r="E492" s="6" t="s">
        <v>1056</v>
      </c>
      <c r="F492" s="6" t="s">
        <v>1056</v>
      </c>
      <c r="G492" s="2" t="s">
        <v>2095</v>
      </c>
      <c r="H492" s="2" t="s">
        <v>1056</v>
      </c>
      <c r="I492" s="2" t="s">
        <v>34</v>
      </c>
      <c r="J492" s="7">
        <v>595774.92232999997</v>
      </c>
      <c r="K492" s="7">
        <v>294183.16819</v>
      </c>
      <c r="L492" s="8">
        <v>167.89013698148401</v>
      </c>
      <c r="M492" s="8">
        <v>-21.541851104023699</v>
      </c>
      <c r="N492" s="2">
        <v>2</v>
      </c>
      <c r="O492" s="2">
        <v>2</v>
      </c>
      <c r="P492" s="2">
        <f>N492</f>
        <v>2</v>
      </c>
      <c r="Q492" s="2" t="s">
        <v>35</v>
      </c>
      <c r="R492" s="2" t="s">
        <v>2096</v>
      </c>
      <c r="S492" s="2" t="s">
        <v>47</v>
      </c>
      <c r="U492" s="2">
        <f>P492-N492</f>
        <v>0</v>
      </c>
      <c r="W492" s="30" t="s">
        <v>1056</v>
      </c>
      <c r="X492" s="2" t="s">
        <v>82</v>
      </c>
      <c r="Y492" s="6" t="s">
        <v>1056</v>
      </c>
      <c r="Z492" s="2" t="s">
        <v>73</v>
      </c>
      <c r="AA492" s="2" t="s">
        <v>2095</v>
      </c>
      <c r="AB492" s="2" t="str">
        <f>LEFT(A492,3)</f>
        <v>TAD</v>
      </c>
    </row>
    <row r="493" spans="1:28">
      <c r="A493" s="6" t="s">
        <v>2097</v>
      </c>
      <c r="B493" s="6" t="s">
        <v>128</v>
      </c>
      <c r="C493" s="6" t="s">
        <v>129</v>
      </c>
      <c r="D493" s="6" t="s">
        <v>2098</v>
      </c>
      <c r="E493" s="6" t="s">
        <v>2098</v>
      </c>
      <c r="F493" s="6" t="s">
        <v>2098</v>
      </c>
      <c r="G493" s="2" t="s">
        <v>2099</v>
      </c>
      <c r="H493" s="2" t="s">
        <v>2098</v>
      </c>
      <c r="I493" s="2" t="s">
        <v>34</v>
      </c>
      <c r="J493" s="7">
        <v>462125.05697999999</v>
      </c>
      <c r="K493" s="7">
        <v>414414.99793000001</v>
      </c>
      <c r="L493" s="8">
        <v>166.59539944481401</v>
      </c>
      <c r="M493" s="8">
        <v>-20.465476466640499</v>
      </c>
      <c r="N493" s="2">
        <v>3</v>
      </c>
      <c r="O493" s="2">
        <v>3</v>
      </c>
      <c r="P493" s="2">
        <f>N493</f>
        <v>3</v>
      </c>
      <c r="Q493" s="2" t="s">
        <v>35</v>
      </c>
      <c r="R493" s="2" t="s">
        <v>2100</v>
      </c>
      <c r="S493" s="2" t="s">
        <v>47</v>
      </c>
      <c r="U493" s="2">
        <f>P493-N493</f>
        <v>0</v>
      </c>
      <c r="W493" s="30" t="s">
        <v>2098</v>
      </c>
      <c r="X493" s="2" t="s">
        <v>82</v>
      </c>
      <c r="Y493" s="6" t="s">
        <v>2098</v>
      </c>
      <c r="Z493" s="2" t="s">
        <v>73</v>
      </c>
      <c r="AA493" s="2" t="s">
        <v>2099</v>
      </c>
      <c r="AB493" s="2" t="str">
        <f>LEFT(A493,3)</f>
        <v>TAK</v>
      </c>
    </row>
    <row r="494" spans="1:28">
      <c r="A494" s="6" t="s">
        <v>2101</v>
      </c>
      <c r="B494" s="6" t="s">
        <v>56</v>
      </c>
      <c r="C494" s="6" t="s">
        <v>50</v>
      </c>
      <c r="D494" s="6" t="s">
        <v>2102</v>
      </c>
      <c r="E494" s="6" t="s">
        <v>2102</v>
      </c>
      <c r="F494" s="6" t="s">
        <v>2102</v>
      </c>
      <c r="G494" s="2" t="s">
        <v>2103</v>
      </c>
      <c r="H494" s="2" t="s">
        <v>2102</v>
      </c>
      <c r="I494" s="2" t="s">
        <v>34</v>
      </c>
      <c r="J494" s="7">
        <v>429004.48106999998</v>
      </c>
      <c r="K494" s="7">
        <v>236861.17739</v>
      </c>
      <c r="L494" s="8">
        <v>166.28103145058401</v>
      </c>
      <c r="M494" s="8">
        <v>-22.070035424142599</v>
      </c>
      <c r="N494" s="2">
        <v>2</v>
      </c>
      <c r="O494" s="2">
        <v>6</v>
      </c>
      <c r="P494" s="2">
        <v>4</v>
      </c>
      <c r="Q494" s="2" t="s">
        <v>35</v>
      </c>
      <c r="R494" s="2" t="s">
        <v>2104</v>
      </c>
      <c r="S494" s="2" t="s">
        <v>47</v>
      </c>
      <c r="U494" s="2">
        <f>P494-N494</f>
        <v>2</v>
      </c>
      <c r="W494" s="30" t="s">
        <v>2102</v>
      </c>
      <c r="X494" s="2" t="s">
        <v>39</v>
      </c>
      <c r="Y494" s="6" t="s">
        <v>2102</v>
      </c>
      <c r="Z494" s="2" t="s">
        <v>40</v>
      </c>
      <c r="AA494" s="2" t="s">
        <v>2103</v>
      </c>
      <c r="AB494" s="2" t="str">
        <f>LEFT(A494,3)</f>
        <v>TAM</v>
      </c>
    </row>
    <row r="495" spans="1:28">
      <c r="A495" s="2" t="s">
        <v>2105</v>
      </c>
      <c r="B495" s="2" t="s">
        <v>684</v>
      </c>
      <c r="C495" s="2" t="s">
        <v>68</v>
      </c>
      <c r="D495" s="2" t="s">
        <v>2106</v>
      </c>
      <c r="E495" s="2" t="s">
        <v>52</v>
      </c>
      <c r="F495" s="2" t="s">
        <v>2107</v>
      </c>
      <c r="G495" s="2" t="s">
        <v>2107</v>
      </c>
      <c r="H495" s="2" t="s">
        <v>2107</v>
      </c>
      <c r="I495" s="2" t="s">
        <v>53</v>
      </c>
      <c r="J495" s="2">
        <v>283716</v>
      </c>
      <c r="K495" s="2">
        <v>389697</v>
      </c>
      <c r="L495" s="2">
        <v>164.88387</v>
      </c>
      <c r="M495" s="8">
        <v>-20.686050000000002</v>
      </c>
      <c r="N495" s="2">
        <v>2</v>
      </c>
      <c r="O495" s="2">
        <v>2</v>
      </c>
      <c r="P495" s="2">
        <v>2</v>
      </c>
      <c r="Q495" s="2" t="s">
        <v>35</v>
      </c>
      <c r="R495" s="2" t="s">
        <v>2108</v>
      </c>
      <c r="S495" s="2" t="s">
        <v>47</v>
      </c>
      <c r="U495" s="2">
        <f>P495-N495</f>
        <v>0</v>
      </c>
      <c r="W495" s="30" t="s">
        <v>52</v>
      </c>
      <c r="X495" s="6" t="s">
        <v>52</v>
      </c>
      <c r="Y495" s="2" t="s">
        <v>2107</v>
      </c>
      <c r="Z495" s="2" t="s">
        <v>73</v>
      </c>
      <c r="AA495" s="2" t="s">
        <v>2107</v>
      </c>
      <c r="AB495" s="2" t="str">
        <f>LEFT(A495,3)</f>
        <v>TAN</v>
      </c>
    </row>
    <row r="496" spans="1:28">
      <c r="A496" s="2" t="s">
        <v>2109</v>
      </c>
      <c r="B496" s="2" t="s">
        <v>351</v>
      </c>
      <c r="C496" s="2" t="s">
        <v>129</v>
      </c>
      <c r="D496" s="2" t="s">
        <v>2110</v>
      </c>
      <c r="E496" s="2" t="s">
        <v>52</v>
      </c>
      <c r="F496" s="2" t="s">
        <v>2111</v>
      </c>
      <c r="G496" s="2" t="s">
        <v>2111</v>
      </c>
      <c r="H496" s="2" t="s">
        <v>2111</v>
      </c>
      <c r="I496" s="2" t="s">
        <v>53</v>
      </c>
      <c r="J496" s="2">
        <v>615390</v>
      </c>
      <c r="K496" s="2">
        <v>298536</v>
      </c>
      <c r="L496" s="2">
        <v>168.07893300000001</v>
      </c>
      <c r="M496" s="8">
        <v>-21.500287</v>
      </c>
      <c r="N496" s="2">
        <v>3</v>
      </c>
      <c r="O496" s="2">
        <v>3</v>
      </c>
      <c r="P496" s="2">
        <v>3</v>
      </c>
      <c r="Q496" s="2" t="s">
        <v>35</v>
      </c>
      <c r="R496" s="2" t="s">
        <v>2112</v>
      </c>
      <c r="S496" s="2" t="s">
        <v>47</v>
      </c>
      <c r="U496" s="2">
        <f>P496-N496</f>
        <v>0</v>
      </c>
      <c r="W496" s="30" t="s">
        <v>52</v>
      </c>
      <c r="X496" s="6" t="s">
        <v>52</v>
      </c>
      <c r="Y496" s="2" t="s">
        <v>2111</v>
      </c>
      <c r="Z496" s="2" t="s">
        <v>73</v>
      </c>
      <c r="AA496" s="2" t="s">
        <v>2111</v>
      </c>
      <c r="AB496" s="2" t="str">
        <f>LEFT(A496,3)</f>
        <v>TAW</v>
      </c>
    </row>
    <row r="497" spans="1:28">
      <c r="A497" s="6" t="s">
        <v>2113</v>
      </c>
      <c r="B497" s="6" t="s">
        <v>123</v>
      </c>
      <c r="C497" s="6" t="s">
        <v>68</v>
      </c>
      <c r="D497" s="6" t="s">
        <v>2114</v>
      </c>
      <c r="E497" s="6" t="s">
        <v>2114</v>
      </c>
      <c r="F497" s="6" t="s">
        <v>2114</v>
      </c>
      <c r="G497" s="6" t="s">
        <v>2115</v>
      </c>
      <c r="H497" s="2" t="s">
        <v>2114</v>
      </c>
      <c r="I497" s="2" t="s">
        <v>34</v>
      </c>
      <c r="J497" s="7">
        <v>193248.03065</v>
      </c>
      <c r="K497" s="7">
        <v>450750.18631000002</v>
      </c>
      <c r="L497" s="8">
        <v>164.02301065196701</v>
      </c>
      <c r="M497" s="8">
        <v>-20.1265693782724</v>
      </c>
      <c r="N497" s="2">
        <v>3</v>
      </c>
      <c r="O497" s="2">
        <v>3</v>
      </c>
      <c r="P497" s="2">
        <v>6</v>
      </c>
      <c r="Q497" s="2" t="s">
        <v>35</v>
      </c>
      <c r="R497" s="2" t="s">
        <v>2116</v>
      </c>
      <c r="S497" s="2" t="s">
        <v>47</v>
      </c>
      <c r="U497" s="2">
        <f>P497-N497</f>
        <v>3</v>
      </c>
      <c r="W497" s="30" t="s">
        <v>2114</v>
      </c>
      <c r="X497" s="2" t="s">
        <v>82</v>
      </c>
      <c r="Y497" s="6" t="s">
        <v>2114</v>
      </c>
      <c r="Z497" s="2" t="s">
        <v>73</v>
      </c>
      <c r="AA497" s="6" t="s">
        <v>2115</v>
      </c>
      <c r="AB497" s="2" t="str">
        <f>LEFT(A497,3)</f>
        <v>TBT</v>
      </c>
    </row>
    <row r="498" spans="1:28">
      <c r="A498" s="2" t="s">
        <v>2117</v>
      </c>
      <c r="B498" s="2" t="s">
        <v>79</v>
      </c>
      <c r="C498" s="2" t="s">
        <v>68</v>
      </c>
      <c r="D498" s="2" t="s">
        <v>2118</v>
      </c>
      <c r="E498" s="2" t="s">
        <v>52</v>
      </c>
      <c r="F498" s="2" t="s">
        <v>2119</v>
      </c>
      <c r="G498" s="2" t="s">
        <v>2119</v>
      </c>
      <c r="H498" s="2" t="s">
        <v>2119</v>
      </c>
      <c r="I498" s="2" t="s">
        <v>53</v>
      </c>
      <c r="J498" s="2">
        <v>337181</v>
      </c>
      <c r="K498" s="2">
        <v>353991</v>
      </c>
      <c r="L498" s="2">
        <v>165.39571000000001</v>
      </c>
      <c r="M498" s="2">
        <v>-21.011220000000002</v>
      </c>
      <c r="N498" s="2">
        <v>3</v>
      </c>
      <c r="O498" s="2">
        <v>3</v>
      </c>
      <c r="P498" s="2">
        <v>3</v>
      </c>
      <c r="Q498" s="2" t="s">
        <v>35</v>
      </c>
      <c r="R498" s="2" t="s">
        <v>2120</v>
      </c>
      <c r="S498" s="2" t="s">
        <v>47</v>
      </c>
      <c r="U498" s="2">
        <f>P498-N498</f>
        <v>0</v>
      </c>
      <c r="W498" s="30" t="s">
        <v>52</v>
      </c>
      <c r="X498" s="6" t="s">
        <v>52</v>
      </c>
      <c r="Y498" s="2" t="s">
        <v>2119</v>
      </c>
      <c r="Z498" s="2" t="s">
        <v>73</v>
      </c>
      <c r="AA498" s="2" t="s">
        <v>2119</v>
      </c>
      <c r="AB498" s="2" t="str">
        <f>LEFT(A498,3)</f>
        <v>TCB</v>
      </c>
    </row>
    <row r="499" spans="1:28">
      <c r="A499" s="6" t="s">
        <v>2121</v>
      </c>
      <c r="B499" s="6" t="s">
        <v>79</v>
      </c>
      <c r="C499" s="6" t="s">
        <v>68</v>
      </c>
      <c r="D499" s="6" t="s">
        <v>2122</v>
      </c>
      <c r="E499" s="6" t="s">
        <v>2122</v>
      </c>
      <c r="F499" s="6" t="s">
        <v>2123</v>
      </c>
      <c r="G499" s="6" t="s">
        <v>2123</v>
      </c>
      <c r="H499" s="2" t="s">
        <v>732</v>
      </c>
      <c r="I499" s="2" t="s">
        <v>34</v>
      </c>
      <c r="J499" s="7">
        <v>326853.02321999997</v>
      </c>
      <c r="K499" s="7">
        <v>350680.08947000001</v>
      </c>
      <c r="L499" s="8">
        <v>165.29621824262</v>
      </c>
      <c r="M499" s="8">
        <v>-21.0407406162367</v>
      </c>
      <c r="N499" s="2">
        <v>2</v>
      </c>
      <c r="O499" s="2">
        <v>2</v>
      </c>
      <c r="P499" s="2">
        <v>2</v>
      </c>
      <c r="Q499" s="2" t="s">
        <v>35</v>
      </c>
      <c r="R499" s="2" t="s">
        <v>2124</v>
      </c>
      <c r="S499" s="2" t="s">
        <v>47</v>
      </c>
      <c r="U499" s="2">
        <f>P499-N499</f>
        <v>0</v>
      </c>
      <c r="V499" s="2" t="s">
        <v>102</v>
      </c>
      <c r="W499" s="30" t="s">
        <v>2122</v>
      </c>
      <c r="X499" s="2" t="s">
        <v>82</v>
      </c>
      <c r="Y499" s="6" t="s">
        <v>2123</v>
      </c>
      <c r="Z499" s="2" t="s">
        <v>73</v>
      </c>
      <c r="AA499" s="6" t="s">
        <v>2123</v>
      </c>
      <c r="AB499" s="2" t="str">
        <f>LEFT(A499,3)</f>
        <v>TCH</v>
      </c>
    </row>
    <row r="500" spans="1:28">
      <c r="A500" s="1" t="s">
        <v>2125</v>
      </c>
      <c r="B500" s="2" t="s">
        <v>684</v>
      </c>
      <c r="C500" s="6" t="s">
        <v>68</v>
      </c>
      <c r="D500" s="1" t="s">
        <v>2126</v>
      </c>
      <c r="E500" s="1" t="s">
        <v>2126</v>
      </c>
      <c r="F500" s="1" t="s">
        <v>52</v>
      </c>
      <c r="G500" s="2" t="s">
        <v>52</v>
      </c>
      <c r="H500" s="2" t="s">
        <v>684</v>
      </c>
      <c r="I500" s="2" t="s">
        <v>34</v>
      </c>
      <c r="J500" s="7">
        <v>285425.98282999999</v>
      </c>
      <c r="K500" s="7">
        <v>381593.12929999997</v>
      </c>
      <c r="L500" s="8">
        <v>164.89973370675199</v>
      </c>
      <c r="M500" s="8">
        <v>-20.759361512635301</v>
      </c>
      <c r="N500" s="2">
        <v>1</v>
      </c>
      <c r="O500" s="2">
        <v>1</v>
      </c>
      <c r="P500" s="2">
        <v>0</v>
      </c>
      <c r="Q500" s="2" t="s">
        <v>35</v>
      </c>
      <c r="R500" s="2" t="s">
        <v>2127</v>
      </c>
      <c r="S500" s="2" t="s">
        <v>47</v>
      </c>
      <c r="U500" s="2">
        <f>P500-N500</f>
        <v>-1</v>
      </c>
      <c r="W500" s="30" t="s">
        <v>2126</v>
      </c>
      <c r="X500" s="2" t="s">
        <v>82</v>
      </c>
      <c r="Y500" s="1" t="s">
        <v>52</v>
      </c>
      <c r="Z500" s="2" t="s">
        <v>52</v>
      </c>
      <c r="AA500" s="2" t="s">
        <v>52</v>
      </c>
      <c r="AB500" s="2" t="str">
        <f>LEFT(A500,3)</f>
        <v>TDN</v>
      </c>
    </row>
    <row r="501" spans="1:28">
      <c r="A501" s="6" t="s">
        <v>2128</v>
      </c>
      <c r="B501" s="6" t="s">
        <v>684</v>
      </c>
      <c r="C501" s="6" t="s">
        <v>68</v>
      </c>
      <c r="D501" s="6" t="s">
        <v>2129</v>
      </c>
      <c r="E501" s="6" t="s">
        <v>2129</v>
      </c>
      <c r="F501" s="6" t="s">
        <v>2129</v>
      </c>
      <c r="G501" s="6" t="s">
        <v>2130</v>
      </c>
      <c r="H501" s="2" t="s">
        <v>2129</v>
      </c>
      <c r="I501" s="2" t="s">
        <v>34</v>
      </c>
      <c r="J501" s="7">
        <v>276712.87702000001</v>
      </c>
      <c r="K501" s="7">
        <v>386678.18461</v>
      </c>
      <c r="L501" s="8">
        <v>164.81643463242099</v>
      </c>
      <c r="M501" s="8">
        <v>-20.712857783410499</v>
      </c>
      <c r="N501" s="2">
        <v>2</v>
      </c>
      <c r="O501" s="2">
        <v>2</v>
      </c>
      <c r="P501" s="2">
        <v>2</v>
      </c>
      <c r="Q501" s="2" t="s">
        <v>35</v>
      </c>
      <c r="R501" s="2" t="s">
        <v>2131</v>
      </c>
      <c r="S501" s="2" t="s">
        <v>47</v>
      </c>
      <c r="U501" s="2">
        <f>P501-N501</f>
        <v>0</v>
      </c>
      <c r="W501" s="30" t="s">
        <v>2129</v>
      </c>
      <c r="X501" s="2" t="s">
        <v>82</v>
      </c>
      <c r="Y501" s="6" t="s">
        <v>2129</v>
      </c>
      <c r="Z501" s="2" t="s">
        <v>73</v>
      </c>
      <c r="AA501" s="6" t="s">
        <v>2130</v>
      </c>
      <c r="AB501" s="2" t="str">
        <f>LEFT(A501,3)</f>
        <v>TDO</v>
      </c>
    </row>
    <row r="502" spans="1:28">
      <c r="A502" s="6" t="s">
        <v>2132</v>
      </c>
      <c r="B502" s="6" t="s">
        <v>978</v>
      </c>
      <c r="C502" s="6" t="s">
        <v>68</v>
      </c>
      <c r="D502" s="6" t="s">
        <v>2133</v>
      </c>
      <c r="E502" s="6" t="s">
        <v>2133</v>
      </c>
      <c r="F502" s="6" t="s">
        <v>2134</v>
      </c>
      <c r="G502" s="2" t="s">
        <v>2134</v>
      </c>
      <c r="H502" s="2" t="s">
        <v>2134</v>
      </c>
      <c r="I502" s="2" t="s">
        <v>53</v>
      </c>
      <c r="J502" s="17">
        <v>326762</v>
      </c>
      <c r="K502" s="7">
        <v>365497</v>
      </c>
      <c r="L502" s="8">
        <v>165.29597999999999</v>
      </c>
      <c r="M502" s="8">
        <v>-20.9069</v>
      </c>
      <c r="N502" s="2">
        <v>3</v>
      </c>
      <c r="O502" s="2">
        <v>3</v>
      </c>
      <c r="P502" s="2">
        <v>6</v>
      </c>
      <c r="Q502" s="2" t="s">
        <v>35</v>
      </c>
      <c r="R502" s="2" t="s">
        <v>2135</v>
      </c>
      <c r="S502" s="2" t="s">
        <v>47</v>
      </c>
      <c r="U502" s="2">
        <f>P502-N502</f>
        <v>3</v>
      </c>
      <c r="W502" s="30" t="s">
        <v>2133</v>
      </c>
      <c r="X502" s="2" t="s">
        <v>82</v>
      </c>
      <c r="Y502" s="6" t="s">
        <v>2134</v>
      </c>
      <c r="Z502" s="2" t="s">
        <v>73</v>
      </c>
      <c r="AA502" s="6" t="s">
        <v>2134</v>
      </c>
      <c r="AB502" s="2" t="str">
        <f>LEFT(A502,3)</f>
        <v>TDU</v>
      </c>
    </row>
    <row r="503" spans="1:28">
      <c r="A503" s="6" t="s">
        <v>2136</v>
      </c>
      <c r="B503" s="6" t="s">
        <v>249</v>
      </c>
      <c r="C503" s="6" t="s">
        <v>68</v>
      </c>
      <c r="D503" s="6" t="s">
        <v>2137</v>
      </c>
      <c r="E503" s="6" t="s">
        <v>52</v>
      </c>
      <c r="F503" s="6" t="s">
        <v>2137</v>
      </c>
      <c r="G503" s="2" t="s">
        <v>2137</v>
      </c>
      <c r="H503" s="2" t="s">
        <v>2137</v>
      </c>
      <c r="I503" s="2" t="s">
        <v>53</v>
      </c>
      <c r="J503" s="7">
        <v>262927</v>
      </c>
      <c r="K503" s="7">
        <v>366989</v>
      </c>
      <c r="L503" s="8">
        <v>164.682501</v>
      </c>
      <c r="M503" s="8">
        <v>-20.889697000000002</v>
      </c>
      <c r="N503" s="2">
        <v>3</v>
      </c>
      <c r="O503" s="2">
        <v>3</v>
      </c>
      <c r="P503" s="2">
        <v>3</v>
      </c>
      <c r="Q503" s="2" t="s">
        <v>35</v>
      </c>
      <c r="R503" s="2" t="s">
        <v>2138</v>
      </c>
      <c r="S503" s="2" t="s">
        <v>47</v>
      </c>
      <c r="U503" s="2">
        <f>P503-N503</f>
        <v>0</v>
      </c>
      <c r="W503" s="30" t="s">
        <v>52</v>
      </c>
      <c r="X503" s="2" t="s">
        <v>52</v>
      </c>
      <c r="Y503" s="6" t="s">
        <v>2137</v>
      </c>
      <c r="Z503" s="2" t="s">
        <v>73</v>
      </c>
      <c r="AA503" s="2" t="s">
        <v>2137</v>
      </c>
      <c r="AB503" s="2" t="str">
        <f>LEFT(A503,3)</f>
        <v>TEM</v>
      </c>
    </row>
    <row r="504" spans="1:28">
      <c r="A504" s="6" t="s">
        <v>2139</v>
      </c>
      <c r="B504" s="6" t="s">
        <v>191</v>
      </c>
      <c r="C504" s="6" t="s">
        <v>43</v>
      </c>
      <c r="D504" s="6" t="s">
        <v>339</v>
      </c>
      <c r="E504" s="6" t="s">
        <v>339</v>
      </c>
      <c r="F504" s="6" t="s">
        <v>339</v>
      </c>
      <c r="G504" s="2" t="s">
        <v>2140</v>
      </c>
      <c r="H504" s="2" t="s">
        <v>339</v>
      </c>
      <c r="I504" s="2" t="s">
        <v>34</v>
      </c>
      <c r="J504" s="7">
        <v>353346.30231</v>
      </c>
      <c r="K504" s="7">
        <v>290020.32942999998</v>
      </c>
      <c r="L504" s="8">
        <v>165.54943591301199</v>
      </c>
      <c r="M504" s="8">
        <v>-21.589536045079601</v>
      </c>
      <c r="N504" s="2">
        <v>3</v>
      </c>
      <c r="O504" s="2">
        <v>6</v>
      </c>
      <c r="P504" s="2">
        <v>6</v>
      </c>
      <c r="Q504" s="2" t="s">
        <v>35</v>
      </c>
      <c r="R504" s="2" t="s">
        <v>2141</v>
      </c>
      <c r="S504" s="2" t="s">
        <v>47</v>
      </c>
      <c r="U504" s="2">
        <f>P504-N504</f>
        <v>3</v>
      </c>
      <c r="W504" s="30" t="s">
        <v>339</v>
      </c>
      <c r="X504" s="2" t="s">
        <v>82</v>
      </c>
      <c r="Y504" s="6" t="s">
        <v>339</v>
      </c>
      <c r="Z504" s="2" t="s">
        <v>73</v>
      </c>
      <c r="AA504" s="2" t="s">
        <v>2140</v>
      </c>
      <c r="AB504" s="2" t="str">
        <f>LEFT(A504,3)</f>
        <v>TEN</v>
      </c>
    </row>
    <row r="505" spans="1:28">
      <c r="A505" s="6" t="s">
        <v>2142</v>
      </c>
      <c r="B505" s="6" t="s">
        <v>128</v>
      </c>
      <c r="C505" s="6" t="s">
        <v>129</v>
      </c>
      <c r="D505" s="6" t="s">
        <v>2143</v>
      </c>
      <c r="E505" s="6" t="s">
        <v>2143</v>
      </c>
      <c r="F505" s="6" t="s">
        <v>2143</v>
      </c>
      <c r="G505" s="2" t="s">
        <v>2144</v>
      </c>
      <c r="H505" s="2" t="s">
        <v>2143</v>
      </c>
      <c r="I505" s="2" t="s">
        <v>34</v>
      </c>
      <c r="J505" s="7">
        <v>463335.89861999999</v>
      </c>
      <c r="K505" s="7">
        <v>420663.02374999999</v>
      </c>
      <c r="L505" s="8">
        <v>166.60677300442001</v>
      </c>
      <c r="M505" s="8">
        <v>-20.409002700560698</v>
      </c>
      <c r="N505" s="2">
        <v>2</v>
      </c>
      <c r="O505" s="2">
        <v>2</v>
      </c>
      <c r="P505" s="2">
        <v>2</v>
      </c>
      <c r="Q505" s="2" t="s">
        <v>35</v>
      </c>
      <c r="R505" s="2" t="s">
        <v>2145</v>
      </c>
      <c r="S505" s="2" t="s">
        <v>47</v>
      </c>
      <c r="U505" s="2">
        <f>P505-N505</f>
        <v>0</v>
      </c>
      <c r="W505" s="30" t="s">
        <v>2143</v>
      </c>
      <c r="X505" s="2" t="s">
        <v>82</v>
      </c>
      <c r="Y505" s="6" t="s">
        <v>2143</v>
      </c>
      <c r="Z505" s="2" t="s">
        <v>73</v>
      </c>
      <c r="AA505" s="2" t="s">
        <v>2144</v>
      </c>
      <c r="AB505" s="2" t="str">
        <f>LEFT(A505,3)</f>
        <v>TEU</v>
      </c>
    </row>
    <row r="506" spans="1:28">
      <c r="A506" s="6" t="s">
        <v>2146</v>
      </c>
      <c r="B506" s="6" t="s">
        <v>49</v>
      </c>
      <c r="C506" s="6" t="s">
        <v>50</v>
      </c>
      <c r="D506" s="6" t="s">
        <v>2147</v>
      </c>
      <c r="E506" s="6" t="s">
        <v>2147</v>
      </c>
      <c r="F506" s="6" t="s">
        <v>2147</v>
      </c>
      <c r="G506" s="2" t="s">
        <v>2148</v>
      </c>
      <c r="H506" s="2" t="s">
        <v>2147</v>
      </c>
      <c r="I506" s="2" t="s">
        <v>34</v>
      </c>
      <c r="J506" s="7">
        <v>449586.57279000001</v>
      </c>
      <c r="K506" s="7">
        <v>222298.61697999999</v>
      </c>
      <c r="L506" s="8">
        <v>166.48090149209</v>
      </c>
      <c r="M506" s="8">
        <v>-22.201094388207999</v>
      </c>
      <c r="N506" s="2">
        <v>1</v>
      </c>
      <c r="O506" s="2">
        <v>2</v>
      </c>
      <c r="P506" s="2">
        <f>N506</f>
        <v>1</v>
      </c>
      <c r="Q506" s="2" t="s">
        <v>35</v>
      </c>
      <c r="R506" s="2" t="s">
        <v>2149</v>
      </c>
      <c r="S506" s="2" t="s">
        <v>37</v>
      </c>
      <c r="U506" s="2">
        <f>P506-N506</f>
        <v>0</v>
      </c>
      <c r="W506" s="30" t="s">
        <v>52</v>
      </c>
      <c r="X506" s="2" t="s">
        <v>39</v>
      </c>
      <c r="Y506" s="6" t="s">
        <v>2147</v>
      </c>
      <c r="Z506" s="2" t="s">
        <v>40</v>
      </c>
      <c r="AA506" s="2" t="s">
        <v>2148</v>
      </c>
      <c r="AB506" s="2" t="str">
        <f>LEFT(A506,3)</f>
        <v>TGH</v>
      </c>
    </row>
    <row r="507" spans="1:28">
      <c r="A507" s="6" t="s">
        <v>2150</v>
      </c>
      <c r="B507" s="6" t="s">
        <v>29</v>
      </c>
      <c r="C507" s="6" t="s">
        <v>30</v>
      </c>
      <c r="D507" s="6" t="s">
        <v>2151</v>
      </c>
      <c r="E507" s="6" t="s">
        <v>2151</v>
      </c>
      <c r="F507" s="6" t="s">
        <v>2151</v>
      </c>
      <c r="G507" s="2" t="s">
        <v>2152</v>
      </c>
      <c r="H507" s="2" t="s">
        <v>456</v>
      </c>
      <c r="I507" s="2" t="s">
        <v>34</v>
      </c>
      <c r="J507" s="7">
        <v>445540.83429999999</v>
      </c>
      <c r="K507" s="7">
        <v>214410.06169</v>
      </c>
      <c r="L507" s="8">
        <v>166.44187931271</v>
      </c>
      <c r="M507" s="8">
        <v>-22.272446687267799</v>
      </c>
      <c r="N507" s="2">
        <v>2</v>
      </c>
      <c r="O507" s="2">
        <v>4</v>
      </c>
      <c r="P507" s="2">
        <f>N507</f>
        <v>2</v>
      </c>
      <c r="Q507" s="2" t="s">
        <v>35</v>
      </c>
      <c r="R507" s="2" t="s">
        <v>2153</v>
      </c>
      <c r="S507" s="2" t="s">
        <v>37</v>
      </c>
      <c r="U507" s="2">
        <f>P507-N507</f>
        <v>0</v>
      </c>
      <c r="W507" s="30" t="s">
        <v>52</v>
      </c>
      <c r="X507" s="2" t="s">
        <v>39</v>
      </c>
      <c r="Y507" s="6" t="s">
        <v>2151</v>
      </c>
      <c r="Z507" s="2" t="s">
        <v>40</v>
      </c>
      <c r="AA507" s="2" t="s">
        <v>2152</v>
      </c>
      <c r="AB507" s="2" t="str">
        <f>LEFT(A507,3)</f>
        <v>TGR</v>
      </c>
    </row>
    <row r="508" spans="1:28">
      <c r="A508" s="6" t="s">
        <v>2154</v>
      </c>
      <c r="B508" s="6" t="s">
        <v>421</v>
      </c>
      <c r="C508" s="6" t="s">
        <v>43</v>
      </c>
      <c r="D508" s="6" t="s">
        <v>2155</v>
      </c>
      <c r="E508" s="6" t="s">
        <v>52</v>
      </c>
      <c r="F508" s="6" t="s">
        <v>2155</v>
      </c>
      <c r="G508" s="6" t="s">
        <v>2155</v>
      </c>
      <c r="H508" s="6" t="s">
        <v>2155</v>
      </c>
      <c r="I508" s="2" t="s">
        <v>53</v>
      </c>
      <c r="J508" s="7">
        <v>369594</v>
      </c>
      <c r="K508" s="7">
        <v>271846</v>
      </c>
      <c r="L508" s="8">
        <v>165.70602099999999</v>
      </c>
      <c r="M508" s="8">
        <v>-21.754037</v>
      </c>
      <c r="N508" s="2">
        <v>3</v>
      </c>
      <c r="O508" s="2">
        <v>3</v>
      </c>
      <c r="P508" s="2">
        <f>N508</f>
        <v>3</v>
      </c>
      <c r="Q508" s="2" t="s">
        <v>35</v>
      </c>
      <c r="R508" s="2" t="s">
        <v>2156</v>
      </c>
      <c r="S508" s="2" t="s">
        <v>47</v>
      </c>
      <c r="U508" s="2">
        <f>P508-N508</f>
        <v>0</v>
      </c>
      <c r="W508" s="30" t="s">
        <v>52</v>
      </c>
      <c r="X508" s="2" t="s">
        <v>52</v>
      </c>
      <c r="Y508" s="6" t="s">
        <v>2155</v>
      </c>
      <c r="Z508" s="2" t="s">
        <v>40</v>
      </c>
      <c r="AA508" s="6" t="s">
        <v>2155</v>
      </c>
      <c r="AB508" s="2" t="str">
        <f>LEFT(A508,3)</f>
        <v>TGY</v>
      </c>
    </row>
    <row r="509" spans="1:28">
      <c r="A509" s="6" t="s">
        <v>2157</v>
      </c>
      <c r="B509" s="6" t="s">
        <v>978</v>
      </c>
      <c r="C509" s="6" t="s">
        <v>68</v>
      </c>
      <c r="D509" s="6" t="s">
        <v>2158</v>
      </c>
      <c r="E509" s="6" t="s">
        <v>52</v>
      </c>
      <c r="F509" s="6" t="s">
        <v>2158</v>
      </c>
      <c r="G509" s="6" t="s">
        <v>2158</v>
      </c>
      <c r="H509" s="6" t="s">
        <v>2158</v>
      </c>
      <c r="I509" s="2" t="s">
        <v>53</v>
      </c>
      <c r="J509" s="7">
        <v>320346</v>
      </c>
      <c r="K509" s="7">
        <v>379451</v>
      </c>
      <c r="L509" s="8">
        <v>165.23496700000001</v>
      </c>
      <c r="M509" s="8">
        <v>-20.780591000000001</v>
      </c>
      <c r="N509" s="2">
        <v>2</v>
      </c>
      <c r="O509" s="2">
        <v>2</v>
      </c>
      <c r="P509" s="2">
        <f>N509</f>
        <v>2</v>
      </c>
      <c r="Q509" s="2" t="s">
        <v>35</v>
      </c>
      <c r="R509" s="2" t="s">
        <v>2159</v>
      </c>
      <c r="S509" s="2" t="s">
        <v>47</v>
      </c>
      <c r="U509" s="2">
        <f>P509-N509</f>
        <v>0</v>
      </c>
      <c r="W509" s="30" t="s">
        <v>52</v>
      </c>
      <c r="X509" s="2" t="s">
        <v>52</v>
      </c>
      <c r="Y509" s="6" t="s">
        <v>2158</v>
      </c>
      <c r="Z509" s="2" t="s">
        <v>73</v>
      </c>
      <c r="AA509" s="6" t="s">
        <v>2158</v>
      </c>
      <c r="AB509" s="2" t="str">
        <f>LEFT(A509,3)</f>
        <v>THA</v>
      </c>
    </row>
    <row r="510" spans="1:28">
      <c r="A510" s="6" t="s">
        <v>2160</v>
      </c>
      <c r="B510" s="6" t="s">
        <v>351</v>
      </c>
      <c r="C510" s="6" t="s">
        <v>129</v>
      </c>
      <c r="D510" s="6" t="s">
        <v>2161</v>
      </c>
      <c r="E510" s="6" t="s">
        <v>2161</v>
      </c>
      <c r="F510" s="6" t="s">
        <v>2161</v>
      </c>
      <c r="G510" s="2" t="s">
        <v>2162</v>
      </c>
      <c r="H510" s="2" t="s">
        <v>2161</v>
      </c>
      <c r="I510" s="2" t="s">
        <v>34</v>
      </c>
      <c r="J510" s="7">
        <v>597214.09109999996</v>
      </c>
      <c r="K510" s="7">
        <v>310134.14056000003</v>
      </c>
      <c r="L510" s="8">
        <v>167.902154867181</v>
      </c>
      <c r="M510" s="8">
        <v>-21.3976269945023</v>
      </c>
      <c r="N510" s="2">
        <v>2</v>
      </c>
      <c r="O510" s="2">
        <v>2</v>
      </c>
      <c r="P510" s="2">
        <f>N510</f>
        <v>2</v>
      </c>
      <c r="Q510" s="2" t="s">
        <v>35</v>
      </c>
      <c r="R510" s="2" t="s">
        <v>2163</v>
      </c>
      <c r="S510" s="2" t="s">
        <v>47</v>
      </c>
      <c r="U510" s="2">
        <f>P510-N510</f>
        <v>0</v>
      </c>
      <c r="W510" s="30" t="s">
        <v>2161</v>
      </c>
      <c r="X510" s="2" t="s">
        <v>82</v>
      </c>
      <c r="Y510" s="6" t="s">
        <v>2161</v>
      </c>
      <c r="Z510" s="2" t="s">
        <v>73</v>
      </c>
      <c r="AA510" s="2" t="s">
        <v>2162</v>
      </c>
      <c r="AB510" s="2" t="str">
        <f>LEFT(A510,3)</f>
        <v>THG</v>
      </c>
    </row>
    <row r="511" spans="1:28">
      <c r="A511" s="6" t="s">
        <v>2164</v>
      </c>
      <c r="B511" s="6" t="s">
        <v>562</v>
      </c>
      <c r="C511" s="6" t="s">
        <v>43</v>
      </c>
      <c r="D511" s="6" t="s">
        <v>2165</v>
      </c>
      <c r="E511" s="6" t="s">
        <v>2165</v>
      </c>
      <c r="F511" s="6" t="s">
        <v>2166</v>
      </c>
      <c r="G511" s="6" t="s">
        <v>2167</v>
      </c>
      <c r="H511" s="6" t="s">
        <v>2167</v>
      </c>
      <c r="I511" s="2" t="s">
        <v>53</v>
      </c>
      <c r="J511" s="7">
        <v>422298.79345</v>
      </c>
      <c r="K511" s="7">
        <v>287691.61017</v>
      </c>
      <c r="L511" s="8">
        <v>166.215385502456</v>
      </c>
      <c r="M511" s="8">
        <v>-21.611031822693299</v>
      </c>
      <c r="N511" s="2">
        <v>3</v>
      </c>
      <c r="O511" s="2">
        <v>3</v>
      </c>
      <c r="P511" s="2">
        <f>N511</f>
        <v>3</v>
      </c>
      <c r="Q511" s="2" t="s">
        <v>35</v>
      </c>
      <c r="R511" s="2" t="s">
        <v>2168</v>
      </c>
      <c r="S511" s="2" t="s">
        <v>47</v>
      </c>
      <c r="U511" s="2">
        <f>P511-N511</f>
        <v>0</v>
      </c>
      <c r="W511" s="30" t="s">
        <v>2165</v>
      </c>
      <c r="X511" s="2" t="s">
        <v>39</v>
      </c>
      <c r="Y511" s="6" t="s">
        <v>2166</v>
      </c>
      <c r="Z511" s="2" t="s">
        <v>40</v>
      </c>
      <c r="AA511" s="6" t="s">
        <v>2166</v>
      </c>
      <c r="AB511" s="2" t="str">
        <f>LEFT(A511,3)</f>
        <v>THI</v>
      </c>
    </row>
    <row r="512" spans="1:28">
      <c r="A512" s="2" t="s">
        <v>2169</v>
      </c>
      <c r="B512" s="2" t="s">
        <v>978</v>
      </c>
      <c r="C512" s="2" t="s">
        <v>68</v>
      </c>
      <c r="D512" s="2" t="s">
        <v>2170</v>
      </c>
      <c r="E512" s="2" t="s">
        <v>52</v>
      </c>
      <c r="F512" s="2" t="s">
        <v>2171</v>
      </c>
      <c r="G512" s="2" t="s">
        <v>2171</v>
      </c>
      <c r="H512" s="2" t="s">
        <v>2171</v>
      </c>
      <c r="I512" s="2" t="s">
        <v>53</v>
      </c>
      <c r="J512" s="7">
        <v>318335</v>
      </c>
      <c r="K512" s="7">
        <v>379660</v>
      </c>
      <c r="L512" s="2">
        <v>165.21566000000001</v>
      </c>
      <c r="M512" s="8">
        <v>-20.77861</v>
      </c>
      <c r="N512" s="2">
        <v>2</v>
      </c>
      <c r="O512" s="2">
        <v>2</v>
      </c>
      <c r="P512" s="2">
        <v>2</v>
      </c>
      <c r="Q512" s="2" t="s">
        <v>35</v>
      </c>
      <c r="R512" s="2" t="s">
        <v>2172</v>
      </c>
      <c r="S512" s="2" t="s">
        <v>47</v>
      </c>
      <c r="U512" s="2">
        <f>P512-N512</f>
        <v>0</v>
      </c>
      <c r="W512" s="30" t="s">
        <v>52</v>
      </c>
      <c r="X512" s="6" t="s">
        <v>52</v>
      </c>
      <c r="Y512" s="2" t="s">
        <v>2171</v>
      </c>
      <c r="Z512" s="2" t="s">
        <v>73</v>
      </c>
      <c r="AA512" s="2" t="s">
        <v>2171</v>
      </c>
      <c r="AB512" s="2" t="str">
        <f>LEFT(A512,3)</f>
        <v>THM</v>
      </c>
    </row>
    <row r="513" spans="1:28">
      <c r="A513" s="6" t="s">
        <v>2173</v>
      </c>
      <c r="B513" s="6" t="s">
        <v>351</v>
      </c>
      <c r="C513" s="6" t="s">
        <v>129</v>
      </c>
      <c r="D513" s="6" t="s">
        <v>2174</v>
      </c>
      <c r="E513" s="6" t="s">
        <v>2174</v>
      </c>
      <c r="F513" s="6" t="s">
        <v>2174</v>
      </c>
      <c r="G513" s="2" t="s">
        <v>2175</v>
      </c>
      <c r="H513" s="2" t="s">
        <v>2174</v>
      </c>
      <c r="I513" s="2" t="s">
        <v>34</v>
      </c>
      <c r="J513" s="7">
        <v>596185.87462999998</v>
      </c>
      <c r="K513" s="7">
        <v>299866.29898999998</v>
      </c>
      <c r="L513" s="8">
        <v>167.89344012357401</v>
      </c>
      <c r="M513" s="8">
        <v>-21.490478633731001</v>
      </c>
      <c r="N513" s="2">
        <v>3</v>
      </c>
      <c r="O513" s="2">
        <v>3</v>
      </c>
      <c r="P513" s="2">
        <f>N513</f>
        <v>3</v>
      </c>
      <c r="Q513" s="2" t="s">
        <v>35</v>
      </c>
      <c r="R513" s="2" t="s">
        <v>2176</v>
      </c>
      <c r="S513" s="2" t="s">
        <v>47</v>
      </c>
      <c r="U513" s="2">
        <f>P513-N513</f>
        <v>0</v>
      </c>
      <c r="W513" s="30" t="s">
        <v>2174</v>
      </c>
      <c r="X513" s="2" t="s">
        <v>82</v>
      </c>
      <c r="Y513" s="6" t="s">
        <v>2174</v>
      </c>
      <c r="Z513" s="2" t="s">
        <v>73</v>
      </c>
      <c r="AA513" s="2" t="s">
        <v>2175</v>
      </c>
      <c r="AB513" s="2" t="str">
        <f>LEFT(A513,3)</f>
        <v>THU</v>
      </c>
    </row>
    <row r="514" spans="1:28">
      <c r="A514" s="6" t="s">
        <v>2177</v>
      </c>
      <c r="B514" s="6" t="s">
        <v>56</v>
      </c>
      <c r="C514" s="6" t="s">
        <v>50</v>
      </c>
      <c r="D514" s="6" t="s">
        <v>2178</v>
      </c>
      <c r="E514" s="6" t="s">
        <v>2178</v>
      </c>
      <c r="F514" s="6" t="s">
        <v>2178</v>
      </c>
      <c r="G514" s="6" t="s">
        <v>2178</v>
      </c>
      <c r="H514" s="2" t="s">
        <v>2178</v>
      </c>
      <c r="I514" s="2" t="s">
        <v>34</v>
      </c>
      <c r="J514" s="7">
        <v>428322.82341000001</v>
      </c>
      <c r="K514" s="7">
        <v>226143.94867000001</v>
      </c>
      <c r="L514" s="8">
        <v>166.27461539682901</v>
      </c>
      <c r="M514" s="8">
        <v>-22.166834103226599</v>
      </c>
      <c r="N514" s="2">
        <v>1</v>
      </c>
      <c r="O514" s="2">
        <v>1</v>
      </c>
      <c r="P514" s="2">
        <v>0</v>
      </c>
      <c r="Q514" s="2" t="s">
        <v>35</v>
      </c>
      <c r="R514" s="2" t="s">
        <v>2179</v>
      </c>
      <c r="S514" s="2" t="s">
        <v>47</v>
      </c>
      <c r="U514" s="2">
        <f>P514-N514</f>
        <v>-1</v>
      </c>
      <c r="V514" s="16"/>
      <c r="W514" s="30" t="s">
        <v>2178</v>
      </c>
      <c r="X514" s="2" t="s">
        <v>39</v>
      </c>
      <c r="Y514" s="6" t="s">
        <v>2178</v>
      </c>
      <c r="Z514" s="2" t="s">
        <v>40</v>
      </c>
      <c r="AA514" s="6" t="s">
        <v>2178</v>
      </c>
      <c r="AB514" s="2" t="str">
        <f>LEFT(A514,3)</f>
        <v>TIA</v>
      </c>
    </row>
    <row r="515" spans="1:28">
      <c r="A515" s="6" t="s">
        <v>2180</v>
      </c>
      <c r="B515" s="6" t="s">
        <v>368</v>
      </c>
      <c r="C515" s="6" t="s">
        <v>68</v>
      </c>
      <c r="D515" s="6" t="s">
        <v>256</v>
      </c>
      <c r="E515" s="6" t="s">
        <v>256</v>
      </c>
      <c r="F515" s="6" t="s">
        <v>256</v>
      </c>
      <c r="G515" s="2" t="s">
        <v>2181</v>
      </c>
      <c r="H515" s="2" t="s">
        <v>256</v>
      </c>
      <c r="I515" s="2" t="s">
        <v>34</v>
      </c>
      <c r="J515" s="7">
        <v>214443.74820999999</v>
      </c>
      <c r="K515" s="7">
        <v>413321.39515</v>
      </c>
      <c r="L515" s="8">
        <v>164.22159971636299</v>
      </c>
      <c r="M515" s="8">
        <v>-20.466893000710499</v>
      </c>
      <c r="N515" s="2">
        <v>2</v>
      </c>
      <c r="O515" s="2">
        <v>4</v>
      </c>
      <c r="P515" s="2">
        <f>N515</f>
        <v>2</v>
      </c>
      <c r="Q515" s="2" t="s">
        <v>35</v>
      </c>
      <c r="R515" s="2" t="s">
        <v>2182</v>
      </c>
      <c r="S515" s="2" t="s">
        <v>47</v>
      </c>
      <c r="U515" s="2">
        <f>P515-N515</f>
        <v>0</v>
      </c>
      <c r="W515" s="30" t="s">
        <v>256</v>
      </c>
      <c r="X515" s="2" t="s">
        <v>82</v>
      </c>
      <c r="Y515" s="6" t="s">
        <v>256</v>
      </c>
      <c r="Z515" s="2" t="s">
        <v>73</v>
      </c>
      <c r="AA515" s="2" t="s">
        <v>2181</v>
      </c>
      <c r="AB515" s="2" t="str">
        <f>LEFT(A515,3)</f>
        <v>TIE</v>
      </c>
    </row>
    <row r="516" spans="1:28">
      <c r="A516" s="6" t="s">
        <v>2183</v>
      </c>
      <c r="B516" s="6" t="s">
        <v>373</v>
      </c>
      <c r="C516" s="6" t="s">
        <v>129</v>
      </c>
      <c r="D516" s="6" t="s">
        <v>2184</v>
      </c>
      <c r="E516" s="6" t="s">
        <v>2185</v>
      </c>
      <c r="F516" s="6" t="s">
        <v>2184</v>
      </c>
      <c r="G516" s="2" t="s">
        <v>2184</v>
      </c>
      <c r="H516" s="2" t="s">
        <v>2185</v>
      </c>
      <c r="I516" s="2" t="s">
        <v>34</v>
      </c>
      <c r="J516" s="7">
        <v>587171.73277</v>
      </c>
      <c r="K516" s="7">
        <v>343417.53979000001</v>
      </c>
      <c r="L516" s="8">
        <v>167.80160770008101</v>
      </c>
      <c r="M516" s="8">
        <v>-21.098080768038798</v>
      </c>
      <c r="N516" s="2">
        <v>2</v>
      </c>
      <c r="O516" s="2">
        <v>2</v>
      </c>
      <c r="P516" s="2">
        <v>2</v>
      </c>
      <c r="Q516" s="2" t="s">
        <v>151</v>
      </c>
      <c r="R516" s="2" t="s">
        <v>2186</v>
      </c>
      <c r="S516" s="2" t="s">
        <v>47</v>
      </c>
      <c r="U516" s="2">
        <f>P516-N516</f>
        <v>0</v>
      </c>
      <c r="V516" s="2" t="s">
        <v>102</v>
      </c>
      <c r="W516" s="30" t="s">
        <v>2187</v>
      </c>
      <c r="X516" s="2" t="s">
        <v>82</v>
      </c>
      <c r="Y516" s="6" t="s">
        <v>2184</v>
      </c>
      <c r="Z516" s="2" t="s">
        <v>73</v>
      </c>
      <c r="AA516" s="2" t="s">
        <v>2184</v>
      </c>
      <c r="AB516" s="2" t="str">
        <f>LEFT(A516,3)</f>
        <v>TIG</v>
      </c>
    </row>
    <row r="517" spans="1:28">
      <c r="A517" s="2" t="s">
        <v>2188</v>
      </c>
      <c r="B517" s="2" t="s">
        <v>29</v>
      </c>
      <c r="C517" s="2" t="s">
        <v>30</v>
      </c>
      <c r="D517" s="2" t="s">
        <v>2189</v>
      </c>
      <c r="E517" s="2" t="s">
        <v>52</v>
      </c>
      <c r="F517" s="2" t="s">
        <v>2190</v>
      </c>
      <c r="G517" s="2" t="s">
        <v>2190</v>
      </c>
      <c r="H517" s="2" t="s">
        <v>2190</v>
      </c>
      <c r="I517" s="2" t="s">
        <v>53</v>
      </c>
      <c r="J517" s="7">
        <v>449871</v>
      </c>
      <c r="K517" s="7">
        <v>218551</v>
      </c>
      <c r="L517" s="8">
        <v>166.48376999999999</v>
      </c>
      <c r="M517" s="8">
        <v>-22.234929999999999</v>
      </c>
      <c r="N517" s="2">
        <v>1</v>
      </c>
      <c r="O517" s="2">
        <v>1</v>
      </c>
      <c r="P517" s="2">
        <v>1</v>
      </c>
      <c r="Q517" s="2" t="s">
        <v>35</v>
      </c>
      <c r="R517" s="2" t="s">
        <v>2191</v>
      </c>
      <c r="S517" s="2" t="s">
        <v>37</v>
      </c>
      <c r="U517" s="2">
        <f>P517-N517</f>
        <v>0</v>
      </c>
      <c r="W517" s="30" t="s">
        <v>52</v>
      </c>
      <c r="X517" s="6" t="s">
        <v>52</v>
      </c>
      <c r="Y517" s="2" t="s">
        <v>2190</v>
      </c>
      <c r="Z517" s="2" t="s">
        <v>40</v>
      </c>
      <c r="AA517" s="2" t="s">
        <v>2190</v>
      </c>
      <c r="AB517" s="2" t="str">
        <f>LEFT(A517,3)</f>
        <v>TIN</v>
      </c>
    </row>
    <row r="518" spans="1:28">
      <c r="A518" s="6" t="s">
        <v>2192</v>
      </c>
      <c r="B518" s="6" t="s">
        <v>368</v>
      </c>
      <c r="C518" s="6" t="s">
        <v>68</v>
      </c>
      <c r="D518" s="6" t="s">
        <v>2193</v>
      </c>
      <c r="E518" s="6" t="s">
        <v>2193</v>
      </c>
      <c r="F518" s="6" t="s">
        <v>2193</v>
      </c>
      <c r="G518" s="2" t="s">
        <v>2194</v>
      </c>
      <c r="H518" s="2" t="s">
        <v>256</v>
      </c>
      <c r="I518" s="2" t="s">
        <v>34</v>
      </c>
      <c r="J518" s="7">
        <v>213778.75586</v>
      </c>
      <c r="K518" s="7">
        <v>413884.21333</v>
      </c>
      <c r="L518" s="8">
        <v>164.21528839598801</v>
      </c>
      <c r="M518" s="8">
        <v>-20.461739820589202</v>
      </c>
      <c r="N518" s="2">
        <v>1</v>
      </c>
      <c r="O518" s="2">
        <v>2</v>
      </c>
      <c r="P518" s="2">
        <f>N518</f>
        <v>1</v>
      </c>
      <c r="Q518" s="2" t="s">
        <v>35</v>
      </c>
      <c r="R518" s="2" t="s">
        <v>2195</v>
      </c>
      <c r="S518" s="2" t="s">
        <v>47</v>
      </c>
      <c r="U518" s="2">
        <f>P518-N518</f>
        <v>0</v>
      </c>
      <c r="W518" s="30" t="s">
        <v>2193</v>
      </c>
      <c r="X518" s="2" t="s">
        <v>82</v>
      </c>
      <c r="Y518" s="6" t="s">
        <v>2193</v>
      </c>
      <c r="Z518" s="2" t="s">
        <v>73</v>
      </c>
      <c r="AA518" s="2" t="s">
        <v>2194</v>
      </c>
      <c r="AB518" s="2" t="str">
        <f>LEFT(A518,3)</f>
        <v>TIT</v>
      </c>
    </row>
    <row r="519" spans="1:28">
      <c r="A519" s="6" t="s">
        <v>2196</v>
      </c>
      <c r="B519" s="6" t="s">
        <v>978</v>
      </c>
      <c r="C519" s="6" t="s">
        <v>68</v>
      </c>
      <c r="D519" s="6" t="s">
        <v>2197</v>
      </c>
      <c r="E519" s="6" t="s">
        <v>2197</v>
      </c>
      <c r="F519" s="6" t="s">
        <v>2197</v>
      </c>
      <c r="G519" s="6" t="s">
        <v>2198</v>
      </c>
      <c r="H519" s="2" t="s">
        <v>2197</v>
      </c>
      <c r="I519" s="2" t="s">
        <v>34</v>
      </c>
      <c r="J519" s="7">
        <v>320795.00679000001</v>
      </c>
      <c r="K519" s="7">
        <v>367956.13569000002</v>
      </c>
      <c r="L519" s="8">
        <v>165.23874169155701</v>
      </c>
      <c r="M519" s="8">
        <v>-20.884438284533001</v>
      </c>
      <c r="N519" s="2">
        <v>2</v>
      </c>
      <c r="O519" s="2">
        <v>2</v>
      </c>
      <c r="P519" s="2">
        <v>2</v>
      </c>
      <c r="Q519" s="2" t="s">
        <v>35</v>
      </c>
      <c r="R519" s="2" t="s">
        <v>2199</v>
      </c>
      <c r="S519" s="2" t="s">
        <v>47</v>
      </c>
      <c r="U519" s="2">
        <f>P519-N519</f>
        <v>0</v>
      </c>
      <c r="W519" s="30" t="s">
        <v>2197</v>
      </c>
      <c r="X519" s="2" t="s">
        <v>82</v>
      </c>
      <c r="Y519" s="6" t="s">
        <v>2197</v>
      </c>
      <c r="Z519" s="2" t="s">
        <v>73</v>
      </c>
      <c r="AA519" s="6" t="s">
        <v>2198</v>
      </c>
      <c r="AB519" s="2" t="str">
        <f>LEFT(A519,3)</f>
        <v>TIW</v>
      </c>
    </row>
    <row r="520" spans="1:28">
      <c r="A520" s="6" t="s">
        <v>2200</v>
      </c>
      <c r="B520" s="6" t="s">
        <v>29</v>
      </c>
      <c r="C520" s="6" t="s">
        <v>30</v>
      </c>
      <c r="D520" s="6" t="s">
        <v>2201</v>
      </c>
      <c r="E520" s="6" t="s">
        <v>773</v>
      </c>
      <c r="F520" s="6" t="s">
        <v>773</v>
      </c>
      <c r="G520" s="2" t="s">
        <v>774</v>
      </c>
      <c r="H520" s="2" t="s">
        <v>775</v>
      </c>
      <c r="I520" s="2" t="s">
        <v>34</v>
      </c>
      <c r="J520" s="7">
        <v>449815</v>
      </c>
      <c r="K520" s="7">
        <v>216078</v>
      </c>
      <c r="L520" s="8">
        <v>166.48330000000001</v>
      </c>
      <c r="M520" s="8">
        <v>-22.257269999999998</v>
      </c>
      <c r="N520" s="2">
        <v>1</v>
      </c>
      <c r="O520" s="2">
        <v>1</v>
      </c>
      <c r="P520" s="2">
        <f>N520</f>
        <v>1</v>
      </c>
      <c r="Q520" s="2" t="s">
        <v>35</v>
      </c>
      <c r="R520" s="2" t="s">
        <v>2202</v>
      </c>
      <c r="S520" s="2" t="s">
        <v>37</v>
      </c>
      <c r="U520" s="2">
        <f>P520-N520</f>
        <v>0</v>
      </c>
      <c r="W520" s="30" t="s">
        <v>52</v>
      </c>
      <c r="X520" s="2" t="s">
        <v>39</v>
      </c>
      <c r="Y520" s="6" t="s">
        <v>2203</v>
      </c>
      <c r="Z520" s="2" t="s">
        <v>40</v>
      </c>
      <c r="AA520" s="2" t="s">
        <v>774</v>
      </c>
      <c r="AB520" s="2" t="str">
        <f>LEFT(A520,3)</f>
        <v>TJI</v>
      </c>
    </row>
    <row r="521" spans="1:28">
      <c r="A521" s="6" t="s">
        <v>2204</v>
      </c>
      <c r="B521" s="6" t="s">
        <v>67</v>
      </c>
      <c r="C521" s="6" t="s">
        <v>68</v>
      </c>
      <c r="D521" s="6" t="s">
        <v>2205</v>
      </c>
      <c r="E521" s="6" t="s">
        <v>52</v>
      </c>
      <c r="F521" s="6" t="s">
        <v>2206</v>
      </c>
      <c r="G521" s="2" t="s">
        <v>2206</v>
      </c>
      <c r="H521" s="2" t="s">
        <v>2205</v>
      </c>
      <c r="I521" s="2" t="s">
        <v>53</v>
      </c>
      <c r="J521" s="7">
        <v>284098</v>
      </c>
      <c r="K521" s="7">
        <v>354109</v>
      </c>
      <c r="L521" s="8">
        <v>164.885099</v>
      </c>
      <c r="M521" s="8">
        <v>-21.007522000000002</v>
      </c>
      <c r="N521" s="2">
        <v>3</v>
      </c>
      <c r="O521" s="2">
        <v>3</v>
      </c>
      <c r="P521" s="2">
        <v>6</v>
      </c>
      <c r="Q521" s="2" t="s">
        <v>35</v>
      </c>
      <c r="R521" s="2" t="s">
        <v>2207</v>
      </c>
      <c r="S521" s="2" t="s">
        <v>47</v>
      </c>
      <c r="U521" s="2">
        <f>P521-N521</f>
        <v>3</v>
      </c>
      <c r="W521" s="30" t="s">
        <v>52</v>
      </c>
      <c r="X521" s="2" t="s">
        <v>52</v>
      </c>
      <c r="Y521" s="6" t="s">
        <v>2206</v>
      </c>
      <c r="Z521" s="2" t="s">
        <v>73</v>
      </c>
      <c r="AA521" s="2" t="s">
        <v>2206</v>
      </c>
      <c r="AB521" s="2" t="str">
        <f>LEFT(A521,3)</f>
        <v>TKA</v>
      </c>
    </row>
    <row r="522" spans="1:28">
      <c r="A522" s="2" t="s">
        <v>2208</v>
      </c>
      <c r="B522" s="2" t="s">
        <v>29</v>
      </c>
      <c r="C522" s="2" t="s">
        <v>30</v>
      </c>
      <c r="D522" s="2" t="s">
        <v>2209</v>
      </c>
      <c r="E522" s="2" t="s">
        <v>52</v>
      </c>
      <c r="F522" s="2" t="s">
        <v>2210</v>
      </c>
      <c r="G522" s="2" t="s">
        <v>2210</v>
      </c>
      <c r="H522" s="2" t="s">
        <v>2210</v>
      </c>
      <c r="I522" s="2" t="s">
        <v>53</v>
      </c>
      <c r="J522" s="7">
        <v>447963</v>
      </c>
      <c r="K522" s="7">
        <v>214730</v>
      </c>
      <c r="L522" s="8">
        <v>166.46537000000001</v>
      </c>
      <c r="M522" s="8">
        <v>-22.269490000000001</v>
      </c>
      <c r="N522" s="2">
        <v>2</v>
      </c>
      <c r="O522" s="2">
        <v>9</v>
      </c>
      <c r="P522" s="2">
        <v>4</v>
      </c>
      <c r="Q522" s="2" t="s">
        <v>35</v>
      </c>
      <c r="R522" s="2" t="s">
        <v>2211</v>
      </c>
      <c r="S522" s="2" t="s">
        <v>37</v>
      </c>
      <c r="U522" s="2">
        <f>P522-N522</f>
        <v>2</v>
      </c>
      <c r="W522" s="30" t="s">
        <v>52</v>
      </c>
      <c r="X522" s="6" t="s">
        <v>52</v>
      </c>
      <c r="Y522" s="2" t="s">
        <v>2210</v>
      </c>
      <c r="Z522" s="2" t="s">
        <v>40</v>
      </c>
      <c r="AA522" s="2" t="s">
        <v>2210</v>
      </c>
      <c r="AB522" s="2" t="str">
        <f>LEFT(A522,3)</f>
        <v>TM2</v>
      </c>
    </row>
    <row r="523" spans="1:28">
      <c r="A523" s="6" t="s">
        <v>2212</v>
      </c>
      <c r="B523" s="6" t="s">
        <v>29</v>
      </c>
      <c r="C523" s="6" t="s">
        <v>30</v>
      </c>
      <c r="D523" s="6" t="s">
        <v>2213</v>
      </c>
      <c r="E523" s="6" t="s">
        <v>2213</v>
      </c>
      <c r="F523" s="6" t="s">
        <v>2213</v>
      </c>
      <c r="G523" s="2" t="s">
        <v>2214</v>
      </c>
      <c r="H523" s="2" t="s">
        <v>2213</v>
      </c>
      <c r="I523" s="2" t="s">
        <v>34</v>
      </c>
      <c r="J523" s="7">
        <v>447963</v>
      </c>
      <c r="K523" s="7">
        <v>214730</v>
      </c>
      <c r="L523" s="8">
        <v>166.46537000000001</v>
      </c>
      <c r="M523" s="8">
        <v>-22.269490000000001</v>
      </c>
      <c r="N523" s="2">
        <v>3</v>
      </c>
      <c r="O523" s="2">
        <v>9</v>
      </c>
      <c r="P523" s="2">
        <v>9</v>
      </c>
      <c r="Q523" s="2" t="s">
        <v>35</v>
      </c>
      <c r="R523" s="2" t="s">
        <v>2215</v>
      </c>
      <c r="S523" s="2" t="s">
        <v>37</v>
      </c>
      <c r="U523" s="2">
        <f>P523-N523</f>
        <v>6</v>
      </c>
      <c r="V523" s="2" t="s">
        <v>38</v>
      </c>
      <c r="W523" s="30" t="s">
        <v>2213</v>
      </c>
      <c r="X523" s="2" t="s">
        <v>39</v>
      </c>
      <c r="Y523" s="6" t="s">
        <v>2213</v>
      </c>
      <c r="Z523" s="2" t="s">
        <v>40</v>
      </c>
      <c r="AA523" s="2" t="s">
        <v>2214</v>
      </c>
      <c r="AB523" s="2" t="str">
        <f>LEFT(A523,3)</f>
        <v>TMA</v>
      </c>
    </row>
    <row r="524" spans="1:28">
      <c r="A524" s="6" t="s">
        <v>2216</v>
      </c>
      <c r="B524" s="6" t="s">
        <v>56</v>
      </c>
      <c r="C524" s="6" t="s">
        <v>50</v>
      </c>
      <c r="D524" s="6" t="s">
        <v>2217</v>
      </c>
      <c r="E524" s="2" t="s">
        <v>52</v>
      </c>
      <c r="F524" s="6" t="s">
        <v>2218</v>
      </c>
      <c r="G524" s="2" t="s">
        <v>2218</v>
      </c>
      <c r="H524" s="2" t="s">
        <v>2218</v>
      </c>
      <c r="I524" s="2" t="s">
        <v>53</v>
      </c>
      <c r="J524" s="7">
        <v>423486</v>
      </c>
      <c r="K524" s="7">
        <v>228883</v>
      </c>
      <c r="L524" s="8">
        <v>166.227678</v>
      </c>
      <c r="M524" s="8">
        <v>-22.142168000000002</v>
      </c>
      <c r="N524" s="2">
        <v>3</v>
      </c>
      <c r="O524" s="2">
        <v>3</v>
      </c>
      <c r="P524" s="2">
        <v>6</v>
      </c>
      <c r="Q524" s="2" t="s">
        <v>35</v>
      </c>
      <c r="R524" s="2" t="s">
        <v>2219</v>
      </c>
      <c r="S524" s="2" t="s">
        <v>47</v>
      </c>
      <c r="U524" s="2">
        <f>P524-N524</f>
        <v>3</v>
      </c>
      <c r="W524" s="30" t="s">
        <v>52</v>
      </c>
      <c r="X524" s="2" t="s">
        <v>39</v>
      </c>
      <c r="Y524" s="6" t="s">
        <v>2218</v>
      </c>
      <c r="Z524" s="2" t="s">
        <v>40</v>
      </c>
      <c r="AA524" s="2" t="s">
        <v>2218</v>
      </c>
      <c r="AB524" s="2" t="str">
        <f>LEFT(A524,3)</f>
        <v>TMB</v>
      </c>
    </row>
    <row r="525" spans="1:28">
      <c r="A525" s="6" t="s">
        <v>2220</v>
      </c>
      <c r="B525" s="6" t="s">
        <v>29</v>
      </c>
      <c r="C525" s="6" t="s">
        <v>30</v>
      </c>
      <c r="D525" s="6" t="s">
        <v>496</v>
      </c>
      <c r="E525" s="6" t="s">
        <v>495</v>
      </c>
      <c r="F525" s="6" t="s">
        <v>496</v>
      </c>
      <c r="G525" s="2" t="s">
        <v>497</v>
      </c>
      <c r="H525" s="2" t="s">
        <v>496</v>
      </c>
      <c r="I525" s="2" t="s">
        <v>34</v>
      </c>
      <c r="J525" s="7">
        <v>450792.99352000002</v>
      </c>
      <c r="K525" s="7">
        <v>218243.77262999999</v>
      </c>
      <c r="L525" s="8">
        <v>166.49272131841099</v>
      </c>
      <c r="M525" s="8">
        <v>-22.237680811978599</v>
      </c>
      <c r="N525" s="2">
        <v>1</v>
      </c>
      <c r="O525" s="2">
        <v>1</v>
      </c>
      <c r="P525" s="2">
        <v>1</v>
      </c>
      <c r="Q525" s="2" t="s">
        <v>35</v>
      </c>
      <c r="R525" s="2" t="s">
        <v>2221</v>
      </c>
      <c r="S525" s="2" t="s">
        <v>37</v>
      </c>
      <c r="U525" s="2">
        <f>P525-N525</f>
        <v>0</v>
      </c>
      <c r="W525" s="30" t="s">
        <v>52</v>
      </c>
      <c r="X525" s="2" t="s">
        <v>39</v>
      </c>
      <c r="Y525" s="6" t="s">
        <v>496</v>
      </c>
      <c r="Z525" s="2" t="s">
        <v>40</v>
      </c>
      <c r="AA525" s="2" t="s">
        <v>2222</v>
      </c>
      <c r="AB525" s="2" t="str">
        <f>LEFT(A525,3)</f>
        <v>TMT</v>
      </c>
    </row>
    <row r="526" spans="1:28">
      <c r="A526" s="2" t="s">
        <v>2223</v>
      </c>
      <c r="B526" s="2" t="s">
        <v>29</v>
      </c>
      <c r="C526" s="2" t="s">
        <v>30</v>
      </c>
      <c r="D526" s="6" t="s">
        <v>2224</v>
      </c>
      <c r="E526" s="6" t="s">
        <v>2224</v>
      </c>
      <c r="F526" s="6" t="s">
        <v>2224</v>
      </c>
      <c r="G526" s="2" t="s">
        <v>2225</v>
      </c>
      <c r="H526" s="6" t="s">
        <v>2224</v>
      </c>
      <c r="I526" s="2" t="s">
        <v>53</v>
      </c>
      <c r="J526" s="7">
        <v>443740</v>
      </c>
      <c r="K526" s="7">
        <v>218461</v>
      </c>
      <c r="L526" s="9">
        <v>166.42429799999999</v>
      </c>
      <c r="M526" s="8">
        <v>-22.235907999999998</v>
      </c>
      <c r="N526" s="2">
        <v>3</v>
      </c>
      <c r="O526" s="2">
        <v>9</v>
      </c>
      <c r="P526" s="2">
        <v>9</v>
      </c>
      <c r="Q526" s="2" t="s">
        <v>587</v>
      </c>
      <c r="R526" s="2" t="s">
        <v>2226</v>
      </c>
      <c r="S526" s="2" t="s">
        <v>37</v>
      </c>
      <c r="U526" s="2">
        <f>P526-N526</f>
        <v>6</v>
      </c>
      <c r="V526" s="2" t="s">
        <v>38</v>
      </c>
      <c r="W526" s="30" t="s">
        <v>2224</v>
      </c>
      <c r="X526" s="2" t="s">
        <v>39</v>
      </c>
      <c r="Y526" s="6" t="s">
        <v>2224</v>
      </c>
      <c r="Z526" s="2" t="s">
        <v>40</v>
      </c>
      <c r="AA526" s="2" t="s">
        <v>2225</v>
      </c>
      <c r="AB526" s="2" t="str">
        <f>LEFT(A526,3)</f>
        <v>TND</v>
      </c>
    </row>
    <row r="527" spans="1:28">
      <c r="A527" s="2" t="s">
        <v>2227</v>
      </c>
      <c r="B527" s="2" t="s">
        <v>684</v>
      </c>
      <c r="C527" s="2" t="s">
        <v>68</v>
      </c>
      <c r="D527" s="6" t="s">
        <v>2228</v>
      </c>
      <c r="E527" s="6" t="s">
        <v>52</v>
      </c>
      <c r="F527" s="6" t="s">
        <v>2229</v>
      </c>
      <c r="G527" s="6" t="s">
        <v>2229</v>
      </c>
      <c r="H527" s="6" t="s">
        <v>2229</v>
      </c>
      <c r="I527" s="2" t="s">
        <v>53</v>
      </c>
      <c r="J527" s="7">
        <v>288709</v>
      </c>
      <c r="K527" s="7">
        <v>391958</v>
      </c>
      <c r="L527" s="9">
        <v>164.93194</v>
      </c>
      <c r="M527" s="8">
        <v>-20.665948</v>
      </c>
      <c r="N527" s="2">
        <v>3</v>
      </c>
      <c r="O527" s="2">
        <v>3</v>
      </c>
      <c r="P527" s="2">
        <v>3</v>
      </c>
      <c r="Q527" s="2" t="s">
        <v>35</v>
      </c>
      <c r="R527" s="2" t="s">
        <v>2230</v>
      </c>
      <c r="S527" s="2" t="s">
        <v>47</v>
      </c>
      <c r="U527" s="2">
        <f>P527-N527</f>
        <v>0</v>
      </c>
      <c r="V527" s="2" t="s">
        <v>38</v>
      </c>
      <c r="W527" s="30" t="s">
        <v>52</v>
      </c>
      <c r="X527" s="2" t="s">
        <v>52</v>
      </c>
      <c r="Y527" s="6" t="s">
        <v>2229</v>
      </c>
      <c r="Z527" s="2" t="s">
        <v>73</v>
      </c>
      <c r="AA527" s="6" t="s">
        <v>2229</v>
      </c>
      <c r="AB527" s="2" t="str">
        <f>LEFT(A527,3)</f>
        <v>TNM</v>
      </c>
    </row>
    <row r="528" spans="1:28">
      <c r="A528" s="6" t="s">
        <v>2231</v>
      </c>
      <c r="B528" s="6" t="s">
        <v>142</v>
      </c>
      <c r="C528" s="6" t="s">
        <v>43</v>
      </c>
      <c r="D528" s="6" t="s">
        <v>2232</v>
      </c>
      <c r="E528" s="6" t="s">
        <v>52</v>
      </c>
      <c r="F528" s="6" t="s">
        <v>2233</v>
      </c>
      <c r="G528" s="6" t="s">
        <v>2233</v>
      </c>
      <c r="H528" s="6" t="s">
        <v>2233</v>
      </c>
      <c r="I528" s="2" t="s">
        <v>53</v>
      </c>
      <c r="J528" s="7">
        <v>501948</v>
      </c>
      <c r="K528" s="7">
        <v>220247</v>
      </c>
      <c r="L528" s="8">
        <v>166.988821</v>
      </c>
      <c r="M528" s="8">
        <v>-22.217403000000001</v>
      </c>
      <c r="N528" s="2">
        <v>3</v>
      </c>
      <c r="O528" s="2">
        <v>3</v>
      </c>
      <c r="P528" s="2">
        <v>3</v>
      </c>
      <c r="Q528" s="2" t="s">
        <v>35</v>
      </c>
      <c r="R528" s="2" t="s">
        <v>2234</v>
      </c>
      <c r="S528" s="2" t="s">
        <v>47</v>
      </c>
      <c r="U528" s="2">
        <f>P528-N528</f>
        <v>0</v>
      </c>
      <c r="W528" s="30" t="s">
        <v>52</v>
      </c>
      <c r="X528" s="2" t="s">
        <v>52</v>
      </c>
      <c r="Y528" s="6" t="s">
        <v>2233</v>
      </c>
      <c r="Z528" s="2" t="s">
        <v>40</v>
      </c>
      <c r="AA528" s="6" t="s">
        <v>2233</v>
      </c>
      <c r="AB528" s="2" t="str">
        <f>LEFT(A528,3)</f>
        <v>TOA</v>
      </c>
    </row>
    <row r="529" spans="1:28">
      <c r="A529" s="6" t="s">
        <v>2235</v>
      </c>
      <c r="B529" s="6" t="s">
        <v>207</v>
      </c>
      <c r="C529" s="6" t="s">
        <v>43</v>
      </c>
      <c r="D529" s="6" t="s">
        <v>729</v>
      </c>
      <c r="E529" s="6" t="s">
        <v>729</v>
      </c>
      <c r="F529" s="6" t="s">
        <v>729</v>
      </c>
      <c r="G529" s="2" t="s">
        <v>2236</v>
      </c>
      <c r="H529" s="2" t="s">
        <v>729</v>
      </c>
      <c r="I529" s="2" t="s">
        <v>34</v>
      </c>
      <c r="J529" s="7">
        <v>415148.62170999998</v>
      </c>
      <c r="K529" s="7">
        <v>249419.13639</v>
      </c>
      <c r="L529" s="8">
        <v>166.14667072004099</v>
      </c>
      <c r="M529" s="8">
        <v>-21.956788772959801</v>
      </c>
      <c r="N529" s="2">
        <v>2</v>
      </c>
      <c r="O529" s="2">
        <v>2</v>
      </c>
      <c r="P529" s="2">
        <f>N529</f>
        <v>2</v>
      </c>
      <c r="Q529" s="2" t="s">
        <v>35</v>
      </c>
      <c r="R529" s="2" t="s">
        <v>2237</v>
      </c>
      <c r="S529" s="2" t="s">
        <v>47</v>
      </c>
      <c r="U529" s="2">
        <f>P529-N529</f>
        <v>0</v>
      </c>
      <c r="W529" s="30" t="s">
        <v>729</v>
      </c>
      <c r="X529" s="2" t="s">
        <v>39</v>
      </c>
      <c r="Y529" s="6" t="s">
        <v>729</v>
      </c>
      <c r="Z529" s="2" t="s">
        <v>40</v>
      </c>
      <c r="AA529" s="2" t="s">
        <v>2236</v>
      </c>
      <c r="AB529" s="2" t="str">
        <f>LEFT(A529,3)</f>
        <v>TOM</v>
      </c>
    </row>
    <row r="530" spans="1:28">
      <c r="A530" s="6" t="s">
        <v>2238</v>
      </c>
      <c r="B530" s="6" t="s">
        <v>56</v>
      </c>
      <c r="C530" s="6" t="s">
        <v>50</v>
      </c>
      <c r="D530" s="6" t="s">
        <v>2239</v>
      </c>
      <c r="E530" s="6" t="s">
        <v>2239</v>
      </c>
      <c r="F530" s="6" t="s">
        <v>2239</v>
      </c>
      <c r="G530" s="2" t="s">
        <v>2240</v>
      </c>
      <c r="H530" s="2" t="s">
        <v>2239</v>
      </c>
      <c r="I530" s="2" t="s">
        <v>34</v>
      </c>
      <c r="J530" s="7">
        <v>422988.23664999998</v>
      </c>
      <c r="K530" s="7">
        <v>243150.5111</v>
      </c>
      <c r="L530" s="8">
        <v>166.22265328503801</v>
      </c>
      <c r="M530" s="8">
        <v>-22.013315164330599</v>
      </c>
      <c r="N530" s="2">
        <v>3</v>
      </c>
      <c r="O530" s="2">
        <v>6</v>
      </c>
      <c r="P530" s="2">
        <v>6</v>
      </c>
      <c r="Q530" s="2" t="s">
        <v>35</v>
      </c>
      <c r="R530" s="2" t="s">
        <v>2241</v>
      </c>
      <c r="S530" s="2" t="s">
        <v>37</v>
      </c>
      <c r="U530" s="2">
        <f>P530-N530</f>
        <v>3</v>
      </c>
      <c r="W530" s="30" t="s">
        <v>2239</v>
      </c>
      <c r="X530" s="2" t="s">
        <v>39</v>
      </c>
      <c r="Y530" s="6" t="s">
        <v>2239</v>
      </c>
      <c r="Z530" s="2" t="s">
        <v>40</v>
      </c>
      <c r="AA530" s="2" t="s">
        <v>2240</v>
      </c>
      <c r="AB530" s="2" t="str">
        <f>LEFT(A530,3)</f>
        <v>TON</v>
      </c>
    </row>
    <row r="531" spans="1:28">
      <c r="A531" s="2" t="s">
        <v>2242</v>
      </c>
      <c r="B531" s="2" t="s">
        <v>29</v>
      </c>
      <c r="C531" s="2" t="s">
        <v>30</v>
      </c>
      <c r="D531" s="2" t="s">
        <v>2243</v>
      </c>
      <c r="E531" s="2" t="s">
        <v>52</v>
      </c>
      <c r="F531" s="2" t="s">
        <v>2244</v>
      </c>
      <c r="G531" s="2" t="s">
        <v>2244</v>
      </c>
      <c r="H531" s="2" t="s">
        <v>2244</v>
      </c>
      <c r="I531" s="2" t="s">
        <v>53</v>
      </c>
      <c r="J531" s="2">
        <v>445266</v>
      </c>
      <c r="K531" s="2">
        <v>214329</v>
      </c>
      <c r="L531" s="2">
        <v>166.43921</v>
      </c>
      <c r="M531" s="2">
        <v>-22.27319</v>
      </c>
      <c r="N531" s="2">
        <v>2</v>
      </c>
      <c r="O531" s="2">
        <v>4</v>
      </c>
      <c r="P531" s="2">
        <v>4</v>
      </c>
      <c r="Q531" s="2" t="s">
        <v>35</v>
      </c>
      <c r="R531" s="2" t="s">
        <v>2245</v>
      </c>
      <c r="S531" s="2" t="s">
        <v>37</v>
      </c>
      <c r="U531" s="2">
        <f>P531-N531</f>
        <v>2</v>
      </c>
      <c r="W531" s="30" t="s">
        <v>52</v>
      </c>
      <c r="X531" s="6" t="s">
        <v>52</v>
      </c>
      <c r="Y531" s="2" t="s">
        <v>2244</v>
      </c>
      <c r="Z531" s="2" t="s">
        <v>40</v>
      </c>
      <c r="AA531" s="2" t="s">
        <v>2244</v>
      </c>
      <c r="AB531" s="2" t="str">
        <f>LEFT(A531,3)</f>
        <v>TOO</v>
      </c>
    </row>
    <row r="532" spans="1:28">
      <c r="A532" s="6" t="s">
        <v>2246</v>
      </c>
      <c r="B532" s="6" t="s">
        <v>56</v>
      </c>
      <c r="C532" s="6" t="s">
        <v>43</v>
      </c>
      <c r="D532" s="6" t="s">
        <v>2247</v>
      </c>
      <c r="E532" s="6" t="s">
        <v>52</v>
      </c>
      <c r="F532" s="87" t="s">
        <v>2248</v>
      </c>
      <c r="G532" s="87" t="s">
        <v>2248</v>
      </c>
      <c r="H532" s="87" t="s">
        <v>2248</v>
      </c>
      <c r="I532" s="2" t="s">
        <v>53</v>
      </c>
      <c r="J532" s="7">
        <v>423425</v>
      </c>
      <c r="K532" s="7">
        <v>242700</v>
      </c>
      <c r="L532" s="8">
        <v>166.22689199999999</v>
      </c>
      <c r="M532" s="8">
        <v>-22.017382999999999</v>
      </c>
      <c r="N532" s="2">
        <v>3</v>
      </c>
      <c r="O532" s="2">
        <v>3</v>
      </c>
      <c r="P532" s="2">
        <v>6</v>
      </c>
      <c r="Q532" s="2" t="s">
        <v>35</v>
      </c>
      <c r="R532" s="2" t="s">
        <v>2249</v>
      </c>
      <c r="S532" s="2" t="s">
        <v>37</v>
      </c>
      <c r="U532" s="2">
        <f>P532-N532</f>
        <v>3</v>
      </c>
      <c r="W532" s="30" t="s">
        <v>52</v>
      </c>
      <c r="X532" s="2" t="s">
        <v>52</v>
      </c>
      <c r="Y532" s="6" t="s">
        <v>2248</v>
      </c>
      <c r="Z532" s="2" t="s">
        <v>40</v>
      </c>
      <c r="AA532" s="6" t="s">
        <v>2248</v>
      </c>
      <c r="AB532" s="2" t="str">
        <f>LEFT(A532,3)</f>
        <v>TOT</v>
      </c>
    </row>
    <row r="533" spans="1:28">
      <c r="A533" s="6" t="s">
        <v>2250</v>
      </c>
      <c r="B533" s="6" t="s">
        <v>978</v>
      </c>
      <c r="C533" s="6" t="s">
        <v>68</v>
      </c>
      <c r="D533" s="6" t="s">
        <v>978</v>
      </c>
      <c r="E533" s="6" t="s">
        <v>978</v>
      </c>
      <c r="F533" s="6" t="s">
        <v>978</v>
      </c>
      <c r="G533" s="2" t="s">
        <v>2251</v>
      </c>
      <c r="H533" s="2" t="s">
        <v>2252</v>
      </c>
      <c r="I533" s="2" t="s">
        <v>34</v>
      </c>
      <c r="J533" s="7">
        <v>320582.97563</v>
      </c>
      <c r="K533" s="7">
        <v>379130.47758000001</v>
      </c>
      <c r="L533" s="8">
        <v>165.23722816078401</v>
      </c>
      <c r="M533" s="8">
        <v>-20.783500421817799</v>
      </c>
      <c r="N533" s="2">
        <v>1</v>
      </c>
      <c r="O533" s="2">
        <v>1</v>
      </c>
      <c r="P533" s="2">
        <f>N533</f>
        <v>1</v>
      </c>
      <c r="Q533" s="2" t="s">
        <v>35</v>
      </c>
      <c r="R533" s="2" t="s">
        <v>2253</v>
      </c>
      <c r="S533" s="2" t="s">
        <v>47</v>
      </c>
      <c r="U533" s="2">
        <f>P533-N533</f>
        <v>0</v>
      </c>
      <c r="W533" s="30" t="s">
        <v>978</v>
      </c>
      <c r="X533" s="2" t="s">
        <v>82</v>
      </c>
      <c r="Y533" s="6" t="s">
        <v>978</v>
      </c>
      <c r="Z533" s="2" t="s">
        <v>73</v>
      </c>
      <c r="AA533" s="2" t="s">
        <v>2251</v>
      </c>
      <c r="AB533" s="2" t="str">
        <f>LEFT(A533,3)</f>
        <v>TOU</v>
      </c>
    </row>
    <row r="534" spans="1:28">
      <c r="A534" s="6" t="s">
        <v>2254</v>
      </c>
      <c r="B534" s="6" t="s">
        <v>978</v>
      </c>
      <c r="C534" s="6" t="s">
        <v>68</v>
      </c>
      <c r="D534" s="6" t="s">
        <v>2255</v>
      </c>
      <c r="E534" s="6" t="s">
        <v>52</v>
      </c>
      <c r="F534" s="6" t="s">
        <v>2256</v>
      </c>
      <c r="G534" s="6" t="s">
        <v>2256</v>
      </c>
      <c r="H534" s="6" t="s">
        <v>2256</v>
      </c>
      <c r="I534" s="2" t="s">
        <v>53</v>
      </c>
      <c r="J534" s="7">
        <v>319507</v>
      </c>
      <c r="K534" s="7">
        <v>379364</v>
      </c>
      <c r="L534" s="8">
        <v>165.22690499999999</v>
      </c>
      <c r="M534" s="8">
        <v>-20.781338999999999</v>
      </c>
      <c r="N534" s="2">
        <v>3</v>
      </c>
      <c r="O534" s="2">
        <v>3</v>
      </c>
      <c r="P534" s="2">
        <f>N534</f>
        <v>3</v>
      </c>
      <c r="Q534" s="2" t="s">
        <v>35</v>
      </c>
      <c r="R534" s="2" t="s">
        <v>2257</v>
      </c>
      <c r="S534" s="2" t="s">
        <v>47</v>
      </c>
      <c r="U534" s="2">
        <f>P534-N534</f>
        <v>0</v>
      </c>
      <c r="W534" s="30" t="s">
        <v>52</v>
      </c>
      <c r="X534" s="2" t="s">
        <v>52</v>
      </c>
      <c r="Y534" s="6" t="s">
        <v>2256</v>
      </c>
      <c r="Z534" s="2" t="s">
        <v>73</v>
      </c>
      <c r="AA534" s="6" t="s">
        <v>2256</v>
      </c>
      <c r="AB534" s="2" t="str">
        <f>LEFT(A534,3)</f>
        <v>TOV</v>
      </c>
    </row>
    <row r="535" spans="1:28">
      <c r="A535" s="6" t="s">
        <v>2258</v>
      </c>
      <c r="B535" s="6" t="s">
        <v>373</v>
      </c>
      <c r="C535" s="6" t="s">
        <v>129</v>
      </c>
      <c r="D535" s="6" t="s">
        <v>2259</v>
      </c>
      <c r="E535" s="6" t="s">
        <v>2259</v>
      </c>
      <c r="F535" s="6" t="s">
        <v>2259</v>
      </c>
      <c r="G535" s="2" t="s">
        <v>2260</v>
      </c>
      <c r="H535" s="2" t="s">
        <v>2259</v>
      </c>
      <c r="I535" s="2" t="s">
        <v>34</v>
      </c>
      <c r="J535" s="7">
        <v>535463.92741</v>
      </c>
      <c r="K535" s="7">
        <v>363180.01897999999</v>
      </c>
      <c r="L535" s="8">
        <v>167.30233968089999</v>
      </c>
      <c r="M535" s="8">
        <v>-20.924223082569998</v>
      </c>
      <c r="N535" s="2">
        <v>3</v>
      </c>
      <c r="O535" s="2">
        <v>3</v>
      </c>
      <c r="P535" s="2">
        <v>3</v>
      </c>
      <c r="Q535" s="2" t="s">
        <v>35</v>
      </c>
      <c r="R535" s="2" t="s">
        <v>2261</v>
      </c>
      <c r="S535" s="2" t="s">
        <v>47</v>
      </c>
      <c r="U535" s="2">
        <f>P535-N535</f>
        <v>0</v>
      </c>
      <c r="W535" s="30" t="s">
        <v>2259</v>
      </c>
      <c r="X535" s="2" t="s">
        <v>82</v>
      </c>
      <c r="Y535" s="6" t="s">
        <v>2259</v>
      </c>
      <c r="Z535" s="2" t="s">
        <v>73</v>
      </c>
      <c r="AA535" s="2" t="s">
        <v>2260</v>
      </c>
      <c r="AB535" s="2" t="str">
        <f>LEFT(A535,3)</f>
        <v>TPT</v>
      </c>
    </row>
    <row r="536" spans="1:28">
      <c r="A536" s="6" t="s">
        <v>2262</v>
      </c>
      <c r="B536" s="6" t="s">
        <v>224</v>
      </c>
      <c r="C536" s="6" t="s">
        <v>68</v>
      </c>
      <c r="D536" s="6" t="s">
        <v>2263</v>
      </c>
      <c r="E536" s="6" t="s">
        <v>2263</v>
      </c>
      <c r="F536" s="6" t="s">
        <v>2264</v>
      </c>
      <c r="G536" s="2" t="s">
        <v>2264</v>
      </c>
      <c r="H536" s="2" t="s">
        <v>2265</v>
      </c>
      <c r="I536" s="2" t="s">
        <v>34</v>
      </c>
      <c r="J536" s="7">
        <v>228191.02436000001</v>
      </c>
      <c r="K536" s="7">
        <v>437387.19293999998</v>
      </c>
      <c r="L536" s="8">
        <v>164.35576908785899</v>
      </c>
      <c r="M536" s="8">
        <v>-20.2509041684932</v>
      </c>
      <c r="N536" s="2">
        <v>2</v>
      </c>
      <c r="O536" s="2">
        <v>2</v>
      </c>
      <c r="P536" s="2">
        <v>2</v>
      </c>
      <c r="Q536" s="2" t="s">
        <v>35</v>
      </c>
      <c r="R536" s="2" t="s">
        <v>2266</v>
      </c>
      <c r="S536" s="2" t="s">
        <v>47</v>
      </c>
      <c r="U536" s="2">
        <f>P536-N536</f>
        <v>0</v>
      </c>
      <c r="W536" s="30" t="s">
        <v>2263</v>
      </c>
      <c r="X536" s="2" t="s">
        <v>82</v>
      </c>
      <c r="Y536" s="6" t="s">
        <v>2264</v>
      </c>
      <c r="Z536" s="2" t="s">
        <v>73</v>
      </c>
      <c r="AA536" s="2" t="s">
        <v>2264</v>
      </c>
      <c r="AB536" s="2" t="str">
        <f>LEFT(A536,3)</f>
        <v>TRI</v>
      </c>
    </row>
    <row r="537" spans="1:28">
      <c r="A537" s="2" t="s">
        <v>2267</v>
      </c>
      <c r="B537" s="2" t="s">
        <v>93</v>
      </c>
      <c r="C537" s="2" t="s">
        <v>50</v>
      </c>
      <c r="D537" s="6" t="s">
        <v>2268</v>
      </c>
      <c r="E537" s="2" t="s">
        <v>52</v>
      </c>
      <c r="F537" s="6" t="s">
        <v>2269</v>
      </c>
      <c r="G537" s="6" t="s">
        <v>2269</v>
      </c>
      <c r="H537" s="6" t="s">
        <v>2269</v>
      </c>
      <c r="I537" s="2" t="s">
        <v>53</v>
      </c>
      <c r="J537" s="7">
        <v>453537</v>
      </c>
      <c r="K537" s="7">
        <v>220139</v>
      </c>
      <c r="L537" s="9">
        <v>166.51928000000001</v>
      </c>
      <c r="M537" s="8">
        <v>-22.220490000000002</v>
      </c>
      <c r="N537" s="2">
        <v>2</v>
      </c>
      <c r="O537" s="2">
        <v>6</v>
      </c>
      <c r="P537" s="2">
        <f>N537</f>
        <v>2</v>
      </c>
      <c r="Q537" s="2" t="s">
        <v>35</v>
      </c>
      <c r="R537" s="2" t="s">
        <v>2270</v>
      </c>
      <c r="S537" s="2" t="s">
        <v>37</v>
      </c>
      <c r="U537" s="2">
        <f>P537-N537</f>
        <v>0</v>
      </c>
      <c r="W537" s="30" t="s">
        <v>52</v>
      </c>
      <c r="X537" s="6" t="s">
        <v>52</v>
      </c>
      <c r="Y537" s="6" t="s">
        <v>2269</v>
      </c>
      <c r="Z537" s="2" t="s">
        <v>40</v>
      </c>
      <c r="AA537" s="6" t="s">
        <v>2269</v>
      </c>
      <c r="AB537" s="2" t="str">
        <f>LEFT(A537,3)</f>
        <v>TRO</v>
      </c>
    </row>
    <row r="538" spans="1:28">
      <c r="A538" s="2" t="s">
        <v>2271</v>
      </c>
      <c r="B538" s="2" t="s">
        <v>224</v>
      </c>
      <c r="C538" s="2" t="s">
        <v>68</v>
      </c>
      <c r="D538" s="2" t="s">
        <v>2265</v>
      </c>
      <c r="E538" s="2" t="s">
        <v>52</v>
      </c>
      <c r="F538" s="2" t="s">
        <v>2272</v>
      </c>
      <c r="G538" s="2" t="s">
        <v>2272</v>
      </c>
      <c r="H538" s="2" t="s">
        <v>2272</v>
      </c>
      <c r="I538" s="2" t="s">
        <v>53</v>
      </c>
      <c r="J538" s="7">
        <v>225232</v>
      </c>
      <c r="K538" s="7">
        <v>436817</v>
      </c>
      <c r="L538" s="9">
        <v>164.32739000000001</v>
      </c>
      <c r="M538" s="8">
        <v>-20.255769999999998</v>
      </c>
      <c r="N538" s="2">
        <v>3</v>
      </c>
      <c r="O538" s="2">
        <v>3</v>
      </c>
      <c r="P538" s="2">
        <v>3</v>
      </c>
      <c r="Q538" s="2" t="s">
        <v>195</v>
      </c>
      <c r="R538" s="2" t="s">
        <v>2273</v>
      </c>
      <c r="S538" s="2" t="s">
        <v>47</v>
      </c>
      <c r="U538" s="2">
        <f>P538-N538</f>
        <v>0</v>
      </c>
      <c r="V538" s="2" t="s">
        <v>102</v>
      </c>
      <c r="W538" s="30" t="s">
        <v>52</v>
      </c>
      <c r="X538" s="6" t="s">
        <v>52</v>
      </c>
      <c r="Y538" s="2" t="s">
        <v>2272</v>
      </c>
      <c r="Z538" s="2" t="s">
        <v>73</v>
      </c>
      <c r="AA538" s="2" t="s">
        <v>2272</v>
      </c>
      <c r="AB538" s="2" t="str">
        <f>LEFT(A538,3)</f>
        <v>TRT</v>
      </c>
    </row>
    <row r="539" spans="1:28">
      <c r="A539" s="6" t="s">
        <v>2274</v>
      </c>
      <c r="B539" s="6" t="s">
        <v>437</v>
      </c>
      <c r="C539" s="6" t="s">
        <v>68</v>
      </c>
      <c r="D539" s="6" t="s">
        <v>2275</v>
      </c>
      <c r="E539" s="6" t="s">
        <v>2275</v>
      </c>
      <c r="F539" s="6" t="s">
        <v>2276</v>
      </c>
      <c r="G539" s="2" t="s">
        <v>2276</v>
      </c>
      <c r="H539" s="2" t="s">
        <v>2276</v>
      </c>
      <c r="I539" s="2" t="s">
        <v>53</v>
      </c>
      <c r="J539" s="7">
        <v>240826.45280999999</v>
      </c>
      <c r="K539" s="7">
        <v>376100.51630999998</v>
      </c>
      <c r="L539" s="8">
        <v>164.47094280443699</v>
      </c>
      <c r="M539" s="8">
        <v>-20.8055785190748</v>
      </c>
      <c r="N539" s="2">
        <v>4</v>
      </c>
      <c r="O539" s="2">
        <v>4</v>
      </c>
      <c r="P539" s="2">
        <v>8</v>
      </c>
      <c r="Q539" s="2" t="s">
        <v>35</v>
      </c>
      <c r="R539" s="2" t="s">
        <v>2277</v>
      </c>
      <c r="S539" s="2" t="s">
        <v>47</v>
      </c>
      <c r="U539" s="2">
        <f>P539-N539</f>
        <v>4</v>
      </c>
      <c r="W539" s="30" t="s">
        <v>2275</v>
      </c>
      <c r="X539" s="2" t="s">
        <v>82</v>
      </c>
      <c r="Y539" s="6" t="s">
        <v>2276</v>
      </c>
      <c r="Z539" s="2" t="s">
        <v>73</v>
      </c>
      <c r="AA539" s="2" t="s">
        <v>2276</v>
      </c>
      <c r="AB539" s="2" t="str">
        <f>LEFT(A539,3)</f>
        <v>TSI</v>
      </c>
    </row>
    <row r="540" spans="1:28">
      <c r="A540" s="6" t="s">
        <v>2278</v>
      </c>
      <c r="B540" s="6" t="s">
        <v>249</v>
      </c>
      <c r="C540" s="6" t="s">
        <v>68</v>
      </c>
      <c r="D540" s="6" t="s">
        <v>2279</v>
      </c>
      <c r="E540" s="6" t="s">
        <v>2279</v>
      </c>
      <c r="F540" s="6" t="s">
        <v>2279</v>
      </c>
      <c r="G540" s="2" t="s">
        <v>2280</v>
      </c>
      <c r="H540" s="2" t="s">
        <v>2279</v>
      </c>
      <c r="I540" s="2" t="s">
        <v>34</v>
      </c>
      <c r="J540" s="7">
        <v>268926.41206</v>
      </c>
      <c r="K540" s="7">
        <v>363600.28681999998</v>
      </c>
      <c r="L540" s="8">
        <v>164.739896104124</v>
      </c>
      <c r="M540" s="8">
        <v>-20.920754500747702</v>
      </c>
      <c r="N540" s="2">
        <v>1</v>
      </c>
      <c r="O540" s="2">
        <v>1</v>
      </c>
      <c r="P540" s="2">
        <v>1</v>
      </c>
      <c r="Q540" s="2" t="s">
        <v>35</v>
      </c>
      <c r="R540" s="2" t="s">
        <v>2281</v>
      </c>
      <c r="S540" s="2" t="s">
        <v>47</v>
      </c>
      <c r="U540" s="2">
        <f>P540-N540</f>
        <v>0</v>
      </c>
      <c r="W540" s="30" t="s">
        <v>2279</v>
      </c>
      <c r="X540" s="2" t="s">
        <v>82</v>
      </c>
      <c r="Y540" s="6" t="s">
        <v>2279</v>
      </c>
      <c r="Z540" s="2" t="s">
        <v>73</v>
      </c>
      <c r="AA540" s="2" t="s">
        <v>2280</v>
      </c>
      <c r="AB540" s="2" t="str">
        <f>LEFT(A540,3)</f>
        <v>TTA</v>
      </c>
    </row>
    <row r="541" spans="1:28">
      <c r="A541" s="6" t="s">
        <v>2282</v>
      </c>
      <c r="B541" s="6" t="s">
        <v>249</v>
      </c>
      <c r="C541" s="6" t="s">
        <v>68</v>
      </c>
      <c r="D541" s="6" t="s">
        <v>2283</v>
      </c>
      <c r="E541" s="6" t="s">
        <v>52</v>
      </c>
      <c r="F541" s="6" t="s">
        <v>2284</v>
      </c>
      <c r="G541" s="6" t="s">
        <v>2284</v>
      </c>
      <c r="H541" s="2" t="s">
        <v>2284</v>
      </c>
      <c r="I541" s="2" t="s">
        <v>53</v>
      </c>
      <c r="J541" s="7">
        <v>270948</v>
      </c>
      <c r="K541" s="7">
        <v>363931</v>
      </c>
      <c r="L541" s="8">
        <v>164.75935899999999</v>
      </c>
      <c r="M541" s="8">
        <v>-20.917911</v>
      </c>
      <c r="N541" s="2">
        <v>3</v>
      </c>
      <c r="O541" s="2">
        <v>3</v>
      </c>
      <c r="P541" s="2">
        <v>3</v>
      </c>
      <c r="Q541" s="2" t="s">
        <v>35</v>
      </c>
      <c r="R541" s="2" t="s">
        <v>2285</v>
      </c>
      <c r="S541" s="2" t="s">
        <v>47</v>
      </c>
      <c r="U541" s="2">
        <f>P541-N541</f>
        <v>0</v>
      </c>
      <c r="W541" s="30" t="s">
        <v>52</v>
      </c>
      <c r="X541" s="2" t="s">
        <v>52</v>
      </c>
      <c r="Y541" s="6" t="s">
        <v>2284</v>
      </c>
      <c r="Z541" s="2" t="s">
        <v>73</v>
      </c>
      <c r="AA541" s="6" t="s">
        <v>2284</v>
      </c>
      <c r="AB541" s="2" t="str">
        <f>LEFT(A541,3)</f>
        <v>TTD</v>
      </c>
    </row>
    <row r="542" spans="1:28">
      <c r="A542" s="6" t="s">
        <v>2286</v>
      </c>
      <c r="B542" s="6" t="s">
        <v>104</v>
      </c>
      <c r="C542" s="6" t="s">
        <v>68</v>
      </c>
      <c r="D542" s="6" t="s">
        <v>2287</v>
      </c>
      <c r="E542" s="6" t="s">
        <v>2287</v>
      </c>
      <c r="F542" s="6" t="s">
        <v>2287</v>
      </c>
      <c r="G542" s="2" t="s">
        <v>2288</v>
      </c>
      <c r="H542" s="2" t="s">
        <v>2287</v>
      </c>
      <c r="I542" s="2" t="s">
        <v>34</v>
      </c>
      <c r="J542" s="7">
        <v>329279.82971000002</v>
      </c>
      <c r="K542" s="7">
        <v>363066.74445</v>
      </c>
      <c r="L542" s="8">
        <v>165.32008760740001</v>
      </c>
      <c r="M542" s="8">
        <v>-20.928951479743102</v>
      </c>
      <c r="N542" s="2">
        <v>1</v>
      </c>
      <c r="O542" s="2">
        <v>1</v>
      </c>
      <c r="P542" s="2">
        <f>N542</f>
        <v>1</v>
      </c>
      <c r="Q542" s="2" t="s">
        <v>35</v>
      </c>
      <c r="R542" s="2" t="s">
        <v>2289</v>
      </c>
      <c r="S542" s="2" t="s">
        <v>47</v>
      </c>
      <c r="U542" s="2">
        <f>P542-N542</f>
        <v>0</v>
      </c>
      <c r="W542" s="30" t="s">
        <v>2287</v>
      </c>
      <c r="X542" s="2" t="s">
        <v>82</v>
      </c>
      <c r="Y542" s="6" t="s">
        <v>2287</v>
      </c>
      <c r="Z542" s="2" t="s">
        <v>73</v>
      </c>
      <c r="AA542" s="2" t="s">
        <v>2288</v>
      </c>
      <c r="AB542" s="2" t="str">
        <f>LEFT(A542,3)</f>
        <v>TTI</v>
      </c>
    </row>
    <row r="543" spans="1:28">
      <c r="A543" s="6" t="s">
        <v>2290</v>
      </c>
      <c r="B543" s="6" t="s">
        <v>29</v>
      </c>
      <c r="C543" s="6" t="s">
        <v>30</v>
      </c>
      <c r="D543" s="6" t="s">
        <v>2291</v>
      </c>
      <c r="E543" s="6" t="s">
        <v>2291</v>
      </c>
      <c r="F543" s="6" t="s">
        <v>2291</v>
      </c>
      <c r="G543" s="2" t="s">
        <v>2292</v>
      </c>
      <c r="H543" s="2" t="s">
        <v>2291</v>
      </c>
      <c r="I543" s="2" t="s">
        <v>34</v>
      </c>
      <c r="J543" s="7">
        <v>446923</v>
      </c>
      <c r="K543" s="7">
        <v>212321</v>
      </c>
      <c r="L543" s="8">
        <v>166.45534767243001</v>
      </c>
      <c r="M543" s="8">
        <v>-22.291276043450601</v>
      </c>
      <c r="N543" s="2">
        <v>2</v>
      </c>
      <c r="O543" s="2">
        <v>6</v>
      </c>
      <c r="P543" s="2">
        <v>4</v>
      </c>
      <c r="Q543" s="2" t="s">
        <v>35</v>
      </c>
      <c r="R543" s="2" t="s">
        <v>2293</v>
      </c>
      <c r="S543" s="2" t="s">
        <v>37</v>
      </c>
      <c r="U543" s="2">
        <f>P543-N543</f>
        <v>2</v>
      </c>
      <c r="W543" s="30" t="s">
        <v>52</v>
      </c>
      <c r="X543" s="2" t="s">
        <v>39</v>
      </c>
      <c r="Y543" s="6" t="s">
        <v>2291</v>
      </c>
      <c r="Z543" s="2" t="s">
        <v>40</v>
      </c>
      <c r="AA543" s="2" t="s">
        <v>2292</v>
      </c>
      <c r="AB543" s="2" t="str">
        <f>LEFT(A543,3)</f>
        <v>TUB</v>
      </c>
    </row>
    <row r="544" spans="1:28">
      <c r="A544" s="6" t="s">
        <v>2294</v>
      </c>
      <c r="B544" s="6" t="s">
        <v>562</v>
      </c>
      <c r="C544" s="6" t="s">
        <v>43</v>
      </c>
      <c r="D544" s="6" t="s">
        <v>2295</v>
      </c>
      <c r="E544" s="6" t="s">
        <v>2295</v>
      </c>
      <c r="F544" s="6" t="s">
        <v>2296</v>
      </c>
      <c r="G544" s="6" t="s">
        <v>2296</v>
      </c>
      <c r="H544" s="6" t="s">
        <v>2296</v>
      </c>
      <c r="I544" s="2" t="s">
        <v>53</v>
      </c>
      <c r="J544" s="7">
        <v>445050.31374000001</v>
      </c>
      <c r="K544" s="7">
        <v>278513.68051999999</v>
      </c>
      <c r="L544" s="8">
        <v>166.435382911213</v>
      </c>
      <c r="M544" s="8">
        <v>-21.6935019496356</v>
      </c>
      <c r="N544" s="2">
        <v>2</v>
      </c>
      <c r="O544" s="2">
        <v>2</v>
      </c>
      <c r="P544" s="2">
        <v>2</v>
      </c>
      <c r="Q544" s="2" t="s">
        <v>195</v>
      </c>
      <c r="R544" s="2" t="s">
        <v>2297</v>
      </c>
      <c r="S544" s="2" t="s">
        <v>47</v>
      </c>
      <c r="U544" s="2">
        <f>P544-N544</f>
        <v>0</v>
      </c>
      <c r="W544" s="30" t="s">
        <v>2295</v>
      </c>
      <c r="X544" s="2" t="s">
        <v>82</v>
      </c>
      <c r="Y544" s="6" t="s">
        <v>2296</v>
      </c>
      <c r="Z544" s="2" t="s">
        <v>73</v>
      </c>
      <c r="AA544" s="6" t="s">
        <v>2296</v>
      </c>
      <c r="AB544" s="2" t="str">
        <f>LEFT(A544,3)</f>
        <v>TUP</v>
      </c>
    </row>
    <row r="545" spans="1:28">
      <c r="A545" s="6" t="s">
        <v>2298</v>
      </c>
      <c r="B545" s="6" t="s">
        <v>402</v>
      </c>
      <c r="C545" s="6" t="s">
        <v>68</v>
      </c>
      <c r="D545" s="6" t="s">
        <v>2176</v>
      </c>
      <c r="E545" s="2" t="s">
        <v>52</v>
      </c>
      <c r="F545" s="6" t="s">
        <v>2299</v>
      </c>
      <c r="G545" s="6" t="s">
        <v>2299</v>
      </c>
      <c r="H545" s="6" t="s">
        <v>2299</v>
      </c>
      <c r="I545" s="2" t="s">
        <v>53</v>
      </c>
      <c r="J545" s="7">
        <v>357079</v>
      </c>
      <c r="K545" s="7">
        <v>326495</v>
      </c>
      <c r="L545" s="8">
        <v>165.58641900000001</v>
      </c>
      <c r="M545" s="8">
        <v>-21.260169999999999</v>
      </c>
      <c r="N545" s="2">
        <v>3</v>
      </c>
      <c r="O545" s="2">
        <v>3</v>
      </c>
      <c r="P545" s="2">
        <v>3</v>
      </c>
      <c r="Q545" s="2" t="s">
        <v>35</v>
      </c>
      <c r="R545" s="2" t="s">
        <v>2300</v>
      </c>
      <c r="S545" s="2" t="s">
        <v>47</v>
      </c>
      <c r="U545" s="2">
        <f>P545-N545</f>
        <v>0</v>
      </c>
      <c r="W545" s="30" t="s">
        <v>52</v>
      </c>
      <c r="X545" s="6" t="s">
        <v>52</v>
      </c>
      <c r="Y545" s="6" t="s">
        <v>2299</v>
      </c>
      <c r="Z545" s="2" t="s">
        <v>73</v>
      </c>
      <c r="AA545" s="6" t="s">
        <v>2299</v>
      </c>
      <c r="AB545" s="2" t="str">
        <f>LEFT(A545,3)</f>
        <v>TUU</v>
      </c>
    </row>
    <row r="546" spans="1:28">
      <c r="A546" s="6" t="s">
        <v>2301</v>
      </c>
      <c r="B546" s="6" t="s">
        <v>684</v>
      </c>
      <c r="C546" s="6" t="s">
        <v>68</v>
      </c>
      <c r="D546" s="6" t="s">
        <v>2302</v>
      </c>
      <c r="E546" s="6" t="s">
        <v>2302</v>
      </c>
      <c r="F546" s="6" t="s">
        <v>2303</v>
      </c>
      <c r="G546" s="2" t="s">
        <v>2303</v>
      </c>
      <c r="H546" s="2" t="s">
        <v>684</v>
      </c>
      <c r="I546" s="2" t="s">
        <v>34</v>
      </c>
      <c r="J546" s="7">
        <v>282481.88088999997</v>
      </c>
      <c r="K546" s="7">
        <v>382930.76458000002</v>
      </c>
      <c r="L546" s="8">
        <v>164.87155588079</v>
      </c>
      <c r="M546" s="8">
        <v>-20.747086805250799</v>
      </c>
      <c r="N546" s="2">
        <v>2</v>
      </c>
      <c r="O546" s="2">
        <v>2</v>
      </c>
      <c r="P546" s="2">
        <v>2</v>
      </c>
      <c r="Q546" s="2" t="s">
        <v>195</v>
      </c>
      <c r="R546" s="2" t="s">
        <v>2304</v>
      </c>
      <c r="S546" s="2" t="s">
        <v>47</v>
      </c>
      <c r="U546" s="2">
        <f>P546-N546</f>
        <v>0</v>
      </c>
      <c r="W546" s="30" t="s">
        <v>2305</v>
      </c>
      <c r="X546" s="2" t="s">
        <v>82</v>
      </c>
      <c r="Y546" s="6" t="s">
        <v>2303</v>
      </c>
      <c r="Z546" s="2" t="s">
        <v>73</v>
      </c>
      <c r="AA546" s="2" t="s">
        <v>2303</v>
      </c>
      <c r="AB546" s="2" t="str">
        <f>LEFT(A546,3)</f>
        <v>TVT</v>
      </c>
    </row>
    <row r="547" spans="1:28">
      <c r="A547" s="2" t="s">
        <v>2306</v>
      </c>
      <c r="B547" s="2" t="s">
        <v>67</v>
      </c>
      <c r="C547" s="2" t="s">
        <v>68</v>
      </c>
      <c r="D547" s="2" t="s">
        <v>2307</v>
      </c>
      <c r="E547" s="2" t="s">
        <v>52</v>
      </c>
      <c r="F547" s="2" t="s">
        <v>2308</v>
      </c>
      <c r="G547" s="2" t="s">
        <v>2308</v>
      </c>
      <c r="H547" s="2" t="s">
        <v>2308</v>
      </c>
      <c r="I547" s="2" t="s">
        <v>53</v>
      </c>
      <c r="J547" s="2">
        <v>287437</v>
      </c>
      <c r="K547" s="2">
        <v>355032</v>
      </c>
      <c r="L547" s="2">
        <v>164.91728000000001</v>
      </c>
      <c r="M547" s="8">
        <v>-20.999400000000001</v>
      </c>
      <c r="N547" s="2">
        <v>2</v>
      </c>
      <c r="O547" s="2">
        <v>2</v>
      </c>
      <c r="P547" s="2">
        <v>2</v>
      </c>
      <c r="Q547" s="2" t="s">
        <v>35</v>
      </c>
      <c r="R547" s="2" t="s">
        <v>2309</v>
      </c>
      <c r="S547" s="2" t="s">
        <v>47</v>
      </c>
      <c r="U547" s="2">
        <f>P547-N547</f>
        <v>0</v>
      </c>
      <c r="W547" s="30" t="s">
        <v>52</v>
      </c>
      <c r="X547" s="6" t="s">
        <v>52</v>
      </c>
      <c r="Y547" s="2" t="s">
        <v>2308</v>
      </c>
      <c r="Z547" s="2" t="s">
        <v>73</v>
      </c>
      <c r="AA547" s="2" t="s">
        <v>2308</v>
      </c>
      <c r="AB547" s="2" t="str">
        <f>LEFT(A547,3)</f>
        <v>TWE</v>
      </c>
    </row>
    <row r="548" spans="1:28">
      <c r="A548" s="6" t="s">
        <v>2310</v>
      </c>
      <c r="B548" s="6" t="s">
        <v>402</v>
      </c>
      <c r="C548" s="6" t="s">
        <v>68</v>
      </c>
      <c r="D548" s="6" t="s">
        <v>2311</v>
      </c>
      <c r="E548" s="6" t="s">
        <v>52</v>
      </c>
      <c r="F548" s="6" t="s">
        <v>2312</v>
      </c>
      <c r="G548" s="6" t="s">
        <v>2312</v>
      </c>
      <c r="H548" s="6" t="s">
        <v>2312</v>
      </c>
      <c r="I548" s="2" t="s">
        <v>53</v>
      </c>
      <c r="J548" s="7">
        <v>353701</v>
      </c>
      <c r="K548" s="7">
        <v>338659</v>
      </c>
      <c r="L548" s="8">
        <v>165.554204</v>
      </c>
      <c r="M548" s="8">
        <v>-21.150213000000001</v>
      </c>
      <c r="N548" s="2">
        <v>3</v>
      </c>
      <c r="O548" s="2">
        <v>3</v>
      </c>
      <c r="P548" s="2">
        <v>3</v>
      </c>
      <c r="Q548" s="2" t="s">
        <v>35</v>
      </c>
      <c r="R548" s="2" t="s">
        <v>2313</v>
      </c>
      <c r="S548" s="2" t="s">
        <v>47</v>
      </c>
      <c r="U548" s="2">
        <f>P548-N548</f>
        <v>0</v>
      </c>
      <c r="W548" s="30" t="s">
        <v>52</v>
      </c>
      <c r="X548" s="2" t="s">
        <v>52</v>
      </c>
      <c r="Y548" s="6" t="s">
        <v>2312</v>
      </c>
      <c r="Z548" s="2" t="s">
        <v>73</v>
      </c>
      <c r="AA548" s="6" t="s">
        <v>2312</v>
      </c>
      <c r="AB548" s="2" t="str">
        <f>LEFT(A548,3)</f>
        <v>UGU</v>
      </c>
    </row>
    <row r="549" spans="1:28">
      <c r="A549" s="6" t="s">
        <v>2314</v>
      </c>
      <c r="B549" s="6" t="s">
        <v>29</v>
      </c>
      <c r="C549" s="6" t="s">
        <v>30</v>
      </c>
      <c r="D549" s="6" t="s">
        <v>2315</v>
      </c>
      <c r="E549" s="6" t="s">
        <v>2315</v>
      </c>
      <c r="F549" s="6" t="s">
        <v>2316</v>
      </c>
      <c r="G549" s="2" t="s">
        <v>2317</v>
      </c>
      <c r="H549" s="2" t="s">
        <v>2317</v>
      </c>
      <c r="I549" s="2" t="s">
        <v>53</v>
      </c>
      <c r="J549" s="7">
        <v>449068.84379999997</v>
      </c>
      <c r="K549" s="7">
        <v>218191.70313000001</v>
      </c>
      <c r="L549" s="8">
        <v>166.475999167814</v>
      </c>
      <c r="M549" s="8">
        <v>-22.2381986560112</v>
      </c>
      <c r="N549" s="2">
        <v>2</v>
      </c>
      <c r="O549" s="2">
        <v>4</v>
      </c>
      <c r="P549" s="2">
        <v>6</v>
      </c>
      <c r="Q549" s="2" t="s">
        <v>35</v>
      </c>
      <c r="R549" s="2" t="s">
        <v>2315</v>
      </c>
      <c r="S549" s="2" t="s">
        <v>37</v>
      </c>
      <c r="U549" s="2">
        <f>P549-N549</f>
        <v>4</v>
      </c>
      <c r="W549" s="30" t="s">
        <v>52</v>
      </c>
      <c r="X549" s="2" t="s">
        <v>39</v>
      </c>
      <c r="Y549" s="6" t="s">
        <v>2316</v>
      </c>
      <c r="Z549" s="2" t="s">
        <v>40</v>
      </c>
      <c r="AA549" s="2" t="s">
        <v>2317</v>
      </c>
      <c r="AB549" s="2" t="str">
        <f>LEFT(A549,3)</f>
        <v>ULM</v>
      </c>
    </row>
    <row r="550" spans="1:28">
      <c r="A550" s="6" t="s">
        <v>2318</v>
      </c>
      <c r="B550" s="6" t="s">
        <v>29</v>
      </c>
      <c r="C550" s="6" t="s">
        <v>30</v>
      </c>
      <c r="D550" s="6" t="s">
        <v>2319</v>
      </c>
      <c r="E550" s="6" t="s">
        <v>2319</v>
      </c>
      <c r="F550" s="6" t="s">
        <v>2319</v>
      </c>
      <c r="G550" s="2" t="s">
        <v>2320</v>
      </c>
      <c r="H550" s="2" t="s">
        <v>2320</v>
      </c>
      <c r="I550" s="2" t="s">
        <v>53</v>
      </c>
      <c r="J550" s="7">
        <v>441457.18046</v>
      </c>
      <c r="K550" s="7">
        <v>215521.33405999999</v>
      </c>
      <c r="L550" s="8">
        <v>166.402225157023</v>
      </c>
      <c r="M550" s="8">
        <v>-22.2625130761074</v>
      </c>
      <c r="N550" s="2">
        <v>3</v>
      </c>
      <c r="O550" s="2">
        <v>9</v>
      </c>
      <c r="P550" s="2">
        <v>9</v>
      </c>
      <c r="Q550" s="2" t="s">
        <v>35</v>
      </c>
      <c r="R550" s="2" t="s">
        <v>2321</v>
      </c>
      <c r="S550" s="2" t="s">
        <v>37</v>
      </c>
      <c r="U550" s="2">
        <f>P550-N550</f>
        <v>6</v>
      </c>
      <c r="V550" s="2" t="s">
        <v>38</v>
      </c>
      <c r="W550" s="30" t="s">
        <v>2319</v>
      </c>
      <c r="X550" s="2" t="s">
        <v>39</v>
      </c>
      <c r="Y550" s="6" t="s">
        <v>2319</v>
      </c>
      <c r="Z550" s="2" t="s">
        <v>40</v>
      </c>
      <c r="AA550" s="2" t="s">
        <v>2320</v>
      </c>
      <c r="AB550" s="2" t="str">
        <f>LEFT(A550,3)</f>
        <v>UNC</v>
      </c>
    </row>
    <row r="551" spans="1:28">
      <c r="A551" s="6" t="s">
        <v>2322</v>
      </c>
      <c r="B551" s="6" t="s">
        <v>142</v>
      </c>
      <c r="C551" s="6" t="s">
        <v>43</v>
      </c>
      <c r="D551" s="6" t="s">
        <v>2323</v>
      </c>
      <c r="E551" s="6" t="s">
        <v>52</v>
      </c>
      <c r="F551" s="6" t="s">
        <v>2324</v>
      </c>
      <c r="G551" s="6" t="s">
        <v>2324</v>
      </c>
      <c r="H551" s="2" t="s">
        <v>2323</v>
      </c>
      <c r="I551" s="2" t="s">
        <v>53</v>
      </c>
      <c r="J551" s="7">
        <v>493075</v>
      </c>
      <c r="K551" s="7">
        <v>237628</v>
      </c>
      <c r="L551" s="8">
        <v>166.90178900000001</v>
      </c>
      <c r="M551" s="8">
        <v>-22.060918999999998</v>
      </c>
      <c r="N551" s="2">
        <v>3</v>
      </c>
      <c r="O551" s="2">
        <v>3</v>
      </c>
      <c r="P551" s="2">
        <v>3</v>
      </c>
      <c r="Q551" s="2" t="s">
        <v>35</v>
      </c>
      <c r="R551" s="2" t="s">
        <v>2325</v>
      </c>
      <c r="S551" s="2" t="s">
        <v>47</v>
      </c>
      <c r="U551" s="2">
        <f>P551-N551</f>
        <v>0</v>
      </c>
      <c r="W551" s="30" t="s">
        <v>52</v>
      </c>
      <c r="X551" s="2" t="s">
        <v>52</v>
      </c>
      <c r="Y551" s="6" t="s">
        <v>2324</v>
      </c>
      <c r="Z551" s="2" t="s">
        <v>40</v>
      </c>
      <c r="AA551" s="6" t="s">
        <v>2324</v>
      </c>
      <c r="AB551" s="2" t="str">
        <f>LEFT(A551,3)</f>
        <v>UNI</v>
      </c>
    </row>
    <row r="552" spans="1:28">
      <c r="A552" s="2" t="s">
        <v>2326</v>
      </c>
      <c r="B552" s="2" t="s">
        <v>373</v>
      </c>
      <c r="C552" s="2" t="s">
        <v>129</v>
      </c>
      <c r="D552" s="6" t="s">
        <v>2327</v>
      </c>
      <c r="E552" s="2" t="s">
        <v>52</v>
      </c>
      <c r="F552" s="6" t="s">
        <v>2328</v>
      </c>
      <c r="G552" s="6" t="s">
        <v>2328</v>
      </c>
      <c r="H552" s="6" t="s">
        <v>2328</v>
      </c>
      <c r="I552" s="2" t="s">
        <v>53</v>
      </c>
      <c r="J552" s="7">
        <v>529016</v>
      </c>
      <c r="K552" s="7">
        <v>366595</v>
      </c>
      <c r="L552" s="9">
        <v>167.24009000000001</v>
      </c>
      <c r="M552" s="8">
        <v>-20.89385</v>
      </c>
      <c r="N552" s="2">
        <v>2</v>
      </c>
      <c r="O552" s="2">
        <v>2</v>
      </c>
      <c r="P552" s="2">
        <v>2</v>
      </c>
      <c r="Q552" s="2" t="s">
        <v>35</v>
      </c>
      <c r="R552" s="2" t="s">
        <v>2329</v>
      </c>
      <c r="S552" s="2" t="s">
        <v>47</v>
      </c>
      <c r="U552" s="2">
        <f>P552-N552</f>
        <v>0</v>
      </c>
      <c r="W552" s="30" t="s">
        <v>52</v>
      </c>
      <c r="X552" s="6" t="s">
        <v>52</v>
      </c>
      <c r="Y552" s="6" t="s">
        <v>2328</v>
      </c>
      <c r="Z552" s="2" t="s">
        <v>73</v>
      </c>
      <c r="AA552" s="6" t="s">
        <v>2328</v>
      </c>
      <c r="AB552" s="2" t="str">
        <f>LEFT(A552,3)</f>
        <v>USL</v>
      </c>
    </row>
    <row r="553" spans="1:28">
      <c r="A553" s="2" t="s">
        <v>2330</v>
      </c>
      <c r="B553" s="2" t="s">
        <v>351</v>
      </c>
      <c r="C553" s="2" t="s">
        <v>129</v>
      </c>
      <c r="D553" s="2" t="s">
        <v>2331</v>
      </c>
      <c r="E553" s="2" t="s">
        <v>52</v>
      </c>
      <c r="F553" s="2" t="s">
        <v>2332</v>
      </c>
      <c r="G553" s="2" t="s">
        <v>2332</v>
      </c>
      <c r="H553" s="2" t="s">
        <v>2332</v>
      </c>
      <c r="I553" s="2" t="s">
        <v>53</v>
      </c>
      <c r="J553" s="7">
        <v>594624</v>
      </c>
      <c r="K553" s="7">
        <v>293252</v>
      </c>
      <c r="L553" s="8">
        <v>167.87913</v>
      </c>
      <c r="M553" s="8">
        <v>-21.550380000000001</v>
      </c>
      <c r="N553" s="2">
        <v>2</v>
      </c>
      <c r="O553" s="2">
        <v>2</v>
      </c>
      <c r="P553" s="2">
        <v>2</v>
      </c>
      <c r="Q553" s="2" t="s">
        <v>35</v>
      </c>
      <c r="R553" s="2" t="s">
        <v>2333</v>
      </c>
      <c r="S553" s="2" t="s">
        <v>47</v>
      </c>
      <c r="U553" s="2">
        <f>P553-N553</f>
        <v>0</v>
      </c>
      <c r="W553" s="30" t="s">
        <v>52</v>
      </c>
      <c r="X553" s="6" t="s">
        <v>52</v>
      </c>
      <c r="Y553" s="2" t="s">
        <v>2332</v>
      </c>
      <c r="Z553" s="2" t="s">
        <v>73</v>
      </c>
      <c r="AA553" s="2" t="s">
        <v>2332</v>
      </c>
      <c r="AB553" s="2" t="str">
        <f>LEFT(A553,3)</f>
        <v>USM</v>
      </c>
    </row>
    <row r="554" spans="1:28">
      <c r="A554" s="2" t="s">
        <v>2334</v>
      </c>
      <c r="B554" s="2" t="s">
        <v>178</v>
      </c>
      <c r="C554" s="2" t="s">
        <v>68</v>
      </c>
      <c r="D554" s="2" t="s">
        <v>2335</v>
      </c>
      <c r="E554" s="2" t="s">
        <v>52</v>
      </c>
      <c r="F554" s="2" t="s">
        <v>2336</v>
      </c>
      <c r="G554" s="2" t="s">
        <v>2336</v>
      </c>
      <c r="H554" s="2" t="s">
        <v>2336</v>
      </c>
      <c r="I554" s="2" t="s">
        <v>53</v>
      </c>
      <c r="J554" s="7">
        <v>285311</v>
      </c>
      <c r="K554" s="7">
        <v>342690</v>
      </c>
      <c r="L554" s="8">
        <v>164.89599100000001</v>
      </c>
      <c r="M554" s="8">
        <v>-21.110741000000001</v>
      </c>
      <c r="N554" s="2">
        <v>3</v>
      </c>
      <c r="O554" s="2">
        <v>6</v>
      </c>
      <c r="P554" s="2">
        <v>9</v>
      </c>
      <c r="Q554" s="2" t="s">
        <v>35</v>
      </c>
      <c r="R554" s="2" t="s">
        <v>2337</v>
      </c>
      <c r="S554" s="2" t="s">
        <v>37</v>
      </c>
      <c r="U554" s="2">
        <f>P554-N554</f>
        <v>6</v>
      </c>
      <c r="W554" s="30" t="s">
        <v>52</v>
      </c>
      <c r="X554" s="6" t="s">
        <v>52</v>
      </c>
      <c r="Y554" s="2" t="s">
        <v>2336</v>
      </c>
      <c r="Z554" s="2" t="s">
        <v>73</v>
      </c>
      <c r="AA554" s="2" t="s">
        <v>2336</v>
      </c>
      <c r="AB554" s="2" t="str">
        <f>LEFT(A554,3)</f>
        <v>USP</v>
      </c>
    </row>
    <row r="555" spans="1:28">
      <c r="A555" s="6" t="s">
        <v>2338</v>
      </c>
      <c r="B555" s="6" t="s">
        <v>178</v>
      </c>
      <c r="C555" s="6" t="s">
        <v>68</v>
      </c>
      <c r="D555" s="6" t="s">
        <v>2339</v>
      </c>
      <c r="E555" s="6" t="s">
        <v>2339</v>
      </c>
      <c r="F555" s="6" t="s">
        <v>2339</v>
      </c>
      <c r="G555" s="2" t="s">
        <v>2340</v>
      </c>
      <c r="H555" s="2" t="s">
        <v>723</v>
      </c>
      <c r="I555" s="2" t="s">
        <v>34</v>
      </c>
      <c r="J555" s="7">
        <v>307784.15701000002</v>
      </c>
      <c r="K555" s="7">
        <v>334392.67614</v>
      </c>
      <c r="L555" s="8">
        <v>165.11185966085301</v>
      </c>
      <c r="M555" s="8">
        <v>-21.186976601598101</v>
      </c>
      <c r="N555" s="2">
        <v>2</v>
      </c>
      <c r="O555" s="2">
        <v>2</v>
      </c>
      <c r="P555" s="2">
        <v>2</v>
      </c>
      <c r="Q555" s="2" t="s">
        <v>587</v>
      </c>
      <c r="R555" s="2" t="s">
        <v>2341</v>
      </c>
      <c r="S555" s="2" t="s">
        <v>47</v>
      </c>
      <c r="U555" s="2">
        <f>P555-N555</f>
        <v>0</v>
      </c>
      <c r="W555" s="30" t="s">
        <v>2339</v>
      </c>
      <c r="X555" s="2" t="s">
        <v>82</v>
      </c>
      <c r="Y555" s="6" t="s">
        <v>2339</v>
      </c>
      <c r="Z555" s="2" t="s">
        <v>73</v>
      </c>
      <c r="AA555" s="2" t="s">
        <v>2340</v>
      </c>
      <c r="AB555" s="2" t="str">
        <f>LEFT(A555,3)</f>
        <v>UTE</v>
      </c>
    </row>
    <row r="556" spans="1:28">
      <c r="A556" s="6" t="s">
        <v>2342</v>
      </c>
      <c r="B556" s="6" t="s">
        <v>29</v>
      </c>
      <c r="C556" s="6" t="s">
        <v>30</v>
      </c>
      <c r="D556" s="6" t="s">
        <v>2343</v>
      </c>
      <c r="E556" s="6" t="s">
        <v>2343</v>
      </c>
      <c r="F556" s="6" t="s">
        <v>2343</v>
      </c>
      <c r="G556" s="2" t="s">
        <v>2344</v>
      </c>
      <c r="H556" s="2" t="s">
        <v>2343</v>
      </c>
      <c r="I556" s="2" t="s">
        <v>34</v>
      </c>
      <c r="J556" s="7">
        <v>446577.61618000001</v>
      </c>
      <c r="K556" s="7">
        <v>212286.23845999999</v>
      </c>
      <c r="L556" s="8">
        <v>166.45200074261601</v>
      </c>
      <c r="M556" s="8">
        <v>-22.2916011592629</v>
      </c>
      <c r="N556" s="2">
        <v>2</v>
      </c>
      <c r="O556" s="2">
        <v>4</v>
      </c>
      <c r="P556" s="2">
        <f>N556</f>
        <v>2</v>
      </c>
      <c r="Q556" s="2" t="s">
        <v>35</v>
      </c>
      <c r="R556" s="2" t="s">
        <v>2345</v>
      </c>
      <c r="S556" s="2" t="s">
        <v>37</v>
      </c>
      <c r="U556" s="2">
        <f>P556-N556</f>
        <v>0</v>
      </c>
      <c r="W556" s="30" t="s">
        <v>52</v>
      </c>
      <c r="X556" s="2" t="s">
        <v>39</v>
      </c>
      <c r="Y556" s="6" t="s">
        <v>2343</v>
      </c>
      <c r="Z556" s="2" t="s">
        <v>40</v>
      </c>
      <c r="AA556" s="2" t="s">
        <v>2344</v>
      </c>
      <c r="AB556" s="2" t="str">
        <f>LEFT(A556,3)</f>
        <v>UTR</v>
      </c>
    </row>
    <row r="557" spans="1:28">
      <c r="A557" s="6" t="s">
        <v>2346</v>
      </c>
      <c r="B557" s="6" t="s">
        <v>29</v>
      </c>
      <c r="C557" s="6" t="s">
        <v>30</v>
      </c>
      <c r="D557" s="6" t="s">
        <v>2347</v>
      </c>
      <c r="E557" s="6" t="s">
        <v>52</v>
      </c>
      <c r="F557" s="6" t="s">
        <v>2348</v>
      </c>
      <c r="G557" s="6" t="s">
        <v>2348</v>
      </c>
      <c r="H557" s="6" t="s">
        <v>2348</v>
      </c>
      <c r="I557" s="2" t="s">
        <v>53</v>
      </c>
      <c r="J557" s="7">
        <v>446456</v>
      </c>
      <c r="K557" s="7">
        <v>214484</v>
      </c>
      <c r="L557" s="8">
        <v>166.45075499999999</v>
      </c>
      <c r="M557" s="8">
        <v>-22.271754999999999</v>
      </c>
      <c r="N557" s="2">
        <v>3</v>
      </c>
      <c r="O557" s="2">
        <v>3</v>
      </c>
      <c r="P557" s="2">
        <v>6</v>
      </c>
      <c r="Q557" s="2" t="s">
        <v>35</v>
      </c>
      <c r="R557" s="2" t="s">
        <v>2349</v>
      </c>
      <c r="S557" s="2" t="s">
        <v>37</v>
      </c>
      <c r="U557" s="2">
        <f>P557-N557</f>
        <v>3</v>
      </c>
      <c r="W557" s="30" t="s">
        <v>52</v>
      </c>
      <c r="X557" s="30" t="s">
        <v>52</v>
      </c>
      <c r="Y557" s="6" t="s">
        <v>2348</v>
      </c>
      <c r="Z557" s="2" t="s">
        <v>40</v>
      </c>
      <c r="AA557" s="6" t="s">
        <v>2348</v>
      </c>
      <c r="AB557" s="2" t="str">
        <f>LEFT(A557,3)</f>
        <v>VAC</v>
      </c>
    </row>
    <row r="558" spans="1:28">
      <c r="A558" s="6" t="s">
        <v>2350</v>
      </c>
      <c r="B558" s="6" t="s">
        <v>331</v>
      </c>
      <c r="C558" s="6" t="s">
        <v>43</v>
      </c>
      <c r="D558" s="6" t="s">
        <v>2351</v>
      </c>
      <c r="E558" s="6" t="s">
        <v>2351</v>
      </c>
      <c r="F558" s="6" t="s">
        <v>2351</v>
      </c>
      <c r="G558" s="2" t="s">
        <v>2352</v>
      </c>
      <c r="H558" s="2" t="s">
        <v>2351</v>
      </c>
      <c r="I558" s="2" t="s">
        <v>34</v>
      </c>
      <c r="J558" s="7">
        <v>553553.49127999996</v>
      </c>
      <c r="K558" s="7">
        <v>170003.25325000001</v>
      </c>
      <c r="L558" s="8">
        <v>167.49398430185499</v>
      </c>
      <c r="M558" s="8">
        <v>-22.667400729189499</v>
      </c>
      <c r="N558" s="2">
        <v>2</v>
      </c>
      <c r="O558" s="2">
        <v>2</v>
      </c>
      <c r="P558" s="2">
        <f>N558</f>
        <v>2</v>
      </c>
      <c r="Q558" s="2" t="s">
        <v>35</v>
      </c>
      <c r="R558" s="2" t="s">
        <v>2351</v>
      </c>
      <c r="S558" s="2" t="s">
        <v>47</v>
      </c>
      <c r="U558" s="2">
        <f>P558-N558</f>
        <v>0</v>
      </c>
      <c r="W558" s="30" t="s">
        <v>2351</v>
      </c>
      <c r="X558" s="2" t="s">
        <v>39</v>
      </c>
      <c r="Y558" s="6" t="s">
        <v>2351</v>
      </c>
      <c r="Z558" s="2" t="s">
        <v>40</v>
      </c>
      <c r="AA558" s="2" t="s">
        <v>2352</v>
      </c>
      <c r="AB558" s="2" t="str">
        <f>LEFT(A558,3)</f>
        <v>VAO</v>
      </c>
    </row>
    <row r="559" spans="1:28">
      <c r="A559" s="6" t="s">
        <v>2353</v>
      </c>
      <c r="B559" s="6" t="s">
        <v>249</v>
      </c>
      <c r="C559" s="6" t="s">
        <v>68</v>
      </c>
      <c r="D559" s="6" t="s">
        <v>2354</v>
      </c>
      <c r="E559" s="6" t="s">
        <v>2354</v>
      </c>
      <c r="F559" s="6" t="s">
        <v>2354</v>
      </c>
      <c r="G559" s="2" t="s">
        <v>2355</v>
      </c>
      <c r="H559" s="2" t="s">
        <v>2354</v>
      </c>
      <c r="I559" s="2" t="s">
        <v>34</v>
      </c>
      <c r="J559" s="7">
        <v>267640.00510000001</v>
      </c>
      <c r="K559" s="7">
        <v>353930.12680000003</v>
      </c>
      <c r="L559" s="8">
        <v>164.72677630504899</v>
      </c>
      <c r="M559" s="8">
        <v>-21.008003026792601</v>
      </c>
      <c r="N559" s="2">
        <v>3</v>
      </c>
      <c r="O559" s="2">
        <v>3</v>
      </c>
      <c r="P559" s="2">
        <f>N559</f>
        <v>3</v>
      </c>
      <c r="Q559" s="2" t="s">
        <v>35</v>
      </c>
      <c r="R559" s="2" t="s">
        <v>2356</v>
      </c>
      <c r="S559" s="2" t="s">
        <v>37</v>
      </c>
      <c r="U559" s="2">
        <f>P559-N559</f>
        <v>0</v>
      </c>
      <c r="W559" s="30" t="s">
        <v>2354</v>
      </c>
      <c r="X559" s="2" t="s">
        <v>82</v>
      </c>
      <c r="Y559" s="6" t="s">
        <v>2354</v>
      </c>
      <c r="Z559" s="2" t="s">
        <v>73</v>
      </c>
      <c r="AA559" s="2" t="s">
        <v>2355</v>
      </c>
      <c r="AB559" s="2" t="str">
        <f>LEFT(A559,3)</f>
        <v>VAV</v>
      </c>
    </row>
    <row r="560" spans="1:28">
      <c r="A560" s="6" t="s">
        <v>2357</v>
      </c>
      <c r="B560" s="6" t="s">
        <v>29</v>
      </c>
      <c r="C560" s="6" t="s">
        <v>30</v>
      </c>
      <c r="D560" s="6" t="s">
        <v>2358</v>
      </c>
      <c r="E560" s="6" t="s">
        <v>2358</v>
      </c>
      <c r="F560" s="6" t="s">
        <v>2358</v>
      </c>
      <c r="G560" s="2" t="s">
        <v>2359</v>
      </c>
      <c r="H560" s="2" t="s">
        <v>188</v>
      </c>
      <c r="I560" s="2" t="s">
        <v>34</v>
      </c>
      <c r="J560" s="7">
        <v>447009.99011000001</v>
      </c>
      <c r="K560" s="7">
        <v>214964.99705999999</v>
      </c>
      <c r="L560" s="8">
        <v>166.45611706623799</v>
      </c>
      <c r="M560" s="8">
        <v>-22.2673965137446</v>
      </c>
      <c r="N560" s="2">
        <v>1</v>
      </c>
      <c r="O560" s="2">
        <v>2</v>
      </c>
      <c r="P560" s="2">
        <f>N560</f>
        <v>1</v>
      </c>
      <c r="Q560" s="2" t="s">
        <v>35</v>
      </c>
      <c r="R560" s="2" t="s">
        <v>2360</v>
      </c>
      <c r="S560" s="2" t="s">
        <v>37</v>
      </c>
      <c r="U560" s="2">
        <f>P560-N560</f>
        <v>0</v>
      </c>
      <c r="W560" s="30" t="s">
        <v>52</v>
      </c>
      <c r="X560" s="2" t="s">
        <v>39</v>
      </c>
      <c r="Y560" s="6" t="s">
        <v>2358</v>
      </c>
      <c r="Z560" s="2" t="s">
        <v>40</v>
      </c>
      <c r="AA560" s="2" t="s">
        <v>2359</v>
      </c>
      <c r="AB560" s="2" t="str">
        <f>LEFT(A560,3)</f>
        <v>VDC</v>
      </c>
    </row>
    <row r="561" spans="1:28">
      <c r="A561" s="6" t="s">
        <v>2361</v>
      </c>
      <c r="B561" s="6" t="s">
        <v>249</v>
      </c>
      <c r="C561" s="6" t="s">
        <v>68</v>
      </c>
      <c r="D561" s="6" t="s">
        <v>2362</v>
      </c>
      <c r="E561" s="6" t="s">
        <v>2362</v>
      </c>
      <c r="F561" s="6" t="s">
        <v>2362</v>
      </c>
      <c r="G561" s="2" t="s">
        <v>2363</v>
      </c>
      <c r="H561" s="2" t="s">
        <v>2362</v>
      </c>
      <c r="I561" s="2" t="s">
        <v>34</v>
      </c>
      <c r="J561" s="7">
        <v>264195.92071999999</v>
      </c>
      <c r="K561" s="7">
        <v>351537.15363000002</v>
      </c>
      <c r="L561" s="8">
        <v>164.69345623096001</v>
      </c>
      <c r="M561" s="8">
        <v>-21.029360734761401</v>
      </c>
      <c r="N561" s="2">
        <v>2</v>
      </c>
      <c r="O561" s="2">
        <v>4</v>
      </c>
      <c r="P561" s="2">
        <f>N561</f>
        <v>2</v>
      </c>
      <c r="Q561" s="2" t="s">
        <v>35</v>
      </c>
      <c r="R561" s="2" t="s">
        <v>2364</v>
      </c>
      <c r="S561" s="2" t="s">
        <v>47</v>
      </c>
      <c r="U561" s="2">
        <f>P561-N561</f>
        <v>0</v>
      </c>
      <c r="W561" s="30" t="s">
        <v>2362</v>
      </c>
      <c r="X561" s="2" t="s">
        <v>82</v>
      </c>
      <c r="Y561" s="6" t="s">
        <v>2362</v>
      </c>
      <c r="Z561" s="2" t="s">
        <v>73</v>
      </c>
      <c r="AA561" s="2" t="s">
        <v>2363</v>
      </c>
      <c r="AB561" s="2" t="str">
        <f>LEFT(A561,3)</f>
        <v>VED</v>
      </c>
    </row>
    <row r="562" spans="1:28">
      <c r="A562" s="6" t="s">
        <v>2365</v>
      </c>
      <c r="B562" s="6" t="s">
        <v>29</v>
      </c>
      <c r="C562" s="6" t="s">
        <v>30</v>
      </c>
      <c r="D562" s="6" t="s">
        <v>2366</v>
      </c>
      <c r="E562" s="6" t="s">
        <v>2366</v>
      </c>
      <c r="F562" s="6" t="s">
        <v>2366</v>
      </c>
      <c r="G562" s="2" t="s">
        <v>2367</v>
      </c>
      <c r="H562" s="2" t="s">
        <v>2366</v>
      </c>
      <c r="I562" s="2" t="s">
        <v>34</v>
      </c>
      <c r="J562" s="7">
        <v>446028.16217999998</v>
      </c>
      <c r="K562" s="7">
        <v>212138.02468999999</v>
      </c>
      <c r="L562" s="8">
        <v>166.446667583037</v>
      </c>
      <c r="M562" s="8">
        <v>-22.292951977133999</v>
      </c>
      <c r="N562" s="2">
        <v>3</v>
      </c>
      <c r="O562" s="2">
        <v>9</v>
      </c>
      <c r="P562" s="2">
        <f>N562</f>
        <v>3</v>
      </c>
      <c r="Q562" s="2" t="s">
        <v>35</v>
      </c>
      <c r="R562" s="2" t="s">
        <v>2368</v>
      </c>
      <c r="S562" s="2" t="s">
        <v>37</v>
      </c>
      <c r="U562" s="2">
        <f>P562-N562</f>
        <v>0</v>
      </c>
      <c r="W562" s="30" t="s">
        <v>2366</v>
      </c>
      <c r="X562" s="2" t="s">
        <v>39</v>
      </c>
      <c r="Y562" s="6" t="s">
        <v>2366</v>
      </c>
      <c r="Z562" s="2" t="s">
        <v>40</v>
      </c>
      <c r="AA562" s="2" t="s">
        <v>2367</v>
      </c>
      <c r="AB562" s="2" t="str">
        <f>LEFT(A562,3)</f>
        <v>VEL</v>
      </c>
    </row>
    <row r="563" spans="1:28">
      <c r="A563" s="6" t="s">
        <v>2369</v>
      </c>
      <c r="B563" s="6" t="s">
        <v>29</v>
      </c>
      <c r="C563" s="2" t="s">
        <v>30</v>
      </c>
      <c r="D563" s="6" t="s">
        <v>2370</v>
      </c>
      <c r="E563" s="6" t="s">
        <v>2370</v>
      </c>
      <c r="F563" s="6" t="s">
        <v>2370</v>
      </c>
      <c r="G563" s="2" t="s">
        <v>2371</v>
      </c>
      <c r="H563" s="2" t="s">
        <v>33</v>
      </c>
      <c r="I563" s="2" t="s">
        <v>34</v>
      </c>
      <c r="J563" s="7">
        <v>445925</v>
      </c>
      <c r="K563" s="7">
        <v>214663</v>
      </c>
      <c r="L563" s="9">
        <v>166.44559799999999</v>
      </c>
      <c r="M563" s="8">
        <v>-22.270152</v>
      </c>
      <c r="N563" s="2">
        <v>1</v>
      </c>
      <c r="O563" s="2">
        <v>2</v>
      </c>
      <c r="P563" s="2">
        <f>N563</f>
        <v>1</v>
      </c>
      <c r="Q563" s="6" t="s">
        <v>35</v>
      </c>
      <c r="R563" s="2" t="s">
        <v>2372</v>
      </c>
      <c r="S563" s="2" t="s">
        <v>37</v>
      </c>
      <c r="U563" s="2">
        <f>P563-N563</f>
        <v>0</v>
      </c>
      <c r="W563" s="30" t="s">
        <v>52</v>
      </c>
      <c r="X563" s="2" t="s">
        <v>39</v>
      </c>
      <c r="Y563" s="6" t="s">
        <v>2370</v>
      </c>
      <c r="Z563" s="2" t="s">
        <v>40</v>
      </c>
      <c r="AA563" s="2" t="s">
        <v>2371</v>
      </c>
      <c r="AB563" s="2" t="str">
        <f>LEFT(A563,3)</f>
        <v>VGE</v>
      </c>
    </row>
    <row r="564" spans="1:28">
      <c r="A564" s="2" t="s">
        <v>2373</v>
      </c>
      <c r="B564" s="2" t="s">
        <v>191</v>
      </c>
      <c r="C564" s="2" t="s">
        <v>43</v>
      </c>
      <c r="D564" s="6" t="s">
        <v>2374</v>
      </c>
      <c r="E564" s="2" t="s">
        <v>52</v>
      </c>
      <c r="F564" s="6" t="s">
        <v>2375</v>
      </c>
      <c r="G564" s="6" t="s">
        <v>2375</v>
      </c>
      <c r="H564" s="6" t="s">
        <v>2375</v>
      </c>
      <c r="I564" s="2" t="s">
        <v>53</v>
      </c>
      <c r="J564" s="7">
        <v>346187</v>
      </c>
      <c r="K564" s="7">
        <v>286339</v>
      </c>
      <c r="L564" s="9">
        <v>165.48017999999999</v>
      </c>
      <c r="M564" s="8">
        <v>-21.622579999999999</v>
      </c>
      <c r="N564" s="2">
        <v>3</v>
      </c>
      <c r="O564" s="2">
        <v>3</v>
      </c>
      <c r="P564" s="2">
        <v>3</v>
      </c>
      <c r="Q564" s="2" t="s">
        <v>35</v>
      </c>
      <c r="R564" s="2" t="s">
        <v>2376</v>
      </c>
      <c r="S564" s="2" t="s">
        <v>47</v>
      </c>
      <c r="U564" s="2">
        <f>P564-N564</f>
        <v>0</v>
      </c>
      <c r="W564" s="30" t="s">
        <v>52</v>
      </c>
      <c r="X564" s="6" t="s">
        <v>52</v>
      </c>
      <c r="Y564" s="6" t="s">
        <v>2375</v>
      </c>
      <c r="Z564" s="2" t="s">
        <v>73</v>
      </c>
      <c r="AA564" s="6" t="s">
        <v>2375</v>
      </c>
      <c r="AB564" s="2" t="str">
        <f>LEFT(A564,3)</f>
        <v>VID</v>
      </c>
    </row>
    <row r="565" spans="1:28">
      <c r="A565" s="2" t="s">
        <v>2377</v>
      </c>
      <c r="B565" s="2" t="s">
        <v>104</v>
      </c>
      <c r="C565" s="2" t="s">
        <v>68</v>
      </c>
      <c r="D565" s="2" t="s">
        <v>2378</v>
      </c>
      <c r="E565" s="2" t="s">
        <v>52</v>
      </c>
      <c r="F565" s="2" t="s">
        <v>1928</v>
      </c>
      <c r="G565" s="2" t="s">
        <v>1928</v>
      </c>
      <c r="H565" s="2" t="s">
        <v>1928</v>
      </c>
      <c r="I565" s="2" t="s">
        <v>53</v>
      </c>
      <c r="J565" s="2">
        <v>329238</v>
      </c>
      <c r="K565" s="7">
        <v>362419</v>
      </c>
      <c r="L565" s="2">
        <v>165.31966</v>
      </c>
      <c r="M565" s="2">
        <v>-20.934799999999999</v>
      </c>
      <c r="N565" s="2">
        <v>2</v>
      </c>
      <c r="O565" s="2">
        <v>2</v>
      </c>
      <c r="P565" s="2">
        <v>2</v>
      </c>
      <c r="Q565" s="2" t="s">
        <v>35</v>
      </c>
      <c r="R565" s="2" t="s">
        <v>2379</v>
      </c>
      <c r="S565" s="2" t="s">
        <v>47</v>
      </c>
      <c r="U565" s="2">
        <f>P565-N565</f>
        <v>0</v>
      </c>
      <c r="W565" s="30" t="s">
        <v>52</v>
      </c>
      <c r="X565" s="6" t="s">
        <v>52</v>
      </c>
      <c r="Y565" s="2" t="s">
        <v>1928</v>
      </c>
      <c r="Z565" s="2" t="s">
        <v>73</v>
      </c>
      <c r="AA565" s="2" t="s">
        <v>1928</v>
      </c>
      <c r="AB565" s="2" t="str">
        <f>LEFT(A565,3)</f>
        <v>VKO</v>
      </c>
    </row>
    <row r="566" spans="1:28">
      <c r="A566" s="2" t="s">
        <v>2380</v>
      </c>
      <c r="B566" s="6" t="s">
        <v>421</v>
      </c>
      <c r="C566" s="2" t="s">
        <v>43</v>
      </c>
      <c r="D566" s="6" t="s">
        <v>2381</v>
      </c>
      <c r="E566" s="2" t="s">
        <v>52</v>
      </c>
      <c r="F566" s="6" t="s">
        <v>2382</v>
      </c>
      <c r="G566" s="6" t="s">
        <v>2382</v>
      </c>
      <c r="H566" s="6" t="s">
        <v>2382</v>
      </c>
      <c r="I566" s="2" t="s">
        <v>53</v>
      </c>
      <c r="J566" s="7">
        <v>367774</v>
      </c>
      <c r="K566" s="7">
        <v>280414</v>
      </c>
      <c r="L566" s="79">
        <v>165.68859</v>
      </c>
      <c r="M566" s="79">
        <v>-21.676617</v>
      </c>
      <c r="N566" s="2">
        <v>3</v>
      </c>
      <c r="O566" s="2">
        <v>3</v>
      </c>
      <c r="P566" s="2">
        <v>3</v>
      </c>
      <c r="Q566" s="2" t="s">
        <v>35</v>
      </c>
      <c r="R566" s="2" t="s">
        <v>2383</v>
      </c>
      <c r="S566" s="2" t="s">
        <v>47</v>
      </c>
      <c r="U566" s="2">
        <f>P566-N566</f>
        <v>0</v>
      </c>
      <c r="W566" s="30" t="s">
        <v>52</v>
      </c>
      <c r="X566" s="6" t="s">
        <v>52</v>
      </c>
      <c r="Y566" s="6" t="s">
        <v>2382</v>
      </c>
      <c r="Z566" s="2" t="s">
        <v>40</v>
      </c>
      <c r="AA566" s="6" t="s">
        <v>2382</v>
      </c>
      <c r="AB566" s="2" t="str">
        <f>LEFT(A566,3)</f>
        <v>VMO</v>
      </c>
    </row>
    <row r="567" spans="1:28">
      <c r="A567" s="2" t="s">
        <v>2384</v>
      </c>
      <c r="B567" s="6" t="s">
        <v>249</v>
      </c>
      <c r="C567" s="2" t="s">
        <v>68</v>
      </c>
      <c r="D567" s="6" t="s">
        <v>249</v>
      </c>
      <c r="E567" s="2" t="s">
        <v>52</v>
      </c>
      <c r="F567" s="6" t="s">
        <v>2385</v>
      </c>
      <c r="G567" s="6" t="s">
        <v>2385</v>
      </c>
      <c r="H567" s="6" t="s">
        <v>2385</v>
      </c>
      <c r="I567" s="2" t="s">
        <v>53</v>
      </c>
      <c r="J567" s="7">
        <v>263733</v>
      </c>
      <c r="K567" s="7">
        <v>360332</v>
      </c>
      <c r="L567" s="79">
        <v>164.68970999999999</v>
      </c>
      <c r="M567" s="79">
        <v>-20.94989</v>
      </c>
      <c r="N567" s="2">
        <v>3</v>
      </c>
      <c r="O567" s="2">
        <v>3</v>
      </c>
      <c r="P567" s="2">
        <v>3</v>
      </c>
      <c r="Q567" s="2" t="s">
        <v>35</v>
      </c>
      <c r="R567" s="2" t="s">
        <v>249</v>
      </c>
      <c r="S567" s="2" t="s">
        <v>47</v>
      </c>
      <c r="U567" s="2">
        <f>P567-N567</f>
        <v>0</v>
      </c>
      <c r="W567" s="30" t="s">
        <v>52</v>
      </c>
      <c r="X567" s="6" t="s">
        <v>52</v>
      </c>
      <c r="Y567" s="6" t="s">
        <v>2385</v>
      </c>
      <c r="Z567" s="2" t="s">
        <v>73</v>
      </c>
      <c r="AA567" s="6" t="s">
        <v>2385</v>
      </c>
      <c r="AB567" s="2" t="str">
        <f>LEFT(A567,3)</f>
        <v>VOH</v>
      </c>
    </row>
    <row r="568" spans="1:28">
      <c r="A568" s="2" t="s">
        <v>2386</v>
      </c>
      <c r="B568" s="6" t="s">
        <v>437</v>
      </c>
      <c r="C568" s="2" t="s">
        <v>68</v>
      </c>
      <c r="D568" s="6" t="s">
        <v>2387</v>
      </c>
      <c r="E568" s="2" t="s">
        <v>52</v>
      </c>
      <c r="F568" s="6" t="s">
        <v>2388</v>
      </c>
      <c r="G568" s="6" t="s">
        <v>2388</v>
      </c>
      <c r="H568" s="6" t="s">
        <v>2388</v>
      </c>
      <c r="I568" s="2" t="s">
        <v>53</v>
      </c>
      <c r="J568" s="7">
        <v>242340</v>
      </c>
      <c r="K568" s="7">
        <v>379459</v>
      </c>
      <c r="L568" s="79">
        <v>164.48579799999999</v>
      </c>
      <c r="M568" s="79">
        <v>-20.775382</v>
      </c>
      <c r="N568" s="2">
        <v>3</v>
      </c>
      <c r="O568" s="2">
        <v>3</v>
      </c>
      <c r="P568" s="2">
        <v>3</v>
      </c>
      <c r="Q568" s="2" t="s">
        <v>35</v>
      </c>
      <c r="R568" s="2" t="s">
        <v>2389</v>
      </c>
      <c r="S568" s="2" t="s">
        <v>47</v>
      </c>
      <c r="U568" s="2">
        <f>P568-N568</f>
        <v>0</v>
      </c>
      <c r="W568" s="30" t="s">
        <v>52</v>
      </c>
      <c r="X568" s="6" t="s">
        <v>52</v>
      </c>
      <c r="Y568" s="6" t="s">
        <v>2388</v>
      </c>
      <c r="Z568" s="2" t="s">
        <v>73</v>
      </c>
      <c r="AA568" s="6" t="s">
        <v>2388</v>
      </c>
      <c r="AB568" s="2" t="str">
        <f>LEFT(A568,3)</f>
        <v>VTA</v>
      </c>
    </row>
    <row r="569" spans="1:28">
      <c r="A569" s="2" t="s">
        <v>2390</v>
      </c>
      <c r="B569" s="6" t="s">
        <v>56</v>
      </c>
      <c r="C569" s="2" t="s">
        <v>50</v>
      </c>
      <c r="D569" s="6" t="s">
        <v>2391</v>
      </c>
      <c r="E569" s="2" t="s">
        <v>52</v>
      </c>
      <c r="F569" s="6" t="s">
        <v>2391</v>
      </c>
      <c r="G569" s="6" t="s">
        <v>2391</v>
      </c>
      <c r="H569" s="6" t="s">
        <v>2391</v>
      </c>
      <c r="I569" s="2" t="s">
        <v>53</v>
      </c>
      <c r="J569" s="7">
        <v>436494</v>
      </c>
      <c r="K569" s="7">
        <v>254110</v>
      </c>
      <c r="L569" s="79">
        <v>166.353227</v>
      </c>
      <c r="M569" s="79">
        <v>-21.914113</v>
      </c>
      <c r="N569" s="2">
        <v>2</v>
      </c>
      <c r="O569" s="2">
        <v>2</v>
      </c>
      <c r="P569" s="2">
        <v>2</v>
      </c>
      <c r="Q569" s="2" t="s">
        <v>35</v>
      </c>
      <c r="R569" s="2" t="s">
        <v>2392</v>
      </c>
      <c r="S569" s="2" t="s">
        <v>47</v>
      </c>
      <c r="U569" s="2">
        <f>P569-N569</f>
        <v>0</v>
      </c>
      <c r="W569" s="30" t="s">
        <v>52</v>
      </c>
      <c r="X569" s="6" t="s">
        <v>52</v>
      </c>
      <c r="Y569" s="6" t="s">
        <v>2391</v>
      </c>
      <c r="Z569" s="2" t="s">
        <v>40</v>
      </c>
      <c r="AA569" s="6" t="s">
        <v>2391</v>
      </c>
      <c r="AB569" s="2" t="str">
        <f>LEFT(A569,3)</f>
        <v>VUL</v>
      </c>
    </row>
    <row r="570" spans="1:28">
      <c r="A570" s="6" t="s">
        <v>2393</v>
      </c>
      <c r="B570" s="6" t="s">
        <v>128</v>
      </c>
      <c r="C570" s="6" t="s">
        <v>129</v>
      </c>
      <c r="D570" s="6" t="s">
        <v>2394</v>
      </c>
      <c r="E570" s="6" t="s">
        <v>2394</v>
      </c>
      <c r="F570" s="6" t="s">
        <v>2394</v>
      </c>
      <c r="G570" s="2" t="s">
        <v>2395</v>
      </c>
      <c r="H570" s="2" t="s">
        <v>2394</v>
      </c>
      <c r="I570" s="2" t="s">
        <v>34</v>
      </c>
      <c r="J570" s="7">
        <v>458890.82853</v>
      </c>
      <c r="K570" s="7">
        <v>399693.95740999997</v>
      </c>
      <c r="L570" s="8">
        <v>166.56491524152901</v>
      </c>
      <c r="M570" s="8">
        <v>-20.5985468680209</v>
      </c>
      <c r="N570" s="2">
        <v>2</v>
      </c>
      <c r="O570" s="2">
        <v>2</v>
      </c>
      <c r="P570" s="2">
        <f>N570</f>
        <v>2</v>
      </c>
      <c r="Q570" s="6" t="s">
        <v>35</v>
      </c>
      <c r="R570" s="2" t="s">
        <v>2396</v>
      </c>
      <c r="S570" s="2" t="s">
        <v>47</v>
      </c>
      <c r="U570" s="2">
        <f>P570-N570</f>
        <v>0</v>
      </c>
      <c r="W570" s="30" t="s">
        <v>2394</v>
      </c>
      <c r="X570" s="2" t="s">
        <v>82</v>
      </c>
      <c r="Y570" s="6" t="s">
        <v>2394</v>
      </c>
      <c r="Z570" s="2" t="s">
        <v>73</v>
      </c>
      <c r="AA570" s="2" t="s">
        <v>2395</v>
      </c>
      <c r="AB570" s="2" t="str">
        <f>LEFT(A570,3)</f>
        <v>WAD</v>
      </c>
    </row>
    <row r="571" spans="1:28">
      <c r="A571" s="6" t="s">
        <v>2397</v>
      </c>
      <c r="B571" s="6" t="s">
        <v>249</v>
      </c>
      <c r="C571" s="6" t="s">
        <v>68</v>
      </c>
      <c r="D571" s="6" t="s">
        <v>2398</v>
      </c>
      <c r="E571" s="6" t="s">
        <v>2399</v>
      </c>
      <c r="F571" s="6" t="s">
        <v>2400</v>
      </c>
      <c r="G571" s="6" t="s">
        <v>2400</v>
      </c>
      <c r="H571" s="2" t="s">
        <v>476</v>
      </c>
      <c r="I571" s="2" t="s">
        <v>34</v>
      </c>
      <c r="J571" s="7">
        <v>264970</v>
      </c>
      <c r="K571" s="7">
        <v>383996.90629999997</v>
      </c>
      <c r="L571" s="8">
        <v>164.70349235330099</v>
      </c>
      <c r="M571" s="8">
        <v>-20.7362316642526</v>
      </c>
      <c r="N571" s="2">
        <v>2</v>
      </c>
      <c r="O571" s="2">
        <v>2</v>
      </c>
      <c r="P571" s="2">
        <v>2</v>
      </c>
      <c r="Q571" s="6" t="s">
        <v>195</v>
      </c>
      <c r="R571" s="2" t="s">
        <v>2401</v>
      </c>
      <c r="S571" s="2" t="s">
        <v>47</v>
      </c>
      <c r="U571" s="2">
        <f>P571-N571</f>
        <v>0</v>
      </c>
      <c r="V571" s="2" t="s">
        <v>102</v>
      </c>
      <c r="W571" s="30" t="s">
        <v>2399</v>
      </c>
      <c r="X571" s="2" t="s">
        <v>82</v>
      </c>
      <c r="Y571" s="6" t="s">
        <v>2400</v>
      </c>
      <c r="Z571" s="2" t="s">
        <v>73</v>
      </c>
      <c r="AA571" s="6" t="s">
        <v>2400</v>
      </c>
      <c r="AB571" s="2" t="str">
        <f>LEFT(A571,3)</f>
        <v>WAH</v>
      </c>
    </row>
    <row r="572" spans="1:28">
      <c r="A572" s="6" t="s">
        <v>2402</v>
      </c>
      <c r="B572" s="6" t="s">
        <v>351</v>
      </c>
      <c r="C572" s="6" t="s">
        <v>129</v>
      </c>
      <c r="D572" s="6" t="s">
        <v>2403</v>
      </c>
      <c r="E572" s="6" t="s">
        <v>2403</v>
      </c>
      <c r="F572" s="6" t="s">
        <v>2404</v>
      </c>
      <c r="G572" s="6" t="s">
        <v>2404</v>
      </c>
      <c r="H572" s="2" t="s">
        <v>2403</v>
      </c>
      <c r="I572" s="2" t="s">
        <v>34</v>
      </c>
      <c r="J572" s="7">
        <v>595993.69056000002</v>
      </c>
      <c r="K572" s="7">
        <v>305988.20536000002</v>
      </c>
      <c r="L572" s="8">
        <v>167.89087262591801</v>
      </c>
      <c r="M572" s="8">
        <v>-21.435206790365498</v>
      </c>
      <c r="N572" s="2">
        <v>3</v>
      </c>
      <c r="O572" s="2">
        <v>3</v>
      </c>
      <c r="P572" s="2">
        <v>3</v>
      </c>
      <c r="Q572" s="6" t="s">
        <v>35</v>
      </c>
      <c r="R572" s="2" t="s">
        <v>2405</v>
      </c>
      <c r="S572" s="2" t="s">
        <v>47</v>
      </c>
      <c r="U572" s="2">
        <f>P572-N572</f>
        <v>0</v>
      </c>
      <c r="V572" s="2" t="s">
        <v>102</v>
      </c>
      <c r="W572" s="30" t="s">
        <v>2403</v>
      </c>
      <c r="X572" s="2" t="s">
        <v>82</v>
      </c>
      <c r="Y572" s="6" t="s">
        <v>2404</v>
      </c>
      <c r="Z572" s="2" t="s">
        <v>73</v>
      </c>
      <c r="AA572" s="6" t="s">
        <v>2404</v>
      </c>
      <c r="AB572" s="2" t="str">
        <f>LEFT(A572,3)</f>
        <v>WAK</v>
      </c>
    </row>
    <row r="573" spans="1:28">
      <c r="A573" s="3" t="s">
        <v>2406</v>
      </c>
      <c r="B573" s="3" t="s">
        <v>373</v>
      </c>
      <c r="C573" s="3" t="s">
        <v>129</v>
      </c>
      <c r="D573" s="3" t="s">
        <v>2407</v>
      </c>
      <c r="E573" s="2" t="s">
        <v>52</v>
      </c>
      <c r="F573" s="3" t="s">
        <v>2408</v>
      </c>
      <c r="G573" s="3" t="s">
        <v>2408</v>
      </c>
      <c r="H573" s="3" t="s">
        <v>2408</v>
      </c>
      <c r="I573" s="6" t="s">
        <v>53</v>
      </c>
      <c r="J573" s="3">
        <v>529118</v>
      </c>
      <c r="K573" s="7">
        <v>379414</v>
      </c>
      <c r="L573" s="9">
        <v>167.24009000000001</v>
      </c>
      <c r="M573" s="8">
        <v>-20.77806</v>
      </c>
      <c r="N573" s="2">
        <v>1</v>
      </c>
      <c r="O573" s="2">
        <v>1</v>
      </c>
      <c r="P573" s="2">
        <v>1</v>
      </c>
      <c r="Q573" s="2" t="s">
        <v>35</v>
      </c>
      <c r="R573" s="2" t="s">
        <v>2409</v>
      </c>
      <c r="S573" s="2" t="s">
        <v>47</v>
      </c>
      <c r="U573" s="2">
        <v>0</v>
      </c>
      <c r="W573" s="30" t="s">
        <v>52</v>
      </c>
      <c r="X573" s="6" t="s">
        <v>52</v>
      </c>
      <c r="Y573" s="3" t="s">
        <v>2408</v>
      </c>
      <c r="Z573" s="2" t="s">
        <v>73</v>
      </c>
      <c r="AA573" s="3" t="s">
        <v>2408</v>
      </c>
      <c r="AB573" s="2" t="str">
        <f>LEFT(A573,3)</f>
        <v>WAN</v>
      </c>
    </row>
    <row r="574" spans="1:28">
      <c r="A574" s="6" t="s">
        <v>2410</v>
      </c>
      <c r="B574" s="6" t="s">
        <v>29</v>
      </c>
      <c r="C574" s="6" t="s">
        <v>30</v>
      </c>
      <c r="D574" s="6" t="s">
        <v>2411</v>
      </c>
      <c r="E574" s="6" t="s">
        <v>2411</v>
      </c>
      <c r="F574" s="6" t="s">
        <v>2411</v>
      </c>
      <c r="G574" s="2" t="s">
        <v>2412</v>
      </c>
      <c r="H574" s="2" t="s">
        <v>2411</v>
      </c>
      <c r="I574" s="2" t="s">
        <v>34</v>
      </c>
      <c r="J574" s="7">
        <v>445189</v>
      </c>
      <c r="K574" s="7">
        <v>212350</v>
      </c>
      <c r="L574" s="8">
        <v>166.43851998270901</v>
      </c>
      <c r="M574" s="8">
        <v>-22.291058923036999</v>
      </c>
      <c r="N574" s="2">
        <v>3</v>
      </c>
      <c r="O574" s="2">
        <v>9</v>
      </c>
      <c r="P574" s="2">
        <v>9</v>
      </c>
      <c r="Q574" s="6" t="s">
        <v>35</v>
      </c>
      <c r="R574" s="2" t="s">
        <v>2413</v>
      </c>
      <c r="S574" s="2" t="s">
        <v>37</v>
      </c>
      <c r="U574" s="2">
        <f>P574-N574</f>
        <v>6</v>
      </c>
      <c r="W574" s="30" t="s">
        <v>52</v>
      </c>
      <c r="X574" s="2" t="s">
        <v>39</v>
      </c>
      <c r="Y574" s="6" t="s">
        <v>2411</v>
      </c>
      <c r="Z574" s="2" t="s">
        <v>40</v>
      </c>
      <c r="AA574" s="2" t="s">
        <v>2412</v>
      </c>
      <c r="AB574" s="2" t="str">
        <f>LEFT(A574,3)</f>
        <v>WAR</v>
      </c>
    </row>
    <row r="575" spans="1:28">
      <c r="A575" s="6" t="s">
        <v>2414</v>
      </c>
      <c r="B575" s="6" t="s">
        <v>437</v>
      </c>
      <c r="C575" s="6" t="s">
        <v>68</v>
      </c>
      <c r="D575" s="6" t="s">
        <v>1480</v>
      </c>
      <c r="E575" s="6" t="s">
        <v>1480</v>
      </c>
      <c r="F575" s="6" t="s">
        <v>2415</v>
      </c>
      <c r="G575" s="2" t="s">
        <v>2415</v>
      </c>
      <c r="H575" s="2" t="s">
        <v>1480</v>
      </c>
      <c r="I575" s="2" t="s">
        <v>34</v>
      </c>
      <c r="J575" s="7">
        <v>255525</v>
      </c>
      <c r="K575" s="7">
        <v>398609</v>
      </c>
      <c r="L575" s="8">
        <v>164.61405341188799</v>
      </c>
      <c r="M575" s="8">
        <v>-20.6035233412643</v>
      </c>
      <c r="N575" s="2">
        <v>2</v>
      </c>
      <c r="O575" s="2">
        <v>2</v>
      </c>
      <c r="P575" s="2">
        <v>2</v>
      </c>
      <c r="Q575" s="2" t="s">
        <v>195</v>
      </c>
      <c r="R575" s="2" t="s">
        <v>2416</v>
      </c>
      <c r="S575" s="2" t="s">
        <v>47</v>
      </c>
      <c r="U575" s="2">
        <f>P575-N575</f>
        <v>0</v>
      </c>
      <c r="W575" s="30" t="s">
        <v>2417</v>
      </c>
      <c r="X575" s="2" t="s">
        <v>82</v>
      </c>
      <c r="Y575" s="6" t="s">
        <v>2415</v>
      </c>
      <c r="Z575" s="2" t="s">
        <v>73</v>
      </c>
      <c r="AA575" s="2" t="s">
        <v>2415</v>
      </c>
      <c r="AB575" s="2" t="str">
        <f>LEFT(A575,3)</f>
        <v>WAY</v>
      </c>
    </row>
    <row r="576" spans="1:28">
      <c r="A576" s="6" t="s">
        <v>2418</v>
      </c>
      <c r="B576" s="6" t="s">
        <v>331</v>
      </c>
      <c r="C576" s="6" t="s">
        <v>43</v>
      </c>
      <c r="D576" s="6" t="s">
        <v>2419</v>
      </c>
      <c r="E576" s="6" t="s">
        <v>2419</v>
      </c>
      <c r="F576" s="6" t="s">
        <v>2419</v>
      </c>
      <c r="G576" s="2" t="s">
        <v>2420</v>
      </c>
      <c r="H576" s="2" t="s">
        <v>2419</v>
      </c>
      <c r="I576" s="2" t="s">
        <v>34</v>
      </c>
      <c r="J576" s="7">
        <v>548463.86357000005</v>
      </c>
      <c r="K576" s="7">
        <v>174307.88642</v>
      </c>
      <c r="L576" s="8">
        <v>167.44408715027299</v>
      </c>
      <c r="M576" s="8">
        <v>-22.628962780157</v>
      </c>
      <c r="N576" s="2">
        <v>2</v>
      </c>
      <c r="O576" s="2">
        <v>2</v>
      </c>
      <c r="P576" s="2">
        <f>N576</f>
        <v>2</v>
      </c>
      <c r="Q576" s="2" t="s">
        <v>35</v>
      </c>
      <c r="R576" s="2" t="s">
        <v>2421</v>
      </c>
      <c r="S576" s="2" t="s">
        <v>47</v>
      </c>
      <c r="U576" s="2">
        <f>P576-N576</f>
        <v>0</v>
      </c>
      <c r="W576" s="30" t="s">
        <v>2419</v>
      </c>
      <c r="X576" s="2" t="s">
        <v>39</v>
      </c>
      <c r="Y576" s="6" t="s">
        <v>2419</v>
      </c>
      <c r="Z576" s="2" t="s">
        <v>40</v>
      </c>
      <c r="AA576" s="2" t="s">
        <v>2420</v>
      </c>
      <c r="AB576" s="2" t="str">
        <f>LEFT(A576,3)</f>
        <v>WDE</v>
      </c>
    </row>
    <row r="577" spans="1:28">
      <c r="A577" s="6" t="s">
        <v>2422</v>
      </c>
      <c r="B577" s="6" t="s">
        <v>373</v>
      </c>
      <c r="C577" s="6" t="s">
        <v>129</v>
      </c>
      <c r="D577" s="6" t="s">
        <v>2423</v>
      </c>
      <c r="E577" s="6" t="s">
        <v>2423</v>
      </c>
      <c r="F577" s="6" t="s">
        <v>2423</v>
      </c>
      <c r="G577" s="2" t="s">
        <v>2424</v>
      </c>
      <c r="H577" s="2" t="s">
        <v>2423</v>
      </c>
      <c r="I577" s="2" t="s">
        <v>34</v>
      </c>
      <c r="J577" s="7">
        <v>515427.01225999999</v>
      </c>
      <c r="K577" s="7">
        <v>356616.96840999997</v>
      </c>
      <c r="L577" s="8">
        <v>167.110160731685</v>
      </c>
      <c r="M577" s="8">
        <v>-20.9848989661612</v>
      </c>
      <c r="N577" s="2">
        <v>2</v>
      </c>
      <c r="O577" s="2">
        <v>2</v>
      </c>
      <c r="P577" s="2">
        <f>N577</f>
        <v>2</v>
      </c>
      <c r="Q577" s="2" t="s">
        <v>35</v>
      </c>
      <c r="R577" s="2" t="s">
        <v>2425</v>
      </c>
      <c r="S577" s="2" t="s">
        <v>47</v>
      </c>
      <c r="U577" s="2">
        <f>P577-N577</f>
        <v>0</v>
      </c>
      <c r="W577" s="30" t="s">
        <v>2423</v>
      </c>
      <c r="X577" s="2" t="s">
        <v>82</v>
      </c>
      <c r="Y577" s="6" t="s">
        <v>2423</v>
      </c>
      <c r="Z577" s="2" t="s">
        <v>73</v>
      </c>
      <c r="AA577" s="2" t="s">
        <v>2424</v>
      </c>
      <c r="AB577" s="2" t="str">
        <f>LEFT(A577,3)</f>
        <v>WED</v>
      </c>
    </row>
    <row r="578" spans="1:28">
      <c r="A578" s="6" t="s">
        <v>2426</v>
      </c>
      <c r="B578" s="6" t="s">
        <v>373</v>
      </c>
      <c r="C578" s="6" t="s">
        <v>129</v>
      </c>
      <c r="D578" s="6" t="s">
        <v>2427</v>
      </c>
      <c r="E578" s="6" t="s">
        <v>2428</v>
      </c>
      <c r="F578" s="6" t="s">
        <v>2427</v>
      </c>
      <c r="G578" s="2" t="s">
        <v>2427</v>
      </c>
      <c r="H578" s="2" t="s">
        <v>554</v>
      </c>
      <c r="I578" s="2" t="s">
        <v>34</v>
      </c>
      <c r="J578" s="7">
        <v>531097.4976</v>
      </c>
      <c r="K578" s="7">
        <v>363398.60995000001</v>
      </c>
      <c r="L578" s="8">
        <v>167.26034057976401</v>
      </c>
      <c r="M578" s="8">
        <v>-20.9225683214089</v>
      </c>
      <c r="N578" s="2">
        <v>3</v>
      </c>
      <c r="O578" s="2">
        <v>6</v>
      </c>
      <c r="P578" s="2">
        <v>6</v>
      </c>
      <c r="Q578" s="2" t="s">
        <v>35</v>
      </c>
      <c r="R578" s="2" t="s">
        <v>2428</v>
      </c>
      <c r="S578" s="2" t="s">
        <v>47</v>
      </c>
      <c r="U578" s="2">
        <f>P578-N578</f>
        <v>3</v>
      </c>
      <c r="W578" s="30" t="s">
        <v>2428</v>
      </c>
      <c r="X578" s="2" t="s">
        <v>82</v>
      </c>
      <c r="Y578" s="6" t="s">
        <v>2427</v>
      </c>
      <c r="Z578" s="2" t="s">
        <v>73</v>
      </c>
      <c r="AA578" s="6" t="s">
        <v>2427</v>
      </c>
      <c r="AB578" s="2" t="str">
        <f>LEFT(A578,3)</f>
        <v>WEE</v>
      </c>
    </row>
    <row r="579" spans="1:28">
      <c r="A579" s="6" t="s">
        <v>2429</v>
      </c>
      <c r="B579" s="6" t="s">
        <v>178</v>
      </c>
      <c r="C579" s="6" t="s">
        <v>68</v>
      </c>
      <c r="D579" s="6" t="s">
        <v>2430</v>
      </c>
      <c r="E579" s="6" t="s">
        <v>52</v>
      </c>
      <c r="F579" s="6" t="s">
        <v>2430</v>
      </c>
      <c r="G579" s="6" t="s">
        <v>2430</v>
      </c>
      <c r="H579" s="6" t="s">
        <v>2430</v>
      </c>
      <c r="I579" s="6" t="s">
        <v>53</v>
      </c>
      <c r="J579" s="7">
        <v>285786</v>
      </c>
      <c r="K579" s="7">
        <v>342073</v>
      </c>
      <c r="L579" s="8">
        <v>164.900522</v>
      </c>
      <c r="M579" s="8">
        <v>-21.116344000000002</v>
      </c>
      <c r="N579" s="2">
        <v>3</v>
      </c>
      <c r="O579" s="2">
        <v>3</v>
      </c>
      <c r="P579" s="2">
        <v>3</v>
      </c>
      <c r="Q579" s="2" t="s">
        <v>35</v>
      </c>
      <c r="R579" s="2" t="s">
        <v>2431</v>
      </c>
      <c r="S579" s="2" t="s">
        <v>37</v>
      </c>
      <c r="U579" s="2">
        <f>P579-N579</f>
        <v>0</v>
      </c>
      <c r="W579" s="30" t="s">
        <v>52</v>
      </c>
      <c r="X579" s="2" t="s">
        <v>52</v>
      </c>
      <c r="Y579" s="6" t="s">
        <v>2430</v>
      </c>
      <c r="Z579" s="2" t="s">
        <v>73</v>
      </c>
      <c r="AA579" s="6" t="s">
        <v>2430</v>
      </c>
      <c r="AB579" s="2" t="str">
        <f>LEFT(A579,3)</f>
        <v>WEP</v>
      </c>
    </row>
    <row r="580" spans="1:28">
      <c r="A580" s="6" t="s">
        <v>2432</v>
      </c>
      <c r="B580" s="6" t="s">
        <v>351</v>
      </c>
      <c r="C580" s="6" t="s">
        <v>129</v>
      </c>
      <c r="D580" s="6" t="s">
        <v>2433</v>
      </c>
      <c r="E580" s="6" t="s">
        <v>2433</v>
      </c>
      <c r="F580" s="6" t="s">
        <v>2433</v>
      </c>
      <c r="G580" s="2" t="s">
        <v>2434</v>
      </c>
      <c r="H580" s="2" t="s">
        <v>2433</v>
      </c>
      <c r="I580" s="2" t="s">
        <v>34</v>
      </c>
      <c r="J580" s="7">
        <v>616551.82405000005</v>
      </c>
      <c r="K580" s="7">
        <v>303515.83306999999</v>
      </c>
      <c r="L580" s="8">
        <v>168.089504337487</v>
      </c>
      <c r="M580" s="8">
        <v>-21.455169375536201</v>
      </c>
      <c r="N580" s="2">
        <v>2</v>
      </c>
      <c r="O580" s="2">
        <v>2</v>
      </c>
      <c r="P580" s="2">
        <f>N580</f>
        <v>2</v>
      </c>
      <c r="Q580" s="2" t="s">
        <v>35</v>
      </c>
      <c r="R580" s="2" t="s">
        <v>2435</v>
      </c>
      <c r="S580" s="2" t="s">
        <v>47</v>
      </c>
      <c r="U580" s="2">
        <f>P580-N580</f>
        <v>0</v>
      </c>
      <c r="W580" s="30" t="s">
        <v>2433</v>
      </c>
      <c r="X580" s="2" t="s">
        <v>82</v>
      </c>
      <c r="Y580" s="6" t="s">
        <v>2433</v>
      </c>
      <c r="Z580" s="2" t="s">
        <v>73</v>
      </c>
      <c r="AA580" s="2" t="s">
        <v>2434</v>
      </c>
      <c r="AB580" s="2" t="str">
        <f>LEFT(A580,3)</f>
        <v>WKN</v>
      </c>
    </row>
    <row r="581" spans="1:28">
      <c r="A581" s="6" t="s">
        <v>2436</v>
      </c>
      <c r="B581" s="6" t="s">
        <v>142</v>
      </c>
      <c r="C581" s="6" t="s">
        <v>43</v>
      </c>
      <c r="D581" s="6" t="s">
        <v>142</v>
      </c>
      <c r="E581" s="6" t="s">
        <v>142</v>
      </c>
      <c r="F581" s="6" t="s">
        <v>2437</v>
      </c>
      <c r="G581" s="2" t="s">
        <v>2437</v>
      </c>
      <c r="H581" s="2" t="s">
        <v>142</v>
      </c>
      <c r="I581" s="2" t="s">
        <v>34</v>
      </c>
      <c r="J581" s="7">
        <v>494103.9803</v>
      </c>
      <c r="K581" s="7">
        <v>227320.98813000001</v>
      </c>
      <c r="L581" s="8">
        <v>166.91234170492501</v>
      </c>
      <c r="M581" s="8">
        <v>-22.153949156349601</v>
      </c>
      <c r="N581" s="2">
        <v>2</v>
      </c>
      <c r="O581" s="2">
        <v>2</v>
      </c>
      <c r="P581" s="2">
        <v>2</v>
      </c>
      <c r="Q581" s="2" t="s">
        <v>35</v>
      </c>
      <c r="R581" s="2" t="s">
        <v>2438</v>
      </c>
      <c r="S581" s="2" t="s">
        <v>47</v>
      </c>
      <c r="U581" s="2">
        <f>P581-N581</f>
        <v>0</v>
      </c>
      <c r="W581" s="30" t="s">
        <v>142</v>
      </c>
      <c r="X581" s="2" t="s">
        <v>39</v>
      </c>
      <c r="Y581" s="6" t="s">
        <v>2437</v>
      </c>
      <c r="Z581" s="2" t="s">
        <v>40</v>
      </c>
      <c r="AA581" s="6" t="s">
        <v>2437</v>
      </c>
      <c r="AB581" s="2" t="str">
        <f>LEFT(A581,3)</f>
        <v>YAC</v>
      </c>
    </row>
    <row r="582" spans="1:28">
      <c r="A582" s="6" t="s">
        <v>2439</v>
      </c>
      <c r="B582" s="6" t="s">
        <v>684</v>
      </c>
      <c r="C582" s="6" t="s">
        <v>68</v>
      </c>
      <c r="D582" s="6" t="s">
        <v>2440</v>
      </c>
      <c r="E582" s="6" t="s">
        <v>2440</v>
      </c>
      <c r="F582" s="6" t="s">
        <v>2441</v>
      </c>
      <c r="G582" s="6" t="s">
        <v>2441</v>
      </c>
      <c r="H582" s="2" t="s">
        <v>686</v>
      </c>
      <c r="I582" s="2" t="s">
        <v>34</v>
      </c>
      <c r="J582" s="7">
        <v>272295</v>
      </c>
      <c r="K582" s="7">
        <v>389320</v>
      </c>
      <c r="L582" s="8">
        <v>164.77422205125399</v>
      </c>
      <c r="M582" s="8">
        <v>-20.688687310369399</v>
      </c>
      <c r="N582" s="2">
        <v>2</v>
      </c>
      <c r="O582" s="2">
        <v>2</v>
      </c>
      <c r="P582" s="2">
        <v>2</v>
      </c>
      <c r="Q582" s="2" t="s">
        <v>195</v>
      </c>
      <c r="R582" s="2" t="s">
        <v>2442</v>
      </c>
      <c r="S582" s="2" t="s">
        <v>47</v>
      </c>
      <c r="U582" s="2">
        <f>P582-N582</f>
        <v>0</v>
      </c>
      <c r="W582" s="30" t="s">
        <v>2443</v>
      </c>
      <c r="X582" s="2" t="s">
        <v>82</v>
      </c>
      <c r="Y582" s="6" t="s">
        <v>2441</v>
      </c>
      <c r="Z582" s="2" t="s">
        <v>73</v>
      </c>
      <c r="AA582" s="6" t="s">
        <v>2441</v>
      </c>
      <c r="AB582" s="2" t="str">
        <f>LEFT(A582,3)</f>
        <v>YAD</v>
      </c>
    </row>
    <row r="583" spans="1:28">
      <c r="A583" s="6" t="s">
        <v>2444</v>
      </c>
      <c r="B583" s="6" t="s">
        <v>297</v>
      </c>
      <c r="C583" s="6" t="s">
        <v>68</v>
      </c>
      <c r="D583" s="6" t="s">
        <v>2445</v>
      </c>
      <c r="E583" s="6" t="s">
        <v>2445</v>
      </c>
      <c r="F583" s="6" t="s">
        <v>2445</v>
      </c>
      <c r="G583" s="2" t="s">
        <v>2446</v>
      </c>
      <c r="H583" s="2" t="s">
        <v>413</v>
      </c>
      <c r="I583" s="2" t="s">
        <v>34</v>
      </c>
      <c r="J583" s="7">
        <v>260533.99030999999</v>
      </c>
      <c r="K583" s="7">
        <v>416296.02354000002</v>
      </c>
      <c r="L583" s="8">
        <v>164.66355279038501</v>
      </c>
      <c r="M583" s="8">
        <v>-20.444171185082499</v>
      </c>
      <c r="N583" s="2">
        <v>2</v>
      </c>
      <c r="O583" s="2">
        <v>2</v>
      </c>
      <c r="P583" s="2">
        <f>N583</f>
        <v>2</v>
      </c>
      <c r="Q583" s="2" t="s">
        <v>35</v>
      </c>
      <c r="R583" s="2" t="s">
        <v>2447</v>
      </c>
      <c r="S583" s="2" t="s">
        <v>47</v>
      </c>
      <c r="U583" s="2">
        <f>P583-N583</f>
        <v>0</v>
      </c>
      <c r="W583" s="30" t="s">
        <v>2445</v>
      </c>
      <c r="X583" s="2" t="s">
        <v>82</v>
      </c>
      <c r="Y583" s="6" t="s">
        <v>2445</v>
      </c>
      <c r="Z583" s="2" t="s">
        <v>73</v>
      </c>
      <c r="AA583" s="2" t="s">
        <v>2446</v>
      </c>
      <c r="AB583" s="2" t="str">
        <f>LEFT(A583,3)</f>
        <v>YAM</v>
      </c>
    </row>
    <row r="584" spans="1:28">
      <c r="A584" s="6" t="s">
        <v>2448</v>
      </c>
      <c r="B584" s="6" t="s">
        <v>142</v>
      </c>
      <c r="C584" s="6" t="s">
        <v>43</v>
      </c>
      <c r="D584" s="6" t="s">
        <v>854</v>
      </c>
      <c r="E584" s="6" t="s">
        <v>854</v>
      </c>
      <c r="F584" s="6" t="s">
        <v>854</v>
      </c>
      <c r="G584" s="2" t="s">
        <v>2449</v>
      </c>
      <c r="H584" s="2" t="s">
        <v>854</v>
      </c>
      <c r="I584" s="2" t="s">
        <v>34</v>
      </c>
      <c r="J584" s="7">
        <v>497147.58782000002</v>
      </c>
      <c r="K584" s="7">
        <v>226823.11217000001</v>
      </c>
      <c r="L584" s="8">
        <v>166.94188178235001</v>
      </c>
      <c r="M584" s="8">
        <v>-22.1582835499024</v>
      </c>
      <c r="N584" s="2">
        <v>1</v>
      </c>
      <c r="O584" s="2">
        <v>1</v>
      </c>
      <c r="P584" s="2">
        <f>N584</f>
        <v>1</v>
      </c>
      <c r="Q584" s="2" t="s">
        <v>35</v>
      </c>
      <c r="R584" s="2" t="s">
        <v>2450</v>
      </c>
      <c r="S584" s="2" t="s">
        <v>47</v>
      </c>
      <c r="U584" s="2">
        <f>P584-N584</f>
        <v>0</v>
      </c>
      <c r="W584" s="30" t="s">
        <v>854</v>
      </c>
      <c r="X584" s="2" t="s">
        <v>39</v>
      </c>
      <c r="Y584" s="6" t="s">
        <v>854</v>
      </c>
      <c r="Z584" s="2" t="s">
        <v>40</v>
      </c>
      <c r="AA584" s="2" t="s">
        <v>2449</v>
      </c>
      <c r="AB584" s="2" t="str">
        <f>LEFT(A584,3)</f>
        <v>YAT</v>
      </c>
    </row>
    <row r="585" spans="1:28" customFormat="1">
      <c r="A585" s="6" t="s">
        <v>2451</v>
      </c>
      <c r="B585" s="6" t="s">
        <v>56</v>
      </c>
      <c r="C585" s="6" t="s">
        <v>50</v>
      </c>
      <c r="D585" s="6" t="s">
        <v>2452</v>
      </c>
      <c r="E585" s="6" t="s">
        <v>52</v>
      </c>
      <c r="F585" s="6" t="s">
        <v>2453</v>
      </c>
      <c r="G585" s="6" t="s">
        <v>2453</v>
      </c>
      <c r="H585" s="6" t="s">
        <v>2452</v>
      </c>
      <c r="I585" s="2" t="s">
        <v>53</v>
      </c>
      <c r="J585" s="7">
        <v>438653</v>
      </c>
      <c r="K585" s="7">
        <v>227058</v>
      </c>
      <c r="L585" s="8">
        <v>166.374752</v>
      </c>
      <c r="M585" s="8">
        <v>-22.158296</v>
      </c>
      <c r="N585" s="2">
        <v>3</v>
      </c>
      <c r="O585" s="2">
        <v>3</v>
      </c>
      <c r="P585" s="2">
        <f>N585</f>
        <v>3</v>
      </c>
      <c r="Q585" s="2" t="s">
        <v>35</v>
      </c>
      <c r="R585" s="2" t="s">
        <v>2454</v>
      </c>
      <c r="S585" s="2" t="s">
        <v>37</v>
      </c>
      <c r="T585" s="2"/>
      <c r="U585" s="2">
        <f>P585-N585</f>
        <v>0</v>
      </c>
      <c r="V585" s="2"/>
      <c r="W585" s="30" t="s">
        <v>52</v>
      </c>
      <c r="X585" s="2" t="s">
        <v>52</v>
      </c>
      <c r="Y585" s="6" t="s">
        <v>2453</v>
      </c>
      <c r="Z585" s="2" t="s">
        <v>40</v>
      </c>
      <c r="AA585" s="2" t="s">
        <v>2453</v>
      </c>
      <c r="AB585" s="2" t="str">
        <f>LEFT(A585,3)</f>
        <v>ZIC</v>
      </c>
    </row>
    <row r="586" spans="1:28" customFormat="1">
      <c r="A586" s="6" t="s">
        <v>2455</v>
      </c>
      <c r="B586" s="6" t="s">
        <v>56</v>
      </c>
      <c r="C586" s="6" t="s">
        <v>50</v>
      </c>
      <c r="D586" s="6" t="s">
        <v>2456</v>
      </c>
      <c r="E586" s="6" t="s">
        <v>52</v>
      </c>
      <c r="F586" s="6" t="s">
        <v>2457</v>
      </c>
      <c r="G586" s="2" t="s">
        <v>2457</v>
      </c>
      <c r="H586" s="2" t="s">
        <v>2456</v>
      </c>
      <c r="I586" s="2" t="s">
        <v>53</v>
      </c>
      <c r="J586" s="7">
        <v>438640</v>
      </c>
      <c r="K586" s="7">
        <v>228218</v>
      </c>
      <c r="L586" s="8">
        <v>166.37459899999999</v>
      </c>
      <c r="M586" s="8">
        <v>-22.14791</v>
      </c>
      <c r="N586" s="2">
        <v>3</v>
      </c>
      <c r="O586" s="2">
        <v>3</v>
      </c>
      <c r="P586" s="2">
        <f>N586</f>
        <v>3</v>
      </c>
      <c r="Q586" s="2" t="s">
        <v>35</v>
      </c>
      <c r="R586" s="2" t="s">
        <v>2458</v>
      </c>
      <c r="S586" s="2" t="s">
        <v>37</v>
      </c>
      <c r="T586" s="2"/>
      <c r="U586" s="2">
        <f>P586-N586</f>
        <v>0</v>
      </c>
      <c r="V586" s="2"/>
      <c r="W586" s="30" t="s">
        <v>52</v>
      </c>
      <c r="X586" s="2" t="s">
        <v>52</v>
      </c>
      <c r="Y586" s="6" t="s">
        <v>2457</v>
      </c>
      <c r="Z586" s="2" t="s">
        <v>40</v>
      </c>
      <c r="AA586" s="2" t="s">
        <v>2457</v>
      </c>
      <c r="AB586" s="2" t="str">
        <f>LEFT(A586,3)</f>
        <v>ZIZ</v>
      </c>
    </row>
    <row r="587" spans="1:28">
      <c r="A587" s="6" t="s">
        <v>2459</v>
      </c>
      <c r="B587" s="6" t="s">
        <v>191</v>
      </c>
      <c r="C587" s="6" t="s">
        <v>43</v>
      </c>
      <c r="D587" s="6" t="s">
        <v>2460</v>
      </c>
      <c r="E587" s="6" t="s">
        <v>2460</v>
      </c>
      <c r="F587" s="6" t="s">
        <v>2460</v>
      </c>
      <c r="G587" s="2" t="s">
        <v>2461</v>
      </c>
      <c r="H587" s="2" t="s">
        <v>1067</v>
      </c>
      <c r="I587" s="2" t="s">
        <v>34</v>
      </c>
      <c r="J587" s="7">
        <v>333971</v>
      </c>
      <c r="K587" s="7">
        <v>290024</v>
      </c>
      <c r="L587" s="8">
        <v>165.36232249929699</v>
      </c>
      <c r="M587" s="8">
        <v>-21.588890792829002</v>
      </c>
      <c r="N587" s="2">
        <v>3</v>
      </c>
      <c r="O587" s="2">
        <v>3</v>
      </c>
      <c r="P587" s="2">
        <f>N587</f>
        <v>3</v>
      </c>
      <c r="Q587" s="2" t="s">
        <v>195</v>
      </c>
      <c r="R587" s="2" t="s">
        <v>2462</v>
      </c>
      <c r="S587" s="2" t="s">
        <v>47</v>
      </c>
      <c r="U587" s="2">
        <f>P587-N587</f>
        <v>0</v>
      </c>
      <c r="W587" s="30" t="s">
        <v>2460</v>
      </c>
      <c r="X587" s="2" t="s">
        <v>82</v>
      </c>
      <c r="Y587" s="6" t="s">
        <v>2460</v>
      </c>
      <c r="Z587" s="2" t="s">
        <v>73</v>
      </c>
      <c r="AA587" s="2" t="s">
        <v>2461</v>
      </c>
      <c r="AB587" s="2" t="str">
        <f>LEFT(A587,3)</f>
        <v>ZOU</v>
      </c>
    </row>
    <row r="588" spans="1:28">
      <c r="A588" s="6" t="s">
        <v>2463</v>
      </c>
      <c r="B588" s="6" t="s">
        <v>49</v>
      </c>
      <c r="C588" s="6" t="s">
        <v>50</v>
      </c>
      <c r="D588" s="6" t="s">
        <v>2464</v>
      </c>
      <c r="E588" s="6" t="s">
        <v>2464</v>
      </c>
      <c r="F588" s="6" t="s">
        <v>2464</v>
      </c>
      <c r="G588" s="2" t="s">
        <v>2465</v>
      </c>
      <c r="H588" s="2" t="s">
        <v>2464</v>
      </c>
      <c r="I588" s="2" t="s">
        <v>34</v>
      </c>
      <c r="J588" s="7">
        <v>445682.30566000001</v>
      </c>
      <c r="K588" s="7">
        <v>223826.68534</v>
      </c>
      <c r="L588" s="8">
        <v>166.442988488216</v>
      </c>
      <c r="M588" s="8">
        <v>-22.1873992454689</v>
      </c>
      <c r="N588" s="2">
        <v>3</v>
      </c>
      <c r="O588" s="2">
        <v>6</v>
      </c>
      <c r="P588" s="2">
        <v>9</v>
      </c>
      <c r="Q588" s="2" t="s">
        <v>35</v>
      </c>
      <c r="R588" s="2" t="s">
        <v>2466</v>
      </c>
      <c r="S588" s="2" t="s">
        <v>37</v>
      </c>
      <c r="T588" s="2" t="s">
        <v>205</v>
      </c>
      <c r="U588" s="2">
        <f>P588-N588</f>
        <v>6</v>
      </c>
      <c r="W588" s="30" t="s">
        <v>52</v>
      </c>
      <c r="X588" s="2" t="s">
        <v>39</v>
      </c>
      <c r="Y588" s="6" t="s">
        <v>2464</v>
      </c>
      <c r="Z588" s="2" t="s">
        <v>40</v>
      </c>
      <c r="AA588" s="2" t="s">
        <v>2465</v>
      </c>
      <c r="AB588" s="2" t="str">
        <f>LEFT(A588,3)</f>
        <v>ZPA</v>
      </c>
    </row>
    <row r="589" spans="1:28">
      <c r="A589" s="6" t="s">
        <v>2467</v>
      </c>
      <c r="B589" s="6" t="s">
        <v>93</v>
      </c>
      <c r="C589" s="6" t="s">
        <v>50</v>
      </c>
      <c r="D589" s="6" t="s">
        <v>844</v>
      </c>
      <c r="E589" s="6" t="s">
        <v>844</v>
      </c>
      <c r="F589" s="6" t="s">
        <v>845</v>
      </c>
      <c r="G589" s="2" t="s">
        <v>2468</v>
      </c>
      <c r="H589" s="2" t="s">
        <v>2468</v>
      </c>
      <c r="I589" s="2" t="s">
        <v>53</v>
      </c>
      <c r="J589" s="7">
        <v>494016.90919999999</v>
      </c>
      <c r="K589" s="7">
        <v>206521.99432999999</v>
      </c>
      <c r="L589" s="8">
        <v>166.91267551441899</v>
      </c>
      <c r="M589" s="8">
        <v>-22.341783420974298</v>
      </c>
      <c r="N589" s="2">
        <v>1</v>
      </c>
      <c r="O589" s="2">
        <v>2</v>
      </c>
      <c r="P589" s="2">
        <v>3</v>
      </c>
      <c r="Q589" s="2" t="s">
        <v>35</v>
      </c>
      <c r="R589" s="2" t="s">
        <v>2469</v>
      </c>
      <c r="S589" s="2" t="s">
        <v>37</v>
      </c>
      <c r="U589" s="2">
        <v>1</v>
      </c>
      <c r="W589" s="30" t="s">
        <v>844</v>
      </c>
      <c r="X589" s="2" t="s">
        <v>39</v>
      </c>
      <c r="Y589" s="6" t="s">
        <v>845</v>
      </c>
      <c r="Z589" s="2" t="s">
        <v>40</v>
      </c>
      <c r="AA589" s="2" t="s">
        <v>2468</v>
      </c>
      <c r="AB589" s="2" t="str">
        <f>LEFT(A589,3)</f>
        <v>ZTI</v>
      </c>
    </row>
  </sheetData>
  <autoFilter ref="A1:AB589" xr:uid="{00000000-0009-0000-0000-000003000000}">
    <sortState xmlns:xlrd2="http://schemas.microsoft.com/office/spreadsheetml/2017/richdata2" ref="A2:AB589">
      <sortCondition ref="A1:A589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EE52-752A-4DC2-BD97-9FCBAE3C26AF}">
  <sheetPr codeName="Feuil3"/>
  <dimension ref="A1:Q1393"/>
  <sheetViews>
    <sheetView zoomScale="70" zoomScaleNormal="70" workbookViewId="0">
      <pane ySplit="1" topLeftCell="A1156" activePane="bottomLeft" state="frozen"/>
      <selection pane="bottomLeft" activeCell="A1164" sqref="A1164"/>
    </sheetView>
  </sheetViews>
  <sheetFormatPr defaultColWidth="11.42578125" defaultRowHeight="15"/>
  <cols>
    <col min="1" max="1" width="11.140625" bestFit="1" customWidth="1"/>
    <col min="2" max="2" width="13.140625" bestFit="1" customWidth="1"/>
    <col min="3" max="3" width="31.140625" bestFit="1" customWidth="1"/>
    <col min="4" max="4" width="31.5703125" bestFit="1" customWidth="1"/>
    <col min="5" max="5" width="14.5703125" bestFit="1" customWidth="1"/>
    <col min="6" max="6" width="11" bestFit="1" customWidth="1"/>
    <col min="7" max="7" width="10.7109375" bestFit="1" customWidth="1"/>
    <col min="8" max="9" width="8.5703125" bestFit="1" customWidth="1"/>
    <col min="10" max="10" width="12.5703125" style="85" bestFit="1" customWidth="1"/>
    <col min="11" max="11" width="12.85546875" style="85" bestFit="1" customWidth="1"/>
    <col min="12" max="12" width="9.28515625" style="73" bestFit="1" customWidth="1"/>
    <col min="13" max="13" width="18.42578125" style="73" bestFit="1" customWidth="1"/>
    <col min="14" max="14" width="14.5703125" style="73" bestFit="1" customWidth="1"/>
    <col min="15" max="15" width="15.7109375" style="73" bestFit="1" customWidth="1"/>
    <col min="16" max="16" width="7.85546875" bestFit="1" customWidth="1"/>
    <col min="17" max="17" width="13" bestFit="1" customWidth="1"/>
  </cols>
  <sheetData>
    <row r="1" spans="1:17">
      <c r="A1" s="17" t="s">
        <v>2470</v>
      </c>
      <c r="B1" s="17" t="s">
        <v>0</v>
      </c>
      <c r="C1" s="13" t="s">
        <v>3</v>
      </c>
      <c r="D1" s="13" t="s">
        <v>2471</v>
      </c>
      <c r="E1" s="17" t="s">
        <v>1</v>
      </c>
      <c r="F1" s="17" t="s">
        <v>2472</v>
      </c>
      <c r="G1" s="17" t="s">
        <v>2</v>
      </c>
      <c r="H1" s="7" t="s">
        <v>9</v>
      </c>
      <c r="I1" s="7" t="s">
        <v>10</v>
      </c>
      <c r="J1" s="79" t="s">
        <v>11</v>
      </c>
      <c r="K1" s="79" t="s">
        <v>12</v>
      </c>
      <c r="L1" s="71" t="s">
        <v>2473</v>
      </c>
      <c r="M1" s="73" t="s">
        <v>2474</v>
      </c>
      <c r="N1" s="73" t="s">
        <v>2475</v>
      </c>
      <c r="O1" s="73" t="s">
        <v>2476</v>
      </c>
      <c r="P1" s="17" t="s">
        <v>2477</v>
      </c>
      <c r="Q1" s="17" t="s">
        <v>27</v>
      </c>
    </row>
    <row r="2" spans="1:17">
      <c r="A2" s="17">
        <v>1160281</v>
      </c>
      <c r="B2" s="17" t="s">
        <v>28</v>
      </c>
      <c r="C2" s="13" t="s">
        <v>31</v>
      </c>
      <c r="D2" s="13" t="s">
        <v>31</v>
      </c>
      <c r="E2" s="17" t="s">
        <v>29</v>
      </c>
      <c r="F2" s="17" t="s">
        <v>43</v>
      </c>
      <c r="G2" s="17" t="s">
        <v>30</v>
      </c>
      <c r="H2" s="7">
        <v>445908.86284999998</v>
      </c>
      <c r="I2" s="7">
        <v>214664.56611000001</v>
      </c>
      <c r="J2" s="80">
        <v>166.44544290678601</v>
      </c>
      <c r="K2" s="80">
        <v>-22.2701344132374</v>
      </c>
      <c r="L2" s="71">
        <v>80</v>
      </c>
      <c r="M2" s="73">
        <v>3</v>
      </c>
      <c r="N2" s="73">
        <v>3</v>
      </c>
      <c r="O2" s="73">
        <v>1</v>
      </c>
      <c r="P2" s="17" t="s">
        <v>37</v>
      </c>
      <c r="Q2" t="str">
        <f>LEFT(B2,3)</f>
        <v>116</v>
      </c>
    </row>
    <row r="3" spans="1:17">
      <c r="A3" s="17">
        <v>1160282</v>
      </c>
      <c r="B3" s="17" t="s">
        <v>28</v>
      </c>
      <c r="C3" s="13" t="s">
        <v>31</v>
      </c>
      <c r="D3" s="13" t="s">
        <v>31</v>
      </c>
      <c r="E3" s="17" t="s">
        <v>29</v>
      </c>
      <c r="F3" s="17" t="s">
        <v>43</v>
      </c>
      <c r="G3" s="17" t="s">
        <v>30</v>
      </c>
      <c r="H3" s="7">
        <v>445908.86284999998</v>
      </c>
      <c r="I3" s="7">
        <v>214664.56611000001</v>
      </c>
      <c r="J3" s="80">
        <v>166.44544290678601</v>
      </c>
      <c r="K3" s="80">
        <v>-22.2701344132374</v>
      </c>
      <c r="L3" s="71">
        <v>200</v>
      </c>
      <c r="M3" s="73">
        <v>3</v>
      </c>
      <c r="N3" s="73">
        <v>3</v>
      </c>
      <c r="O3" s="73">
        <v>1</v>
      </c>
      <c r="P3" s="17" t="s">
        <v>37</v>
      </c>
      <c r="Q3" t="str">
        <f>LEFT(B3,3)</f>
        <v>116</v>
      </c>
    </row>
    <row r="4" spans="1:17">
      <c r="A4" s="17">
        <v>1160283</v>
      </c>
      <c r="B4" s="17" t="s">
        <v>28</v>
      </c>
      <c r="C4" s="13" t="s">
        <v>31</v>
      </c>
      <c r="D4" s="13" t="s">
        <v>31</v>
      </c>
      <c r="E4" s="17" t="s">
        <v>29</v>
      </c>
      <c r="F4" s="17" t="s">
        <v>43</v>
      </c>
      <c r="G4" s="17" t="s">
        <v>30</v>
      </c>
      <c r="H4" s="7">
        <v>445908.86284999998</v>
      </c>
      <c r="I4" s="7">
        <v>214664.56611000001</v>
      </c>
      <c r="J4" s="80">
        <v>166.44544290678601</v>
      </c>
      <c r="K4" s="80">
        <v>-22.2701344132374</v>
      </c>
      <c r="L4" s="71">
        <v>310</v>
      </c>
      <c r="M4" s="73">
        <v>3</v>
      </c>
      <c r="N4" s="73">
        <v>3</v>
      </c>
      <c r="O4" s="73">
        <v>1</v>
      </c>
      <c r="P4" s="17" t="s">
        <v>37</v>
      </c>
      <c r="Q4" t="str">
        <f>LEFT(B4,3)</f>
        <v>116</v>
      </c>
    </row>
    <row r="5" spans="1:17">
      <c r="A5" s="17">
        <v>1453631</v>
      </c>
      <c r="B5" s="17" t="s">
        <v>41</v>
      </c>
      <c r="C5" s="13" t="s">
        <v>44</v>
      </c>
      <c r="D5" s="13" t="s">
        <v>44</v>
      </c>
      <c r="E5" s="17" t="s">
        <v>42</v>
      </c>
      <c r="F5" s="17" t="s">
        <v>43</v>
      </c>
      <c r="G5" s="17" t="s">
        <v>43</v>
      </c>
      <c r="H5" s="7">
        <v>381552.07244999998</v>
      </c>
      <c r="I5" s="7">
        <v>284318.90759999998</v>
      </c>
      <c r="J5" s="80">
        <v>165.82177403411899</v>
      </c>
      <c r="K5" s="80">
        <v>-21.641541505271</v>
      </c>
      <c r="L5" s="71">
        <v>2</v>
      </c>
      <c r="M5" s="73">
        <v>1</v>
      </c>
      <c r="N5" s="73">
        <v>1</v>
      </c>
      <c r="O5" s="73">
        <v>1</v>
      </c>
      <c r="P5" s="17" t="s">
        <v>47</v>
      </c>
      <c r="Q5" t="str">
        <f>LEFT(B5,3)</f>
        <v>145</v>
      </c>
    </row>
    <row r="6" spans="1:17">
      <c r="A6" s="17">
        <v>1453632</v>
      </c>
      <c r="B6" s="17" t="s">
        <v>41</v>
      </c>
      <c r="C6" s="13" t="s">
        <v>44</v>
      </c>
      <c r="D6" s="13" t="s">
        <v>44</v>
      </c>
      <c r="E6" s="17" t="s">
        <v>42</v>
      </c>
      <c r="F6" s="17" t="s">
        <v>43</v>
      </c>
      <c r="G6" s="17" t="s">
        <v>43</v>
      </c>
      <c r="H6" s="7">
        <v>381552.07244999998</v>
      </c>
      <c r="I6" s="7">
        <v>284318.90759999998</v>
      </c>
      <c r="J6" s="80">
        <v>165.82177403411899</v>
      </c>
      <c r="K6" s="80">
        <v>-21.641541505271</v>
      </c>
      <c r="L6" s="71">
        <v>136</v>
      </c>
      <c r="M6" s="73">
        <v>1</v>
      </c>
      <c r="N6" s="73">
        <v>1</v>
      </c>
      <c r="O6" s="73">
        <v>1</v>
      </c>
      <c r="P6" s="17" t="s">
        <v>47</v>
      </c>
      <c r="Q6" t="str">
        <f>LEFT(B6,3)</f>
        <v>145</v>
      </c>
    </row>
    <row r="7" spans="1:17">
      <c r="A7" s="17">
        <v>1453633</v>
      </c>
      <c r="B7" s="17" t="s">
        <v>41</v>
      </c>
      <c r="C7" s="13" t="s">
        <v>44</v>
      </c>
      <c r="D7" s="13" t="s">
        <v>44</v>
      </c>
      <c r="E7" s="17" t="s">
        <v>42</v>
      </c>
      <c r="F7" s="17" t="s">
        <v>43</v>
      </c>
      <c r="G7" s="17" t="s">
        <v>43</v>
      </c>
      <c r="H7" s="7">
        <v>381552.07244999998</v>
      </c>
      <c r="I7" s="7">
        <v>284318.90759999998</v>
      </c>
      <c r="J7" s="80">
        <v>165.82177403411899</v>
      </c>
      <c r="K7" s="80">
        <v>-21.641541505271</v>
      </c>
      <c r="L7" s="71">
        <v>260</v>
      </c>
      <c r="M7" s="73">
        <v>1</v>
      </c>
      <c r="N7" s="73">
        <v>1</v>
      </c>
      <c r="O7" s="73">
        <v>1</v>
      </c>
      <c r="P7" s="17" t="s">
        <v>47</v>
      </c>
      <c r="Q7" t="str">
        <f>LEFT(B7,3)</f>
        <v>145</v>
      </c>
    </row>
    <row r="8" spans="1:17">
      <c r="A8" s="17" t="s">
        <v>2478</v>
      </c>
      <c r="B8" s="17" t="s">
        <v>48</v>
      </c>
      <c r="C8" s="13" t="s">
        <v>51</v>
      </c>
      <c r="D8" s="13" t="s">
        <v>51</v>
      </c>
      <c r="E8" s="17" t="s">
        <v>49</v>
      </c>
      <c r="F8" s="17" t="s">
        <v>43</v>
      </c>
      <c r="G8" s="17" t="s">
        <v>50</v>
      </c>
      <c r="H8" s="7">
        <v>454180</v>
      </c>
      <c r="I8" s="7">
        <v>229034</v>
      </c>
      <c r="J8" s="80">
        <v>166.52522500000001</v>
      </c>
      <c r="K8" s="80">
        <v>-22.140136999999999</v>
      </c>
      <c r="L8" s="71">
        <v>160</v>
      </c>
      <c r="M8" s="73">
        <v>1</v>
      </c>
      <c r="N8" s="73">
        <v>1</v>
      </c>
      <c r="O8" s="73">
        <v>0</v>
      </c>
      <c r="P8" s="17" t="s">
        <v>47</v>
      </c>
      <c r="Q8" t="str">
        <f>LEFT(B8,3)</f>
        <v>1RM</v>
      </c>
    </row>
    <row r="9" spans="1:17">
      <c r="A9" s="17" t="s">
        <v>2479</v>
      </c>
      <c r="B9" s="17" t="s">
        <v>48</v>
      </c>
      <c r="C9" s="13" t="s">
        <v>51</v>
      </c>
      <c r="D9" s="13" t="s">
        <v>51</v>
      </c>
      <c r="E9" s="17" t="s">
        <v>49</v>
      </c>
      <c r="F9" s="17" t="s">
        <v>43</v>
      </c>
      <c r="G9" s="17" t="s">
        <v>50</v>
      </c>
      <c r="H9" s="7">
        <v>454180</v>
      </c>
      <c r="I9" s="7">
        <v>229034</v>
      </c>
      <c r="J9" s="80">
        <v>166.52522500000001</v>
      </c>
      <c r="K9" s="80">
        <v>-22.140136999999999</v>
      </c>
      <c r="L9" s="71">
        <v>320</v>
      </c>
      <c r="M9" s="73">
        <v>1</v>
      </c>
      <c r="N9" s="73">
        <v>1</v>
      </c>
      <c r="O9" s="73">
        <v>0</v>
      </c>
      <c r="P9" s="17" t="s">
        <v>47</v>
      </c>
      <c r="Q9" t="str">
        <f>LEFT(B9,3)</f>
        <v>1RM</v>
      </c>
    </row>
    <row r="10" spans="1:17">
      <c r="A10" s="17" t="s">
        <v>2480</v>
      </c>
      <c r="B10" s="17" t="s">
        <v>55</v>
      </c>
      <c r="C10" s="13" t="s">
        <v>58</v>
      </c>
      <c r="D10" s="13" t="s">
        <v>58</v>
      </c>
      <c r="E10" s="17" t="s">
        <v>56</v>
      </c>
      <c r="F10" s="17" t="s">
        <v>43</v>
      </c>
      <c r="G10" s="17" t="s">
        <v>50</v>
      </c>
      <c r="H10" s="7">
        <v>441198</v>
      </c>
      <c r="I10" s="7">
        <v>228782</v>
      </c>
      <c r="J10" s="80">
        <v>166.39938358734301</v>
      </c>
      <c r="K10" s="80">
        <v>-22.142759329454702</v>
      </c>
      <c r="L10" s="71">
        <v>0</v>
      </c>
      <c r="M10" s="73">
        <v>1</v>
      </c>
      <c r="N10" s="73">
        <v>1</v>
      </c>
      <c r="O10" s="73">
        <v>1</v>
      </c>
      <c r="P10" s="17" t="s">
        <v>37</v>
      </c>
      <c r="Q10" t="str">
        <f>LEFT(B10,3)</f>
        <v>3VL</v>
      </c>
    </row>
    <row r="11" spans="1:17">
      <c r="A11" s="17" t="s">
        <v>2481</v>
      </c>
      <c r="B11" s="17" t="s">
        <v>55</v>
      </c>
      <c r="C11" s="13" t="s">
        <v>58</v>
      </c>
      <c r="D11" s="13" t="s">
        <v>58</v>
      </c>
      <c r="E11" s="17" t="s">
        <v>56</v>
      </c>
      <c r="F11" s="17" t="s">
        <v>43</v>
      </c>
      <c r="G11" s="17" t="s">
        <v>50</v>
      </c>
      <c r="H11" s="7">
        <v>441509</v>
      </c>
      <c r="I11" s="7">
        <v>227962</v>
      </c>
      <c r="J11" s="80">
        <v>166.40242000000001</v>
      </c>
      <c r="K11" s="80">
        <v>-22.15016</v>
      </c>
      <c r="L11" s="71">
        <v>282</v>
      </c>
      <c r="M11" s="73">
        <v>1</v>
      </c>
      <c r="N11" s="73">
        <v>1</v>
      </c>
      <c r="O11" s="73">
        <v>1</v>
      </c>
      <c r="P11" s="17" t="s">
        <v>37</v>
      </c>
      <c r="Q11" t="str">
        <f>LEFT(B11,3)</f>
        <v>3VL</v>
      </c>
    </row>
    <row r="12" spans="1:17">
      <c r="A12" s="17" t="s">
        <v>2482</v>
      </c>
      <c r="B12" s="17" t="s">
        <v>55</v>
      </c>
      <c r="C12" s="13" t="s">
        <v>58</v>
      </c>
      <c r="D12" s="13" t="s">
        <v>58</v>
      </c>
      <c r="E12" s="17" t="s">
        <v>56</v>
      </c>
      <c r="F12" s="17" t="s">
        <v>43</v>
      </c>
      <c r="G12" s="17" t="s">
        <v>50</v>
      </c>
      <c r="H12" s="7">
        <v>441509</v>
      </c>
      <c r="I12" s="7">
        <v>227962</v>
      </c>
      <c r="J12" s="80">
        <v>166.40242000000001</v>
      </c>
      <c r="K12" s="80">
        <v>-22.15016</v>
      </c>
      <c r="L12" s="71">
        <v>344</v>
      </c>
      <c r="M12" s="73">
        <v>1</v>
      </c>
      <c r="N12" s="73">
        <v>1</v>
      </c>
      <c r="O12" s="73">
        <v>1</v>
      </c>
      <c r="P12" s="17" t="s">
        <v>37</v>
      </c>
      <c r="Q12" t="str">
        <f>LEFT(B12,3)</f>
        <v>3VL</v>
      </c>
    </row>
    <row r="13" spans="1:17">
      <c r="A13" s="13" t="s">
        <v>2483</v>
      </c>
      <c r="B13" s="13" t="s">
        <v>66</v>
      </c>
      <c r="C13" s="13" t="s">
        <v>69</v>
      </c>
      <c r="D13" s="13" t="s">
        <v>70</v>
      </c>
      <c r="E13" s="17" t="s">
        <v>67</v>
      </c>
      <c r="F13" s="17" t="s">
        <v>68</v>
      </c>
      <c r="G13" s="17" t="s">
        <v>68</v>
      </c>
      <c r="H13" s="7">
        <v>282252</v>
      </c>
      <c r="I13" s="7">
        <v>346927</v>
      </c>
      <c r="J13" s="80">
        <v>164.86684099999999</v>
      </c>
      <c r="K13" s="80">
        <v>-21.072272999999999</v>
      </c>
      <c r="L13" s="71">
        <v>60</v>
      </c>
      <c r="M13" s="73">
        <v>1</v>
      </c>
      <c r="N13" s="73">
        <v>1</v>
      </c>
      <c r="O13" s="73">
        <v>0</v>
      </c>
      <c r="P13" s="17" t="s">
        <v>37</v>
      </c>
      <c r="Q13" t="str">
        <f>LEFT(B13,3)</f>
        <v>ACR</v>
      </c>
    </row>
    <row r="14" spans="1:17">
      <c r="A14" s="13" t="s">
        <v>2484</v>
      </c>
      <c r="B14" s="13" t="s">
        <v>66</v>
      </c>
      <c r="C14" s="13" t="s">
        <v>69</v>
      </c>
      <c r="D14" s="13" t="s">
        <v>70</v>
      </c>
      <c r="E14" s="17" t="s">
        <v>67</v>
      </c>
      <c r="F14" s="17" t="s">
        <v>68</v>
      </c>
      <c r="G14" s="17" t="s">
        <v>68</v>
      </c>
      <c r="H14" s="7">
        <v>282252</v>
      </c>
      <c r="I14" s="7">
        <v>346927</v>
      </c>
      <c r="J14" s="80">
        <v>164.86684099999999</v>
      </c>
      <c r="K14" s="80">
        <v>-21.072272999999999</v>
      </c>
      <c r="L14" s="71">
        <v>180</v>
      </c>
      <c r="M14" s="73">
        <v>1</v>
      </c>
      <c r="N14" s="73">
        <v>1</v>
      </c>
      <c r="O14" s="73">
        <v>0</v>
      </c>
      <c r="P14" s="17" t="s">
        <v>37</v>
      </c>
      <c r="Q14" t="str">
        <f>LEFT(B14,3)</f>
        <v>ACR</v>
      </c>
    </row>
    <row r="15" spans="1:17">
      <c r="A15" s="13" t="s">
        <v>2485</v>
      </c>
      <c r="B15" s="13" t="s">
        <v>66</v>
      </c>
      <c r="C15" s="13" t="s">
        <v>69</v>
      </c>
      <c r="D15" s="13" t="s">
        <v>70</v>
      </c>
      <c r="E15" s="17" t="s">
        <v>67</v>
      </c>
      <c r="F15" s="17" t="s">
        <v>68</v>
      </c>
      <c r="G15" s="17" t="s">
        <v>68</v>
      </c>
      <c r="H15" s="7">
        <v>282252</v>
      </c>
      <c r="I15" s="7">
        <v>346927</v>
      </c>
      <c r="J15" s="80">
        <v>164.86684099999999</v>
      </c>
      <c r="K15" s="80">
        <v>-21.072272999999999</v>
      </c>
      <c r="L15" s="71">
        <v>300</v>
      </c>
      <c r="M15" s="73">
        <v>1</v>
      </c>
      <c r="N15" s="73">
        <v>1</v>
      </c>
      <c r="O15" s="73">
        <v>0</v>
      </c>
      <c r="P15" s="17" t="s">
        <v>37</v>
      </c>
      <c r="Q15" t="str">
        <f>LEFT(B15,3)</f>
        <v>ACR</v>
      </c>
    </row>
    <row r="16" spans="1:17">
      <c r="A16" s="26" t="s">
        <v>2486</v>
      </c>
      <c r="B16" s="26" t="s">
        <v>74</v>
      </c>
      <c r="C16" s="26" t="s">
        <v>52</v>
      </c>
      <c r="D16" s="26" t="s">
        <v>52</v>
      </c>
      <c r="E16" s="25" t="s">
        <v>56</v>
      </c>
      <c r="F16" s="25" t="s">
        <v>43</v>
      </c>
      <c r="G16" s="25" t="s">
        <v>50</v>
      </c>
      <c r="H16" s="27">
        <v>437941.59360000002</v>
      </c>
      <c r="I16" s="27">
        <v>228929.25</v>
      </c>
      <c r="J16" s="81">
        <v>166.36781588768</v>
      </c>
      <c r="K16" s="81">
        <v>-22.141503905951499</v>
      </c>
      <c r="L16" s="75">
        <v>0</v>
      </c>
      <c r="M16" s="76">
        <v>0</v>
      </c>
      <c r="N16" s="76">
        <v>0</v>
      </c>
      <c r="O16" s="76">
        <v>1</v>
      </c>
      <c r="P16" s="25" t="s">
        <v>37</v>
      </c>
      <c r="Q16" t="str">
        <f>LEFT(B16,3)</f>
        <v>ADS</v>
      </c>
    </row>
    <row r="17" spans="1:17">
      <c r="A17" s="17" t="s">
        <v>2487</v>
      </c>
      <c r="B17" s="17" t="s">
        <v>78</v>
      </c>
      <c r="C17" s="13" t="s">
        <v>79</v>
      </c>
      <c r="D17" s="13" t="s">
        <v>79</v>
      </c>
      <c r="E17" s="17" t="s">
        <v>79</v>
      </c>
      <c r="F17" s="17" t="s">
        <v>68</v>
      </c>
      <c r="G17" s="17" t="s">
        <v>68</v>
      </c>
      <c r="H17" s="7">
        <v>338090.43200999999</v>
      </c>
      <c r="I17" s="7">
        <v>347230.82345999999</v>
      </c>
      <c r="J17" s="80">
        <v>165.40420710073499</v>
      </c>
      <c r="K17" s="80">
        <v>-21.072315869005301</v>
      </c>
      <c r="L17" s="71">
        <v>250</v>
      </c>
      <c r="M17" s="73">
        <v>1</v>
      </c>
      <c r="N17" s="73">
        <v>1</v>
      </c>
      <c r="O17" s="73">
        <v>1</v>
      </c>
      <c r="P17" s="17" t="s">
        <v>47</v>
      </c>
      <c r="Q17" t="str">
        <f>LEFT(B17,3)</f>
        <v>AGE</v>
      </c>
    </row>
    <row r="18" spans="1:17">
      <c r="A18" s="13" t="s">
        <v>2488</v>
      </c>
      <c r="B18" s="13" t="s">
        <v>83</v>
      </c>
      <c r="C18" s="13" t="s">
        <v>84</v>
      </c>
      <c r="D18" s="13" t="s">
        <v>84</v>
      </c>
      <c r="E18" s="17" t="s">
        <v>56</v>
      </c>
      <c r="F18" s="13" t="s">
        <v>43</v>
      </c>
      <c r="G18" s="17" t="s">
        <v>50</v>
      </c>
      <c r="H18" s="19">
        <v>420253</v>
      </c>
      <c r="I18" s="19">
        <v>235079</v>
      </c>
      <c r="J18" s="80">
        <v>166.19626126888301</v>
      </c>
      <c r="K18" s="80">
        <v>-22.086249943342501</v>
      </c>
      <c r="L18" s="71">
        <v>284</v>
      </c>
      <c r="M18" s="73">
        <v>1</v>
      </c>
      <c r="N18" s="73">
        <v>1</v>
      </c>
      <c r="O18" s="73">
        <v>1</v>
      </c>
      <c r="P18" s="17" t="s">
        <v>47</v>
      </c>
      <c r="Q18" t="str">
        <f>LEFT(B18,3)</f>
        <v>AGL</v>
      </c>
    </row>
    <row r="19" spans="1:17">
      <c r="A19" s="13" t="s">
        <v>2489</v>
      </c>
      <c r="B19" s="13" t="s">
        <v>88</v>
      </c>
      <c r="C19" s="13" t="s">
        <v>89</v>
      </c>
      <c r="D19" s="13" t="s">
        <v>90</v>
      </c>
      <c r="E19" s="17" t="s">
        <v>29</v>
      </c>
      <c r="F19" s="13" t="s">
        <v>43</v>
      </c>
      <c r="G19" s="17" t="s">
        <v>30</v>
      </c>
      <c r="H19" s="7">
        <v>446174</v>
      </c>
      <c r="I19" s="7">
        <v>218433</v>
      </c>
      <c r="J19" s="8">
        <v>166.44790900000001</v>
      </c>
      <c r="K19" s="8">
        <v>-22.236098999999999</v>
      </c>
      <c r="L19" s="71">
        <v>0</v>
      </c>
      <c r="M19" s="73">
        <v>1</v>
      </c>
      <c r="N19" s="73">
        <v>1</v>
      </c>
      <c r="O19" s="73">
        <v>0</v>
      </c>
      <c r="P19" s="17" t="s">
        <v>37</v>
      </c>
      <c r="Q19" t="str">
        <f>LEFT(B19,3)</f>
        <v>AGT</v>
      </c>
    </row>
    <row r="20" spans="1:17">
      <c r="A20" s="17" t="s">
        <v>2490</v>
      </c>
      <c r="B20" s="17" t="s">
        <v>92</v>
      </c>
      <c r="C20" s="13" t="s">
        <v>94</v>
      </c>
      <c r="D20" s="13" t="s">
        <v>94</v>
      </c>
      <c r="E20" s="17" t="s">
        <v>93</v>
      </c>
      <c r="F20" s="17" t="s">
        <v>43</v>
      </c>
      <c r="G20" s="17" t="s">
        <v>50</v>
      </c>
      <c r="H20" s="7">
        <v>459297.06169</v>
      </c>
      <c r="I20" s="7">
        <v>214608.11916999999</v>
      </c>
      <c r="J20" s="80">
        <v>166.575344131142</v>
      </c>
      <c r="K20" s="80">
        <v>-22.270254422715499</v>
      </c>
      <c r="L20" s="71">
        <v>150</v>
      </c>
      <c r="M20" s="73">
        <v>2</v>
      </c>
      <c r="N20" s="73">
        <v>3</v>
      </c>
      <c r="O20" s="73">
        <v>1</v>
      </c>
      <c r="P20" s="17" t="s">
        <v>37</v>
      </c>
      <c r="Q20" t="str">
        <f>LEFT(B20,3)</f>
        <v>AIG</v>
      </c>
    </row>
    <row r="21" spans="1:17">
      <c r="A21" s="17" t="s">
        <v>2491</v>
      </c>
      <c r="B21" s="17" t="s">
        <v>92</v>
      </c>
      <c r="C21" s="13" t="s">
        <v>94</v>
      </c>
      <c r="D21" s="13" t="s">
        <v>94</v>
      </c>
      <c r="E21" s="17" t="s">
        <v>93</v>
      </c>
      <c r="F21" s="17" t="s">
        <v>43</v>
      </c>
      <c r="G21" s="17" t="s">
        <v>50</v>
      </c>
      <c r="H21" s="7">
        <v>459297.06169</v>
      </c>
      <c r="I21" s="7">
        <v>214608.11916999999</v>
      </c>
      <c r="J21" s="80">
        <v>166.575344131142</v>
      </c>
      <c r="K21" s="80">
        <v>-22.270254422715499</v>
      </c>
      <c r="L21" s="71">
        <v>240</v>
      </c>
      <c r="M21" s="73">
        <v>2</v>
      </c>
      <c r="N21" s="73">
        <v>3</v>
      </c>
      <c r="O21" s="73">
        <v>1</v>
      </c>
      <c r="P21" s="17" t="s">
        <v>37</v>
      </c>
      <c r="Q21" t="str">
        <f>LEFT(B21,3)</f>
        <v>AIG</v>
      </c>
    </row>
    <row r="22" spans="1:17">
      <c r="A22" s="13" t="s">
        <v>2492</v>
      </c>
      <c r="B22" s="13" t="s">
        <v>92</v>
      </c>
      <c r="C22" s="13" t="s">
        <v>94</v>
      </c>
      <c r="D22" s="13" t="s">
        <v>94</v>
      </c>
      <c r="E22" s="17" t="s">
        <v>93</v>
      </c>
      <c r="F22" s="13" t="s">
        <v>43</v>
      </c>
      <c r="G22" s="17" t="s">
        <v>50</v>
      </c>
      <c r="H22" s="7">
        <v>459297.06169</v>
      </c>
      <c r="I22" s="7">
        <v>214608.11916999999</v>
      </c>
      <c r="J22" s="80">
        <v>166.575344131142</v>
      </c>
      <c r="K22" s="80">
        <v>-22.270254422715499</v>
      </c>
      <c r="L22" s="71">
        <v>312</v>
      </c>
      <c r="M22" s="73">
        <v>2</v>
      </c>
      <c r="N22" s="73">
        <v>3</v>
      </c>
      <c r="O22" s="73">
        <v>1</v>
      </c>
      <c r="P22" s="17" t="s">
        <v>37</v>
      </c>
      <c r="Q22" t="str">
        <f>LEFT(B22,3)</f>
        <v>AIG</v>
      </c>
    </row>
    <row r="23" spans="1:17">
      <c r="A23" s="17" t="s">
        <v>2493</v>
      </c>
      <c r="B23" s="17" t="s">
        <v>97</v>
      </c>
      <c r="C23" s="13" t="s">
        <v>99</v>
      </c>
      <c r="D23" s="13" t="s">
        <v>99</v>
      </c>
      <c r="E23" s="17" t="s">
        <v>98</v>
      </c>
      <c r="F23" s="17" t="s">
        <v>68</v>
      </c>
      <c r="G23" s="17" t="s">
        <v>68</v>
      </c>
      <c r="H23" s="7">
        <v>386806.89253000001</v>
      </c>
      <c r="I23" s="7">
        <v>301198.33171</v>
      </c>
      <c r="J23" s="80">
        <v>165.872675331659</v>
      </c>
      <c r="K23" s="80">
        <v>-21.489130590190399</v>
      </c>
      <c r="L23" s="71">
        <v>0</v>
      </c>
      <c r="M23" s="73">
        <v>1</v>
      </c>
      <c r="N23" s="73">
        <v>1</v>
      </c>
      <c r="O23" s="73">
        <v>1</v>
      </c>
      <c r="P23" s="17" t="s">
        <v>47</v>
      </c>
      <c r="Q23" t="str">
        <f>LEFT(B23,3)</f>
        <v>AIU</v>
      </c>
    </row>
    <row r="24" spans="1:17">
      <c r="A24" s="17" t="s">
        <v>2494</v>
      </c>
      <c r="B24" s="17" t="s">
        <v>97</v>
      </c>
      <c r="C24" s="13" t="s">
        <v>99</v>
      </c>
      <c r="D24" s="13" t="s">
        <v>99</v>
      </c>
      <c r="E24" s="17" t="s">
        <v>98</v>
      </c>
      <c r="F24" s="17" t="s">
        <v>68</v>
      </c>
      <c r="G24" s="17" t="s">
        <v>68</v>
      </c>
      <c r="H24" s="7">
        <v>386806.89253000001</v>
      </c>
      <c r="I24" s="7">
        <v>301198.33171</v>
      </c>
      <c r="J24" s="80">
        <v>165.872675331659</v>
      </c>
      <c r="K24" s="80">
        <v>-21.489130590190399</v>
      </c>
      <c r="L24" s="71">
        <v>120</v>
      </c>
      <c r="M24" s="73">
        <v>1</v>
      </c>
      <c r="N24" s="73">
        <v>1</v>
      </c>
      <c r="O24" s="73">
        <v>1</v>
      </c>
      <c r="P24" s="17" t="s">
        <v>47</v>
      </c>
      <c r="Q24" t="str">
        <f>LEFT(B24,3)</f>
        <v>AIU</v>
      </c>
    </row>
    <row r="25" spans="1:17">
      <c r="A25" s="17" t="s">
        <v>2495</v>
      </c>
      <c r="B25" s="17" t="s">
        <v>97</v>
      </c>
      <c r="C25" s="13" t="s">
        <v>99</v>
      </c>
      <c r="D25" s="13" t="s">
        <v>99</v>
      </c>
      <c r="E25" s="17" t="s">
        <v>98</v>
      </c>
      <c r="F25" s="17" t="s">
        <v>68</v>
      </c>
      <c r="G25" s="17" t="s">
        <v>68</v>
      </c>
      <c r="H25" s="7">
        <v>386806.89253000001</v>
      </c>
      <c r="I25" s="7">
        <v>301198.33171</v>
      </c>
      <c r="J25" s="80">
        <v>165.872675331659</v>
      </c>
      <c r="K25" s="80">
        <v>-21.489130590190399</v>
      </c>
      <c r="L25" s="71">
        <v>240</v>
      </c>
      <c r="M25" s="73">
        <v>1</v>
      </c>
      <c r="N25" s="73">
        <v>1</v>
      </c>
      <c r="O25" s="73">
        <v>1</v>
      </c>
      <c r="P25" s="17" t="s">
        <v>47</v>
      </c>
      <c r="Q25" t="str">
        <f>LEFT(B25,3)</f>
        <v>AIU</v>
      </c>
    </row>
    <row r="26" spans="1:17">
      <c r="A26" s="17" t="s">
        <v>2496</v>
      </c>
      <c r="B26" s="17" t="s">
        <v>103</v>
      </c>
      <c r="C26" s="13" t="s">
        <v>105</v>
      </c>
      <c r="D26" s="13" t="s">
        <v>105</v>
      </c>
      <c r="E26" s="17" t="s">
        <v>104</v>
      </c>
      <c r="F26" s="17" t="s">
        <v>68</v>
      </c>
      <c r="G26" s="17" t="s">
        <v>68</v>
      </c>
      <c r="H26" s="7">
        <v>322098.02175999997</v>
      </c>
      <c r="I26" s="7">
        <v>359548.90840000001</v>
      </c>
      <c r="J26" s="80">
        <v>165.25087774211099</v>
      </c>
      <c r="K26" s="80">
        <v>-20.9604313969276</v>
      </c>
      <c r="L26" s="71">
        <v>70</v>
      </c>
      <c r="M26" s="73">
        <v>1</v>
      </c>
      <c r="N26" s="73">
        <v>1</v>
      </c>
      <c r="O26" s="73">
        <v>1</v>
      </c>
      <c r="P26" s="17" t="s">
        <v>47</v>
      </c>
      <c r="Q26" t="str">
        <f>LEFT(B26,3)</f>
        <v>AMO</v>
      </c>
    </row>
    <row r="27" spans="1:17">
      <c r="A27" s="17" t="s">
        <v>2497</v>
      </c>
      <c r="B27" s="17" t="s">
        <v>103</v>
      </c>
      <c r="C27" s="13" t="s">
        <v>105</v>
      </c>
      <c r="D27" s="13" t="s">
        <v>105</v>
      </c>
      <c r="E27" s="17" t="s">
        <v>104</v>
      </c>
      <c r="F27" s="17" t="s">
        <v>68</v>
      </c>
      <c r="G27" s="17" t="s">
        <v>68</v>
      </c>
      <c r="H27" s="7">
        <v>322098.02175999997</v>
      </c>
      <c r="I27" s="7">
        <v>359548.90840000001</v>
      </c>
      <c r="J27" s="80">
        <v>165.25087774211099</v>
      </c>
      <c r="K27" s="80">
        <v>-20.9604313969276</v>
      </c>
      <c r="L27" s="71">
        <v>259</v>
      </c>
      <c r="M27" s="73">
        <v>1</v>
      </c>
      <c r="N27" s="73">
        <v>1</v>
      </c>
      <c r="O27" s="73">
        <v>1</v>
      </c>
      <c r="P27" s="17" t="s">
        <v>47</v>
      </c>
      <c r="Q27" t="str">
        <f>LEFT(B27,3)</f>
        <v>AMO</v>
      </c>
    </row>
    <row r="28" spans="1:17">
      <c r="A28" s="17" t="s">
        <v>2498</v>
      </c>
      <c r="B28" s="17" t="s">
        <v>109</v>
      </c>
      <c r="C28" s="13" t="s">
        <v>111</v>
      </c>
      <c r="D28" s="13" t="s">
        <v>111</v>
      </c>
      <c r="E28" s="17" t="s">
        <v>98</v>
      </c>
      <c r="F28" s="17" t="s">
        <v>68</v>
      </c>
      <c r="G28" s="17" t="s">
        <v>68</v>
      </c>
      <c r="H28" s="7">
        <v>386637.30411999999</v>
      </c>
      <c r="I28" s="7">
        <v>296820.30712999997</v>
      </c>
      <c r="J28" s="80">
        <v>165.87099980885</v>
      </c>
      <c r="K28" s="80">
        <v>-21.528673336648801</v>
      </c>
      <c r="L28" s="71">
        <v>70</v>
      </c>
      <c r="M28" s="73">
        <v>1</v>
      </c>
      <c r="N28" s="73">
        <v>1</v>
      </c>
      <c r="O28" s="73">
        <v>1</v>
      </c>
      <c r="P28" s="17" t="s">
        <v>47</v>
      </c>
      <c r="Q28" t="str">
        <f>LEFT(B28,3)</f>
        <v>AOL</v>
      </c>
    </row>
    <row r="29" spans="1:17">
      <c r="A29" s="17" t="s">
        <v>2499</v>
      </c>
      <c r="B29" s="17" t="s">
        <v>109</v>
      </c>
      <c r="C29" s="13" t="s">
        <v>111</v>
      </c>
      <c r="D29" s="13" t="s">
        <v>111</v>
      </c>
      <c r="E29" s="17" t="s">
        <v>98</v>
      </c>
      <c r="F29" s="17" t="s">
        <v>68</v>
      </c>
      <c r="G29" s="17" t="s">
        <v>68</v>
      </c>
      <c r="H29" s="7">
        <v>386637.30411999999</v>
      </c>
      <c r="I29" s="7">
        <v>296820.30712999997</v>
      </c>
      <c r="J29" s="80">
        <v>165.87099980885</v>
      </c>
      <c r="K29" s="80">
        <v>-21.528673336648801</v>
      </c>
      <c r="L29" s="71">
        <v>230</v>
      </c>
      <c r="M29" s="73">
        <v>1</v>
      </c>
      <c r="N29" s="73">
        <v>1</v>
      </c>
      <c r="O29" s="73">
        <v>1</v>
      </c>
      <c r="P29" s="17" t="s">
        <v>47</v>
      </c>
      <c r="Q29" t="str">
        <f>LEFT(B29,3)</f>
        <v>AOL</v>
      </c>
    </row>
    <row r="30" spans="1:17">
      <c r="A30" s="17" t="s">
        <v>2500</v>
      </c>
      <c r="B30" s="17" t="s">
        <v>114</v>
      </c>
      <c r="C30" s="13" t="s">
        <v>115</v>
      </c>
      <c r="D30" s="13" t="s">
        <v>115</v>
      </c>
      <c r="E30" s="17" t="s">
        <v>79</v>
      </c>
      <c r="F30" s="17" t="s">
        <v>68</v>
      </c>
      <c r="G30" s="17" t="s">
        <v>68</v>
      </c>
      <c r="H30" s="7">
        <v>323956.36846000003</v>
      </c>
      <c r="I30" s="7">
        <v>335616.21574000001</v>
      </c>
      <c r="J30" s="80">
        <v>165.26766626141199</v>
      </c>
      <c r="K30" s="80">
        <v>-21.176686923258298</v>
      </c>
      <c r="L30" s="71">
        <v>13</v>
      </c>
      <c r="M30" s="73">
        <v>1</v>
      </c>
      <c r="N30" s="73">
        <v>1</v>
      </c>
      <c r="O30" s="73">
        <v>1</v>
      </c>
      <c r="P30" s="17" t="s">
        <v>47</v>
      </c>
      <c r="Q30" t="str">
        <f>LEFT(B30,3)</f>
        <v>AOU</v>
      </c>
    </row>
    <row r="31" spans="1:17">
      <c r="A31" s="17" t="s">
        <v>2501</v>
      </c>
      <c r="B31" s="17" t="s">
        <v>114</v>
      </c>
      <c r="C31" s="13" t="s">
        <v>115</v>
      </c>
      <c r="D31" s="13" t="s">
        <v>115</v>
      </c>
      <c r="E31" s="17" t="s">
        <v>79</v>
      </c>
      <c r="F31" s="17" t="s">
        <v>68</v>
      </c>
      <c r="G31" s="17" t="s">
        <v>68</v>
      </c>
      <c r="H31" s="7">
        <v>323956.36846000003</v>
      </c>
      <c r="I31" s="7">
        <v>335616.21574000001</v>
      </c>
      <c r="J31" s="80">
        <v>165.26766626141199</v>
      </c>
      <c r="K31" s="80">
        <v>-21.176686923258298</v>
      </c>
      <c r="L31" s="71">
        <v>180</v>
      </c>
      <c r="M31" s="73">
        <v>1</v>
      </c>
      <c r="N31" s="73">
        <v>1</v>
      </c>
      <c r="O31" s="73">
        <v>1</v>
      </c>
      <c r="P31" s="17" t="s">
        <v>47</v>
      </c>
      <c r="Q31" t="str">
        <f>LEFT(B31,3)</f>
        <v>AOU</v>
      </c>
    </row>
    <row r="32" spans="1:17">
      <c r="A32" s="17" t="s">
        <v>2502</v>
      </c>
      <c r="B32" s="17" t="s">
        <v>114</v>
      </c>
      <c r="C32" s="13" t="s">
        <v>115</v>
      </c>
      <c r="D32" s="13" t="s">
        <v>115</v>
      </c>
      <c r="E32" s="17" t="s">
        <v>79</v>
      </c>
      <c r="F32" s="17" t="s">
        <v>68</v>
      </c>
      <c r="G32" s="17" t="s">
        <v>68</v>
      </c>
      <c r="H32" s="7">
        <v>323956.36846000003</v>
      </c>
      <c r="I32" s="7">
        <v>335616.21574000001</v>
      </c>
      <c r="J32" s="80">
        <v>165.26766626141199</v>
      </c>
      <c r="K32" s="80">
        <v>-21.176686923258298</v>
      </c>
      <c r="L32" s="71">
        <v>271</v>
      </c>
      <c r="M32" s="73">
        <v>1</v>
      </c>
      <c r="N32" s="73">
        <v>1</v>
      </c>
      <c r="O32" s="73">
        <v>1</v>
      </c>
      <c r="P32" s="17" t="s">
        <v>47</v>
      </c>
      <c r="Q32" t="str">
        <f>LEFT(B32,3)</f>
        <v>AOU</v>
      </c>
    </row>
    <row r="33" spans="1:17">
      <c r="A33" s="17" t="s">
        <v>2503</v>
      </c>
      <c r="B33" s="17" t="s">
        <v>118</v>
      </c>
      <c r="C33" s="13" t="s">
        <v>119</v>
      </c>
      <c r="D33" s="13" t="s">
        <v>119</v>
      </c>
      <c r="E33" s="17" t="s">
        <v>49</v>
      </c>
      <c r="F33" s="17" t="s">
        <v>43</v>
      </c>
      <c r="G33" s="17" t="s">
        <v>50</v>
      </c>
      <c r="H33" s="7">
        <v>446023</v>
      </c>
      <c r="I33" s="7">
        <v>222672</v>
      </c>
      <c r="J33" s="79">
        <v>166.44632999999999</v>
      </c>
      <c r="K33" s="79">
        <f>-22.19782</f>
        <v>-22.19782</v>
      </c>
      <c r="L33" s="71">
        <v>180</v>
      </c>
      <c r="M33" s="73">
        <v>1</v>
      </c>
      <c r="N33" s="73">
        <v>1</v>
      </c>
      <c r="O33" s="73">
        <v>0</v>
      </c>
      <c r="P33" s="17" t="s">
        <v>37</v>
      </c>
      <c r="Q33" t="str">
        <f>LEFT(B33,3)</f>
        <v>APO</v>
      </c>
    </row>
    <row r="34" spans="1:17">
      <c r="A34" s="17" t="s">
        <v>2504</v>
      </c>
      <c r="B34" s="17" t="s">
        <v>118</v>
      </c>
      <c r="C34" s="13" t="s">
        <v>119</v>
      </c>
      <c r="D34" s="13" t="s">
        <v>119</v>
      </c>
      <c r="E34" s="17" t="s">
        <v>49</v>
      </c>
      <c r="F34" s="17" t="s">
        <v>43</v>
      </c>
      <c r="G34" s="17" t="s">
        <v>50</v>
      </c>
      <c r="H34" s="7">
        <v>446023</v>
      </c>
      <c r="I34" s="7">
        <v>222672</v>
      </c>
      <c r="J34" s="79">
        <v>166.44632999999999</v>
      </c>
      <c r="K34" s="79">
        <f>-22.19782</f>
        <v>-22.19782</v>
      </c>
      <c r="L34" s="71">
        <v>300</v>
      </c>
      <c r="M34" s="73">
        <v>1</v>
      </c>
      <c r="N34" s="73">
        <v>1</v>
      </c>
      <c r="O34" s="73">
        <v>0</v>
      </c>
      <c r="P34" s="17" t="s">
        <v>37</v>
      </c>
      <c r="Q34" t="str">
        <f>LEFT(B34,3)</f>
        <v>APO</v>
      </c>
    </row>
    <row r="35" spans="1:17">
      <c r="A35" s="17" t="s">
        <v>2505</v>
      </c>
      <c r="B35" s="17" t="s">
        <v>122</v>
      </c>
      <c r="C35" s="13" t="s">
        <v>124</v>
      </c>
      <c r="D35" s="13" t="s">
        <v>124</v>
      </c>
      <c r="E35" s="17" t="s">
        <v>123</v>
      </c>
      <c r="F35" s="17" t="s">
        <v>68</v>
      </c>
      <c r="G35" s="17" t="s">
        <v>68</v>
      </c>
      <c r="H35" s="7">
        <v>212423.86767000001</v>
      </c>
      <c r="I35" s="7">
        <v>436883.10973000003</v>
      </c>
      <c r="J35" s="80">
        <v>164.204834495276</v>
      </c>
      <c r="K35" s="80">
        <v>-20.253889349819101</v>
      </c>
      <c r="L35" s="71">
        <v>118</v>
      </c>
      <c r="M35" s="73">
        <v>1</v>
      </c>
      <c r="N35" s="73">
        <v>1</v>
      </c>
      <c r="O35" s="73">
        <v>1</v>
      </c>
      <c r="P35" s="17" t="s">
        <v>47</v>
      </c>
      <c r="Q35" t="str">
        <f>LEFT(B35,3)</f>
        <v>ARA</v>
      </c>
    </row>
    <row r="36" spans="1:17">
      <c r="A36" s="17" t="s">
        <v>2506</v>
      </c>
      <c r="B36" s="17" t="s">
        <v>122</v>
      </c>
      <c r="C36" s="13" t="s">
        <v>124</v>
      </c>
      <c r="D36" s="13" t="s">
        <v>124</v>
      </c>
      <c r="E36" s="17" t="s">
        <v>123</v>
      </c>
      <c r="F36" s="17" t="s">
        <v>68</v>
      </c>
      <c r="G36" s="17" t="s">
        <v>68</v>
      </c>
      <c r="H36" s="7">
        <v>212423.86767000001</v>
      </c>
      <c r="I36" s="7">
        <v>436883.10973000003</v>
      </c>
      <c r="J36" s="80">
        <v>164.204834495276</v>
      </c>
      <c r="K36" s="80">
        <v>-20.253889349819101</v>
      </c>
      <c r="L36" s="71">
        <v>300</v>
      </c>
      <c r="M36" s="73">
        <v>1</v>
      </c>
      <c r="N36" s="73">
        <v>1</v>
      </c>
      <c r="O36" s="73">
        <v>1</v>
      </c>
      <c r="P36" s="17" t="s">
        <v>47</v>
      </c>
      <c r="Q36" t="str">
        <f>LEFT(B36,3)</f>
        <v>ARA</v>
      </c>
    </row>
    <row r="37" spans="1:17">
      <c r="A37" s="17" t="s">
        <v>2507</v>
      </c>
      <c r="B37" s="17" t="s">
        <v>127</v>
      </c>
      <c r="C37" s="13" t="s">
        <v>130</v>
      </c>
      <c r="D37" s="13" t="s">
        <v>130</v>
      </c>
      <c r="E37" s="17" t="s">
        <v>128</v>
      </c>
      <c r="F37" s="17" t="s">
        <v>129</v>
      </c>
      <c r="G37" s="17" t="s">
        <v>129</v>
      </c>
      <c r="H37" s="7">
        <v>459123.95447</v>
      </c>
      <c r="I37" s="7">
        <v>405200.97746000002</v>
      </c>
      <c r="J37" s="80">
        <v>166.56695869999999</v>
      </c>
      <c r="K37" s="80">
        <v>-20.548798925001499</v>
      </c>
      <c r="L37" s="71">
        <v>15</v>
      </c>
      <c r="M37" s="73">
        <v>1</v>
      </c>
      <c r="N37" s="73">
        <v>1</v>
      </c>
      <c r="O37" s="73">
        <v>1</v>
      </c>
      <c r="P37" s="17" t="s">
        <v>47</v>
      </c>
      <c r="Q37" t="str">
        <f>LEFT(B37,3)</f>
        <v>ATE</v>
      </c>
    </row>
    <row r="38" spans="1:17">
      <c r="A38" s="17" t="s">
        <v>2508</v>
      </c>
      <c r="B38" s="17" t="s">
        <v>127</v>
      </c>
      <c r="C38" s="13" t="s">
        <v>130</v>
      </c>
      <c r="D38" s="13" t="s">
        <v>130</v>
      </c>
      <c r="E38" s="17" t="s">
        <v>128</v>
      </c>
      <c r="F38" s="17" t="s">
        <v>129</v>
      </c>
      <c r="G38" s="17" t="s">
        <v>129</v>
      </c>
      <c r="H38" s="7">
        <v>459123.95447</v>
      </c>
      <c r="I38" s="7">
        <v>405200.97746000002</v>
      </c>
      <c r="J38" s="80">
        <v>166.56695869999999</v>
      </c>
      <c r="K38" s="80">
        <v>-20.548798925001499</v>
      </c>
      <c r="L38" s="71">
        <v>180</v>
      </c>
      <c r="M38" s="73">
        <v>1</v>
      </c>
      <c r="N38" s="73">
        <v>1</v>
      </c>
      <c r="O38" s="73">
        <v>1</v>
      </c>
      <c r="P38" s="17" t="s">
        <v>47</v>
      </c>
      <c r="Q38" t="str">
        <f>LEFT(B38,3)</f>
        <v>ATE</v>
      </c>
    </row>
    <row r="39" spans="1:17">
      <c r="A39" s="17" t="s">
        <v>2509</v>
      </c>
      <c r="B39" s="17" t="s">
        <v>133</v>
      </c>
      <c r="C39" s="13" t="s">
        <v>134</v>
      </c>
      <c r="D39" s="13" t="s">
        <v>135</v>
      </c>
      <c r="E39" s="17" t="s">
        <v>29</v>
      </c>
      <c r="F39" s="17" t="s">
        <v>43</v>
      </c>
      <c r="G39" s="17" t="s">
        <v>30</v>
      </c>
      <c r="H39" s="7">
        <v>445863</v>
      </c>
      <c r="I39" s="7">
        <v>212414</v>
      </c>
      <c r="J39" s="80">
        <v>166.44505899999999</v>
      </c>
      <c r="K39" s="80">
        <v>-22.290464</v>
      </c>
      <c r="L39" s="71">
        <v>60</v>
      </c>
      <c r="M39" s="73">
        <v>2</v>
      </c>
      <c r="N39" s="73">
        <v>3</v>
      </c>
      <c r="O39" s="73">
        <v>1</v>
      </c>
      <c r="P39" s="17" t="s">
        <v>37</v>
      </c>
      <c r="Q39" t="str">
        <f>LEFT(B39,3)</f>
        <v>AZU</v>
      </c>
    </row>
    <row r="40" spans="1:17">
      <c r="A40" s="17" t="s">
        <v>2510</v>
      </c>
      <c r="B40" s="17" t="s">
        <v>133</v>
      </c>
      <c r="C40" s="13" t="s">
        <v>134</v>
      </c>
      <c r="D40" s="13" t="s">
        <v>135</v>
      </c>
      <c r="E40" s="17" t="s">
        <v>29</v>
      </c>
      <c r="F40" s="17" t="s">
        <v>43</v>
      </c>
      <c r="G40" s="17" t="s">
        <v>30</v>
      </c>
      <c r="H40" s="7">
        <v>445863</v>
      </c>
      <c r="I40" s="7">
        <v>212414</v>
      </c>
      <c r="J40" s="80">
        <v>166.44505899999999</v>
      </c>
      <c r="K40" s="80">
        <v>-22.290464</v>
      </c>
      <c r="L40" s="71">
        <v>260</v>
      </c>
      <c r="M40" s="73">
        <v>2</v>
      </c>
      <c r="N40" s="73">
        <v>3</v>
      </c>
      <c r="O40" s="73">
        <v>1</v>
      </c>
      <c r="P40" s="17" t="s">
        <v>37</v>
      </c>
      <c r="Q40" t="str">
        <f>LEFT(B40,3)</f>
        <v>AZU</v>
      </c>
    </row>
    <row r="41" spans="1:17">
      <c r="A41" s="17" t="s">
        <v>2511</v>
      </c>
      <c r="B41" s="17" t="s">
        <v>133</v>
      </c>
      <c r="C41" s="13" t="s">
        <v>134</v>
      </c>
      <c r="D41" s="13" t="s">
        <v>135</v>
      </c>
      <c r="E41" s="17" t="s">
        <v>29</v>
      </c>
      <c r="F41" s="17" t="s">
        <v>43</v>
      </c>
      <c r="G41" s="17" t="s">
        <v>30</v>
      </c>
      <c r="H41" s="7">
        <v>445863</v>
      </c>
      <c r="I41" s="7">
        <v>212414</v>
      </c>
      <c r="J41" s="80">
        <v>166.44505899999999</v>
      </c>
      <c r="K41" s="80">
        <v>-22.290464</v>
      </c>
      <c r="L41" s="71">
        <v>350</v>
      </c>
      <c r="M41" s="73">
        <v>2</v>
      </c>
      <c r="N41" s="73">
        <v>3</v>
      </c>
      <c r="O41" s="73">
        <v>1</v>
      </c>
      <c r="P41" s="17" t="s">
        <v>37</v>
      </c>
      <c r="Q41" t="str">
        <f>LEFT(B41,3)</f>
        <v>AZU</v>
      </c>
    </row>
    <row r="42" spans="1:17">
      <c r="A42" s="20" t="s">
        <v>2512</v>
      </c>
      <c r="B42" s="20" t="s">
        <v>137</v>
      </c>
      <c r="C42" s="17" t="s">
        <v>138</v>
      </c>
      <c r="D42" s="17" t="s">
        <v>139</v>
      </c>
      <c r="E42" s="17" t="s">
        <v>56</v>
      </c>
      <c r="F42" s="17" t="s">
        <v>43</v>
      </c>
      <c r="G42" s="17" t="s">
        <v>50</v>
      </c>
      <c r="H42" s="21">
        <v>427450</v>
      </c>
      <c r="I42" s="21">
        <v>240208</v>
      </c>
      <c r="J42" s="82">
        <v>166.265919</v>
      </c>
      <c r="K42" s="82">
        <v>-22.039832000000001</v>
      </c>
      <c r="L42" s="71">
        <v>48</v>
      </c>
      <c r="M42" s="73">
        <v>1</v>
      </c>
      <c r="N42" s="73">
        <v>1</v>
      </c>
      <c r="O42" s="73">
        <v>0</v>
      </c>
      <c r="P42" s="17" t="s">
        <v>47</v>
      </c>
      <c r="Q42" t="str">
        <f>LEFT(B42,3)</f>
        <v>BAN</v>
      </c>
    </row>
    <row r="43" spans="1:17">
      <c r="A43" s="20" t="s">
        <v>2513</v>
      </c>
      <c r="B43" s="20" t="s">
        <v>137</v>
      </c>
      <c r="C43" s="13" t="s">
        <v>138</v>
      </c>
      <c r="D43" s="13" t="s">
        <v>139</v>
      </c>
      <c r="E43" s="17" t="s">
        <v>56</v>
      </c>
      <c r="F43" s="17" t="s">
        <v>43</v>
      </c>
      <c r="G43" s="17" t="s">
        <v>50</v>
      </c>
      <c r="H43" s="21">
        <v>427450</v>
      </c>
      <c r="I43" s="21">
        <v>240208</v>
      </c>
      <c r="J43" s="82">
        <v>166.265919</v>
      </c>
      <c r="K43" s="82">
        <v>-22.039832000000001</v>
      </c>
      <c r="L43" s="71">
        <v>178</v>
      </c>
      <c r="M43" s="73">
        <v>1</v>
      </c>
      <c r="N43" s="73">
        <v>1</v>
      </c>
      <c r="O43" s="73">
        <v>0</v>
      </c>
      <c r="P43" s="17" t="s">
        <v>47</v>
      </c>
      <c r="Q43" t="str">
        <f>LEFT(B43,3)</f>
        <v>BAN</v>
      </c>
    </row>
    <row r="44" spans="1:17">
      <c r="A44" s="17" t="s">
        <v>2514</v>
      </c>
      <c r="B44" s="17" t="s">
        <v>141</v>
      </c>
      <c r="C44" s="13" t="s">
        <v>143</v>
      </c>
      <c r="D44" s="13" t="s">
        <v>143</v>
      </c>
      <c r="E44" s="17" t="s">
        <v>142</v>
      </c>
      <c r="F44" s="17" t="s">
        <v>43</v>
      </c>
      <c r="G44" s="17" t="s">
        <v>43</v>
      </c>
      <c r="H44" s="7">
        <v>491060</v>
      </c>
      <c r="I44" s="7">
        <v>227560</v>
      </c>
      <c r="J44" s="80">
        <v>166.88281756683</v>
      </c>
      <c r="K44" s="80">
        <v>-22.151948590061401</v>
      </c>
      <c r="L44" s="71">
        <v>1</v>
      </c>
      <c r="M44" s="73">
        <v>1</v>
      </c>
      <c r="N44" s="73">
        <v>1</v>
      </c>
      <c r="O44" s="73">
        <v>1</v>
      </c>
      <c r="P44" s="17" t="s">
        <v>47</v>
      </c>
      <c r="Q44" t="str">
        <f>LEFT(B44,3)</f>
        <v>BAR</v>
      </c>
    </row>
    <row r="45" spans="1:17">
      <c r="A45" s="17" t="s">
        <v>2515</v>
      </c>
      <c r="B45" s="17" t="s">
        <v>141</v>
      </c>
      <c r="C45" s="13" t="s">
        <v>143</v>
      </c>
      <c r="D45" s="13" t="s">
        <v>143</v>
      </c>
      <c r="E45" s="17" t="s">
        <v>142</v>
      </c>
      <c r="F45" s="17" t="s">
        <v>43</v>
      </c>
      <c r="G45" s="17" t="s">
        <v>43</v>
      </c>
      <c r="H45" s="7">
        <v>491060</v>
      </c>
      <c r="I45" s="7">
        <v>227560</v>
      </c>
      <c r="J45" s="80">
        <v>166.88281756683</v>
      </c>
      <c r="K45" s="80">
        <v>-22.151948590061401</v>
      </c>
      <c r="L45" s="71">
        <v>262</v>
      </c>
      <c r="M45" s="73">
        <v>1</v>
      </c>
      <c r="N45" s="73">
        <v>1</v>
      </c>
      <c r="O45" s="73">
        <v>1</v>
      </c>
      <c r="P45" s="17" t="s">
        <v>47</v>
      </c>
      <c r="Q45" t="str">
        <f>LEFT(B45,3)</f>
        <v>BAR</v>
      </c>
    </row>
    <row r="46" spans="1:17">
      <c r="A46" s="17" t="s">
        <v>2516</v>
      </c>
      <c r="B46" s="17" t="s">
        <v>147</v>
      </c>
      <c r="C46" s="13" t="s">
        <v>150</v>
      </c>
      <c r="D46" s="13" t="s">
        <v>150</v>
      </c>
      <c r="E46" s="17" t="s">
        <v>148</v>
      </c>
      <c r="F46" s="17" t="s">
        <v>68</v>
      </c>
      <c r="G46" s="17" t="s">
        <v>68</v>
      </c>
      <c r="H46" s="7">
        <v>318992.08286999998</v>
      </c>
      <c r="I46" s="7">
        <v>307321.15281</v>
      </c>
      <c r="J46" s="80">
        <v>165.218499530603</v>
      </c>
      <c r="K46" s="80">
        <v>-21.432044230025198</v>
      </c>
      <c r="L46" s="71">
        <v>16</v>
      </c>
      <c r="M46" s="73">
        <v>1</v>
      </c>
      <c r="N46" s="73">
        <v>2</v>
      </c>
      <c r="O46" s="73">
        <v>1</v>
      </c>
      <c r="P46" s="17" t="s">
        <v>47</v>
      </c>
      <c r="Q46" t="str">
        <f>LEFT(B46,3)</f>
        <v>BAU</v>
      </c>
    </row>
    <row r="47" spans="1:17">
      <c r="A47" s="17" t="s">
        <v>2517</v>
      </c>
      <c r="B47" s="17" t="s">
        <v>147</v>
      </c>
      <c r="C47" s="13" t="s">
        <v>150</v>
      </c>
      <c r="D47" s="13" t="s">
        <v>150</v>
      </c>
      <c r="E47" s="17" t="s">
        <v>148</v>
      </c>
      <c r="F47" s="17" t="s">
        <v>68</v>
      </c>
      <c r="G47" s="17" t="s">
        <v>68</v>
      </c>
      <c r="H47" s="7">
        <v>318992.08286999998</v>
      </c>
      <c r="I47" s="7">
        <v>307321.15281</v>
      </c>
      <c r="J47" s="80">
        <v>165.218499530603</v>
      </c>
      <c r="K47" s="80">
        <v>-21.432044230025198</v>
      </c>
      <c r="L47" s="71">
        <v>120</v>
      </c>
      <c r="M47" s="73">
        <v>1</v>
      </c>
      <c r="N47" s="73">
        <v>2</v>
      </c>
      <c r="O47" s="73">
        <v>1</v>
      </c>
      <c r="P47" s="17" t="s">
        <v>47</v>
      </c>
      <c r="Q47" t="str">
        <f>LEFT(B47,3)</f>
        <v>BAU</v>
      </c>
    </row>
    <row r="48" spans="1:17">
      <c r="A48" s="17" t="s">
        <v>2518</v>
      </c>
      <c r="B48" s="17" t="s">
        <v>147</v>
      </c>
      <c r="C48" s="13" t="s">
        <v>150</v>
      </c>
      <c r="D48" s="13" t="s">
        <v>150</v>
      </c>
      <c r="E48" s="17" t="s">
        <v>148</v>
      </c>
      <c r="F48" s="17" t="s">
        <v>68</v>
      </c>
      <c r="G48" s="17" t="s">
        <v>68</v>
      </c>
      <c r="H48" s="7">
        <v>318992.08286999998</v>
      </c>
      <c r="I48" s="7">
        <v>307321.15281</v>
      </c>
      <c r="J48" s="80">
        <v>165.218499530603</v>
      </c>
      <c r="K48" s="80">
        <v>-21.432044230025198</v>
      </c>
      <c r="L48" s="71">
        <v>190</v>
      </c>
      <c r="M48" s="73">
        <v>1</v>
      </c>
      <c r="N48" s="73">
        <v>2</v>
      </c>
      <c r="O48" s="73">
        <v>1</v>
      </c>
      <c r="P48" s="17" t="s">
        <v>47</v>
      </c>
      <c r="Q48" t="str">
        <f>LEFT(B48,3)</f>
        <v>BAU</v>
      </c>
    </row>
    <row r="49" spans="1:17">
      <c r="A49" s="17" t="s">
        <v>2519</v>
      </c>
      <c r="B49" s="17" t="s">
        <v>147</v>
      </c>
      <c r="C49" s="13" t="s">
        <v>150</v>
      </c>
      <c r="D49" s="13" t="s">
        <v>150</v>
      </c>
      <c r="E49" s="17" t="s">
        <v>148</v>
      </c>
      <c r="F49" s="17" t="s">
        <v>68</v>
      </c>
      <c r="G49" s="17" t="s">
        <v>68</v>
      </c>
      <c r="H49" s="7">
        <v>318992.08286999998</v>
      </c>
      <c r="I49" s="7">
        <v>307321.15281</v>
      </c>
      <c r="J49" s="80">
        <v>165.218499530603</v>
      </c>
      <c r="K49" s="80">
        <v>-21.432044230025198</v>
      </c>
      <c r="L49" s="71">
        <v>251</v>
      </c>
      <c r="M49" s="73">
        <v>1</v>
      </c>
      <c r="N49" s="73">
        <v>2</v>
      </c>
      <c r="O49" s="73">
        <v>1</v>
      </c>
      <c r="P49" s="17" t="s">
        <v>47</v>
      </c>
      <c r="Q49" t="str">
        <f>LEFT(B49,3)</f>
        <v>BAU</v>
      </c>
    </row>
    <row r="50" spans="1:17">
      <c r="A50" s="17" t="s">
        <v>2520</v>
      </c>
      <c r="B50" s="17" t="s">
        <v>153</v>
      </c>
      <c r="C50" s="13" t="s">
        <v>154</v>
      </c>
      <c r="D50" s="13" t="s">
        <v>155</v>
      </c>
      <c r="E50" s="17" t="s">
        <v>104</v>
      </c>
      <c r="F50" s="17" t="s">
        <v>68</v>
      </c>
      <c r="G50" s="17" t="s">
        <v>68</v>
      </c>
      <c r="H50" s="7">
        <v>338279</v>
      </c>
      <c r="I50" s="7">
        <v>360942</v>
      </c>
      <c r="J50" s="80">
        <v>165.406526854015</v>
      </c>
      <c r="K50" s="80">
        <v>-20.948476692243499</v>
      </c>
      <c r="L50" s="71">
        <v>95</v>
      </c>
      <c r="M50" s="73">
        <v>1</v>
      </c>
      <c r="N50" s="73">
        <v>1</v>
      </c>
      <c r="O50" s="73">
        <v>0</v>
      </c>
      <c r="P50" s="17" t="s">
        <v>47</v>
      </c>
      <c r="Q50" t="str">
        <f>LEFT(B50,3)</f>
        <v>BAY</v>
      </c>
    </row>
    <row r="51" spans="1:17">
      <c r="A51" s="17" t="s">
        <v>2521</v>
      </c>
      <c r="B51" s="17" t="s">
        <v>153</v>
      </c>
      <c r="C51" s="13" t="s">
        <v>154</v>
      </c>
      <c r="D51" s="13" t="s">
        <v>155</v>
      </c>
      <c r="E51" s="17" t="s">
        <v>104</v>
      </c>
      <c r="F51" s="17" t="s">
        <v>68</v>
      </c>
      <c r="G51" s="17" t="s">
        <v>68</v>
      </c>
      <c r="H51" s="7">
        <v>338279</v>
      </c>
      <c r="I51" s="7">
        <v>360942</v>
      </c>
      <c r="J51" s="80">
        <v>165.406526854015</v>
      </c>
      <c r="K51" s="80">
        <v>-20.948476692243499</v>
      </c>
      <c r="L51" s="71">
        <v>320</v>
      </c>
      <c r="M51" s="73">
        <v>1</v>
      </c>
      <c r="N51" s="73">
        <v>1</v>
      </c>
      <c r="O51" s="73">
        <v>0</v>
      </c>
      <c r="P51" s="17" t="s">
        <v>47</v>
      </c>
      <c r="Q51" t="str">
        <f>LEFT(B51,3)</f>
        <v>BAY</v>
      </c>
    </row>
    <row r="52" spans="1:17">
      <c r="A52" s="17" t="s">
        <v>2522</v>
      </c>
      <c r="B52" s="17" t="s">
        <v>157</v>
      </c>
      <c r="C52" s="13" t="s">
        <v>158</v>
      </c>
      <c r="D52" s="13" t="s">
        <v>159</v>
      </c>
      <c r="E52" s="17" t="s">
        <v>67</v>
      </c>
      <c r="F52" s="17" t="s">
        <v>68</v>
      </c>
      <c r="G52" s="17" t="s">
        <v>68</v>
      </c>
      <c r="H52" s="7">
        <v>286672</v>
      </c>
      <c r="I52" s="7">
        <v>348891</v>
      </c>
      <c r="J52" s="8">
        <v>164.90950799999999</v>
      </c>
      <c r="K52" s="8">
        <v>-21.054817</v>
      </c>
      <c r="L52" s="71">
        <v>177</v>
      </c>
      <c r="M52" s="73">
        <v>1</v>
      </c>
      <c r="N52" s="73">
        <v>1</v>
      </c>
      <c r="O52" s="73">
        <v>0</v>
      </c>
      <c r="P52" s="17" t="s">
        <v>47</v>
      </c>
      <c r="Q52" t="str">
        <f>LEFT(B52,3)</f>
        <v>BCB</v>
      </c>
    </row>
    <row r="53" spans="1:17">
      <c r="A53" s="17" t="s">
        <v>2523</v>
      </c>
      <c r="B53" s="17" t="s">
        <v>157</v>
      </c>
      <c r="C53" s="13" t="s">
        <v>158</v>
      </c>
      <c r="D53" s="13" t="s">
        <v>159</v>
      </c>
      <c r="E53" s="17" t="s">
        <v>67</v>
      </c>
      <c r="F53" s="17" t="s">
        <v>68</v>
      </c>
      <c r="G53" s="17" t="s">
        <v>68</v>
      </c>
      <c r="H53" s="7">
        <v>286672</v>
      </c>
      <c r="I53" s="7">
        <v>348891</v>
      </c>
      <c r="J53" s="8">
        <v>164.90950799999999</v>
      </c>
      <c r="K53" s="8">
        <v>-21.054817</v>
      </c>
      <c r="L53" s="71">
        <v>257</v>
      </c>
      <c r="M53" s="73">
        <v>1</v>
      </c>
      <c r="N53" s="73">
        <v>1</v>
      </c>
      <c r="O53" s="73">
        <v>0</v>
      </c>
      <c r="P53" s="17" t="s">
        <v>47</v>
      </c>
      <c r="Q53" t="str">
        <f>LEFT(B53,3)</f>
        <v>BCB</v>
      </c>
    </row>
    <row r="54" spans="1:17">
      <c r="A54" s="17" t="s">
        <v>2524</v>
      </c>
      <c r="B54" s="17" t="s">
        <v>157</v>
      </c>
      <c r="C54" s="13" t="s">
        <v>158</v>
      </c>
      <c r="D54" s="13" t="s">
        <v>159</v>
      </c>
      <c r="E54" s="17" t="s">
        <v>67</v>
      </c>
      <c r="F54" s="17" t="s">
        <v>68</v>
      </c>
      <c r="G54" s="17" t="s">
        <v>68</v>
      </c>
      <c r="H54" s="7">
        <v>286672</v>
      </c>
      <c r="I54" s="7">
        <v>348891</v>
      </c>
      <c r="J54" s="8">
        <v>164.90950799999999</v>
      </c>
      <c r="K54" s="8">
        <v>-21.054817</v>
      </c>
      <c r="L54" s="71">
        <v>350</v>
      </c>
      <c r="M54" s="73">
        <v>1</v>
      </c>
      <c r="N54" s="73">
        <v>1</v>
      </c>
      <c r="O54" s="73">
        <v>0</v>
      </c>
      <c r="P54" s="17" t="s">
        <v>47</v>
      </c>
      <c r="Q54" t="str">
        <f>LEFT(B54,3)</f>
        <v>BCB</v>
      </c>
    </row>
    <row r="55" spans="1:17">
      <c r="A55" s="17" t="s">
        <v>2525</v>
      </c>
      <c r="B55" s="17" t="s">
        <v>161</v>
      </c>
      <c r="C55" s="13" t="s">
        <v>162</v>
      </c>
      <c r="D55" s="13" t="s">
        <v>162</v>
      </c>
      <c r="E55" s="17" t="s">
        <v>67</v>
      </c>
      <c r="F55" s="17" t="s">
        <v>68</v>
      </c>
      <c r="G55" s="17" t="s">
        <v>68</v>
      </c>
      <c r="H55" s="7">
        <v>287252.93001000001</v>
      </c>
      <c r="I55" s="7">
        <v>349502.99563000002</v>
      </c>
      <c r="J55" s="80">
        <v>164.91513947761101</v>
      </c>
      <c r="K55" s="80">
        <v>-21.049325577074701</v>
      </c>
      <c r="L55" s="71">
        <v>50</v>
      </c>
      <c r="M55" s="73">
        <v>1</v>
      </c>
      <c r="N55" s="73">
        <v>2</v>
      </c>
      <c r="O55" s="73">
        <v>1</v>
      </c>
      <c r="P55" s="17" t="s">
        <v>47</v>
      </c>
      <c r="Q55" t="str">
        <f>LEFT(B55,3)</f>
        <v>BCR</v>
      </c>
    </row>
    <row r="56" spans="1:17">
      <c r="A56" s="13" t="s">
        <v>2526</v>
      </c>
      <c r="B56" s="13" t="s">
        <v>161</v>
      </c>
      <c r="C56" s="13" t="s">
        <v>162</v>
      </c>
      <c r="D56" s="13" t="s">
        <v>162</v>
      </c>
      <c r="E56" s="17" t="s">
        <v>67</v>
      </c>
      <c r="F56" s="17" t="s">
        <v>68</v>
      </c>
      <c r="G56" s="17" t="s">
        <v>68</v>
      </c>
      <c r="H56" s="7">
        <v>287252.9375</v>
      </c>
      <c r="I56" s="7">
        <v>349503</v>
      </c>
      <c r="J56" s="80">
        <v>164.91513947761101</v>
      </c>
      <c r="K56" s="80">
        <v>-21.049325577074701</v>
      </c>
      <c r="L56" s="71">
        <v>220</v>
      </c>
      <c r="M56" s="73">
        <v>1</v>
      </c>
      <c r="N56" s="73">
        <v>2</v>
      </c>
      <c r="O56" s="73">
        <v>1</v>
      </c>
      <c r="P56" s="17" t="s">
        <v>47</v>
      </c>
      <c r="Q56" t="str">
        <f>LEFT(B56,3)</f>
        <v>BCR</v>
      </c>
    </row>
    <row r="57" spans="1:17">
      <c r="A57" s="13" t="s">
        <v>2527</v>
      </c>
      <c r="B57" s="13" t="s">
        <v>161</v>
      </c>
      <c r="C57" s="13" t="s">
        <v>162</v>
      </c>
      <c r="D57" s="13" t="s">
        <v>162</v>
      </c>
      <c r="E57" s="17" t="s">
        <v>67</v>
      </c>
      <c r="F57" s="17" t="s">
        <v>68</v>
      </c>
      <c r="G57" s="17" t="s">
        <v>68</v>
      </c>
      <c r="H57" s="7">
        <v>287252.9375</v>
      </c>
      <c r="I57" s="7">
        <v>349503</v>
      </c>
      <c r="J57" s="80">
        <v>164.91513947761101</v>
      </c>
      <c r="K57" s="80">
        <v>-21.049325577074701</v>
      </c>
      <c r="L57" s="71">
        <v>320</v>
      </c>
      <c r="M57" s="73">
        <v>1</v>
      </c>
      <c r="N57" s="73">
        <v>2</v>
      </c>
      <c r="O57" s="73">
        <v>1</v>
      </c>
      <c r="P57" s="17" t="s">
        <v>47</v>
      </c>
      <c r="Q57" t="str">
        <f>LEFT(B57,3)</f>
        <v>BCR</v>
      </c>
    </row>
    <row r="58" spans="1:17">
      <c r="A58" s="17" t="s">
        <v>2528</v>
      </c>
      <c r="B58" s="17" t="s">
        <v>165</v>
      </c>
      <c r="C58" s="17" t="s">
        <v>166</v>
      </c>
      <c r="D58" s="13" t="s">
        <v>166</v>
      </c>
      <c r="E58" s="17" t="s">
        <v>29</v>
      </c>
      <c r="F58" s="17" t="s">
        <v>43</v>
      </c>
      <c r="G58" s="17" t="s">
        <v>30</v>
      </c>
      <c r="H58" s="7">
        <v>445293</v>
      </c>
      <c r="I58" s="7">
        <v>211394</v>
      </c>
      <c r="J58" s="79">
        <v>166.43956</v>
      </c>
      <c r="K58" s="79">
        <v>-22.299689999999998</v>
      </c>
      <c r="L58" s="71">
        <v>0</v>
      </c>
      <c r="M58" s="73">
        <v>1</v>
      </c>
      <c r="N58" s="73">
        <v>1</v>
      </c>
      <c r="O58" s="73">
        <v>0</v>
      </c>
      <c r="P58" s="17" t="s">
        <v>37</v>
      </c>
      <c r="Q58" t="str">
        <f>LEFT(B58,3)</f>
        <v>BDC</v>
      </c>
    </row>
    <row r="59" spans="1:17">
      <c r="A59" s="17" t="s">
        <v>2529</v>
      </c>
      <c r="B59" s="17" t="s">
        <v>168</v>
      </c>
      <c r="C59" s="17" t="s">
        <v>169</v>
      </c>
      <c r="D59" s="17" t="s">
        <v>169</v>
      </c>
      <c r="E59" s="17" t="s">
        <v>56</v>
      </c>
      <c r="F59" s="17" t="s">
        <v>43</v>
      </c>
      <c r="G59" s="17" t="s">
        <v>50</v>
      </c>
      <c r="H59" s="22">
        <v>434768</v>
      </c>
      <c r="I59" s="22">
        <v>230577</v>
      </c>
      <c r="J59" s="80">
        <v>166.33700999999999</v>
      </c>
      <c r="K59" s="83">
        <v>-22.12669</v>
      </c>
      <c r="L59" s="71">
        <v>0</v>
      </c>
      <c r="M59" s="73">
        <v>1</v>
      </c>
      <c r="N59" s="73">
        <v>1</v>
      </c>
      <c r="O59" s="73">
        <v>0</v>
      </c>
      <c r="P59" s="17" t="s">
        <v>37</v>
      </c>
      <c r="Q59" t="str">
        <f>LEFT(B59,3)</f>
        <v>BEA</v>
      </c>
    </row>
    <row r="60" spans="1:17">
      <c r="A60" s="13" t="s">
        <v>2530</v>
      </c>
      <c r="B60" s="13" t="s">
        <v>172</v>
      </c>
      <c r="C60" s="13" t="s">
        <v>175</v>
      </c>
      <c r="D60" s="13" t="s">
        <v>174</v>
      </c>
      <c r="E60" s="17" t="s">
        <v>173</v>
      </c>
      <c r="F60" s="17" t="s">
        <v>68</v>
      </c>
      <c r="G60" s="17" t="s">
        <v>68</v>
      </c>
      <c r="H60" s="7">
        <v>153360.75</v>
      </c>
      <c r="I60" s="7">
        <v>496085.375</v>
      </c>
      <c r="J60" s="80">
        <v>163.648180248632</v>
      </c>
      <c r="K60" s="80">
        <v>-19.712215489677298</v>
      </c>
      <c r="L60" s="71">
        <v>186</v>
      </c>
      <c r="M60" s="73">
        <v>2</v>
      </c>
      <c r="N60" s="73">
        <v>1</v>
      </c>
      <c r="O60" s="73">
        <v>1</v>
      </c>
      <c r="P60" s="17" t="s">
        <v>47</v>
      </c>
      <c r="Q60" t="str">
        <f>LEFT(B60,3)</f>
        <v>BEL</v>
      </c>
    </row>
    <row r="61" spans="1:17">
      <c r="A61" s="13" t="s">
        <v>2531</v>
      </c>
      <c r="B61" s="13" t="s">
        <v>172</v>
      </c>
      <c r="C61" s="13" t="s">
        <v>175</v>
      </c>
      <c r="D61" s="13" t="s">
        <v>174</v>
      </c>
      <c r="E61" s="17" t="s">
        <v>173</v>
      </c>
      <c r="F61" s="17" t="s">
        <v>68</v>
      </c>
      <c r="G61" s="17" t="s">
        <v>68</v>
      </c>
      <c r="H61" s="7">
        <v>153360.75</v>
      </c>
      <c r="I61" s="7">
        <v>496085.375</v>
      </c>
      <c r="J61" s="80">
        <v>163.648180248632</v>
      </c>
      <c r="K61" s="80">
        <v>-19.712215489677298</v>
      </c>
      <c r="L61" s="71">
        <v>300</v>
      </c>
      <c r="M61" s="73">
        <v>2</v>
      </c>
      <c r="N61" s="73">
        <v>1</v>
      </c>
      <c r="O61" s="73">
        <v>1</v>
      </c>
      <c r="P61" s="17" t="s">
        <v>47</v>
      </c>
      <c r="Q61" t="str">
        <f>LEFT(B61,3)</f>
        <v>BEL</v>
      </c>
    </row>
    <row r="62" spans="1:17">
      <c r="A62" s="17" t="s">
        <v>2532</v>
      </c>
      <c r="B62" s="17" t="s">
        <v>177</v>
      </c>
      <c r="C62" s="13" t="s">
        <v>2533</v>
      </c>
      <c r="D62" s="13" t="s">
        <v>2533</v>
      </c>
      <c r="E62" s="17" t="s">
        <v>178</v>
      </c>
      <c r="F62" s="17" t="s">
        <v>68</v>
      </c>
      <c r="G62" s="17" t="s">
        <v>68</v>
      </c>
      <c r="H62" s="7">
        <v>300122.62128000002</v>
      </c>
      <c r="I62" s="7">
        <v>330473.44559999998</v>
      </c>
      <c r="J62" s="80">
        <v>165.03784532888201</v>
      </c>
      <c r="K62" s="80">
        <v>-21.221974434441599</v>
      </c>
      <c r="L62" s="71">
        <v>0</v>
      </c>
      <c r="M62" s="73">
        <v>1</v>
      </c>
      <c r="N62" s="73">
        <v>1</v>
      </c>
      <c r="O62" s="73">
        <v>1</v>
      </c>
      <c r="P62" s="17" t="s">
        <v>47</v>
      </c>
      <c r="Q62" t="str">
        <f>LEFT(B62,3)</f>
        <v>BER</v>
      </c>
    </row>
    <row r="63" spans="1:17">
      <c r="A63" s="17" t="s">
        <v>2534</v>
      </c>
      <c r="B63" s="17" t="s">
        <v>184</v>
      </c>
      <c r="C63" s="13" t="s">
        <v>186</v>
      </c>
      <c r="D63" s="13" t="s">
        <v>186</v>
      </c>
      <c r="E63" s="17" t="s">
        <v>29</v>
      </c>
      <c r="F63" s="17" t="s">
        <v>43</v>
      </c>
      <c r="G63" s="17" t="s">
        <v>30</v>
      </c>
      <c r="H63" s="7">
        <v>446556.24729000003</v>
      </c>
      <c r="I63" s="7">
        <v>214191.84987999999</v>
      </c>
      <c r="J63" s="80">
        <v>166.451733804155</v>
      </c>
      <c r="K63" s="80">
        <v>-22.274389191381299</v>
      </c>
      <c r="L63" s="71">
        <v>65</v>
      </c>
      <c r="M63" s="73">
        <v>2</v>
      </c>
      <c r="N63" s="73">
        <v>2</v>
      </c>
      <c r="O63" s="73">
        <v>1</v>
      </c>
      <c r="P63" s="17" t="s">
        <v>37</v>
      </c>
      <c r="Q63" t="str">
        <f>LEFT(B63,3)</f>
        <v>BGE</v>
      </c>
    </row>
    <row r="64" spans="1:17">
      <c r="A64" s="17" t="s">
        <v>2535</v>
      </c>
      <c r="B64" s="17" t="s">
        <v>190</v>
      </c>
      <c r="C64" s="13" t="s">
        <v>192</v>
      </c>
      <c r="D64" s="13" t="s">
        <v>192</v>
      </c>
      <c r="E64" s="17" t="s">
        <v>191</v>
      </c>
      <c r="F64" s="17" t="s">
        <v>43</v>
      </c>
      <c r="G64" s="17" t="s">
        <v>43</v>
      </c>
      <c r="H64" s="7">
        <v>367195.04664999997</v>
      </c>
      <c r="I64" s="7">
        <v>291141.89831000002</v>
      </c>
      <c r="J64" s="80">
        <v>165.68320506058899</v>
      </c>
      <c r="K64" s="80">
        <v>-21.579708792681501</v>
      </c>
      <c r="L64" s="71">
        <v>24</v>
      </c>
      <c r="M64" s="73">
        <v>1</v>
      </c>
      <c r="N64" s="73">
        <v>1</v>
      </c>
      <c r="O64" s="73">
        <v>1</v>
      </c>
      <c r="P64" s="17" t="s">
        <v>47</v>
      </c>
      <c r="Q64" t="str">
        <f>LEFT(B64,3)</f>
        <v>BGR</v>
      </c>
    </row>
    <row r="65" spans="1:17">
      <c r="A65" s="17" t="s">
        <v>2536</v>
      </c>
      <c r="B65" s="17" t="s">
        <v>190</v>
      </c>
      <c r="C65" s="13" t="s">
        <v>192</v>
      </c>
      <c r="D65" s="13" t="s">
        <v>192</v>
      </c>
      <c r="E65" s="17" t="s">
        <v>191</v>
      </c>
      <c r="F65" s="17" t="s">
        <v>43</v>
      </c>
      <c r="G65" s="17" t="s">
        <v>43</v>
      </c>
      <c r="H65" s="7">
        <v>367195.04664999997</v>
      </c>
      <c r="I65" s="7">
        <v>291141.89831000002</v>
      </c>
      <c r="J65" s="80">
        <v>165.68320506058899</v>
      </c>
      <c r="K65" s="80">
        <v>-21.579708792681501</v>
      </c>
      <c r="L65" s="71">
        <v>278</v>
      </c>
      <c r="M65" s="73">
        <v>1</v>
      </c>
      <c r="N65" s="73">
        <v>1</v>
      </c>
      <c r="O65" s="73">
        <v>1</v>
      </c>
      <c r="P65" s="17" t="s">
        <v>47</v>
      </c>
      <c r="Q65" t="str">
        <f>LEFT(B65,3)</f>
        <v>BGR</v>
      </c>
    </row>
    <row r="66" spans="1:17">
      <c r="A66" s="17" t="s">
        <v>2537</v>
      </c>
      <c r="B66" s="17" t="s">
        <v>198</v>
      </c>
      <c r="C66" s="13" t="s">
        <v>200</v>
      </c>
      <c r="D66" s="13" t="s">
        <v>200</v>
      </c>
      <c r="E66" s="17" t="s">
        <v>29</v>
      </c>
      <c r="F66" s="17" t="s">
        <v>43</v>
      </c>
      <c r="G66" s="17" t="s">
        <v>30</v>
      </c>
      <c r="H66" s="7">
        <v>445856.19222999999</v>
      </c>
      <c r="I66" s="7">
        <v>211544.28594999999</v>
      </c>
      <c r="J66" s="80">
        <v>166.44501486903101</v>
      </c>
      <c r="K66" s="80">
        <v>-22.298320627619301</v>
      </c>
      <c r="L66" s="71">
        <v>323</v>
      </c>
      <c r="M66" s="73">
        <v>2</v>
      </c>
      <c r="N66" s="73">
        <v>3</v>
      </c>
      <c r="O66" s="73">
        <v>1</v>
      </c>
      <c r="P66" s="17" t="s">
        <v>37</v>
      </c>
      <c r="Q66" t="str">
        <f>LEFT(B66,3)</f>
        <v>BGV</v>
      </c>
    </row>
    <row r="67" spans="1:17">
      <c r="A67" s="17" t="s">
        <v>2537</v>
      </c>
      <c r="B67" s="17" t="s">
        <v>198</v>
      </c>
      <c r="C67" s="13" t="s">
        <v>200</v>
      </c>
      <c r="D67" s="13" t="s">
        <v>200</v>
      </c>
      <c r="E67" s="17" t="s">
        <v>29</v>
      </c>
      <c r="F67" s="17" t="s">
        <v>43</v>
      </c>
      <c r="G67" s="17" t="s">
        <v>30</v>
      </c>
      <c r="H67" s="7">
        <v>445856.19222999999</v>
      </c>
      <c r="I67" s="7">
        <v>211544.28594999999</v>
      </c>
      <c r="J67" s="80">
        <v>166.44501486903101</v>
      </c>
      <c r="K67" s="80">
        <v>-22.298320627619301</v>
      </c>
      <c r="L67" s="71">
        <v>201</v>
      </c>
      <c r="M67" s="73">
        <v>2</v>
      </c>
      <c r="N67" s="73">
        <v>3</v>
      </c>
      <c r="O67" s="73">
        <v>1</v>
      </c>
      <c r="P67" s="17" t="s">
        <v>37</v>
      </c>
      <c r="Q67" t="str">
        <f>LEFT(B67,3)</f>
        <v>BGV</v>
      </c>
    </row>
    <row r="68" spans="1:17">
      <c r="A68" s="17" t="s">
        <v>2538</v>
      </c>
      <c r="B68" s="17" t="s">
        <v>202</v>
      </c>
      <c r="C68" s="13" t="s">
        <v>203</v>
      </c>
      <c r="D68" s="13" t="s">
        <v>203</v>
      </c>
      <c r="E68" s="17" t="s">
        <v>29</v>
      </c>
      <c r="F68" s="17" t="s">
        <v>43</v>
      </c>
      <c r="G68" s="17" t="s">
        <v>30</v>
      </c>
      <c r="H68" s="7">
        <v>442817.78087999998</v>
      </c>
      <c r="I68" s="7">
        <v>218223.32876</v>
      </c>
      <c r="J68" s="80">
        <v>166.415360170106</v>
      </c>
      <c r="K68" s="80">
        <v>-22.238079641985401</v>
      </c>
      <c r="L68" s="71">
        <v>20</v>
      </c>
      <c r="M68" s="73">
        <v>2</v>
      </c>
      <c r="N68" s="73">
        <v>1</v>
      </c>
      <c r="O68" s="73">
        <v>1</v>
      </c>
      <c r="P68" s="17" t="s">
        <v>37</v>
      </c>
      <c r="Q68" t="str">
        <f>LEFT(B68,3)</f>
        <v>BHP</v>
      </c>
    </row>
    <row r="69" spans="1:17">
      <c r="A69" s="17" t="s">
        <v>2539</v>
      </c>
      <c r="B69" s="17" t="s">
        <v>202</v>
      </c>
      <c r="C69" s="13" t="s">
        <v>203</v>
      </c>
      <c r="D69" s="13" t="s">
        <v>203</v>
      </c>
      <c r="E69" s="17" t="s">
        <v>29</v>
      </c>
      <c r="F69" s="17" t="s">
        <v>43</v>
      </c>
      <c r="G69" s="17" t="s">
        <v>30</v>
      </c>
      <c r="H69" s="7">
        <v>442817.78087999998</v>
      </c>
      <c r="I69" s="7">
        <v>218223.32876</v>
      </c>
      <c r="J69" s="80">
        <v>166.415360170106</v>
      </c>
      <c r="K69" s="80">
        <v>-22.238079641985401</v>
      </c>
      <c r="L69" s="71">
        <v>111</v>
      </c>
      <c r="M69" s="73">
        <v>2</v>
      </c>
      <c r="N69" s="73">
        <v>1</v>
      </c>
      <c r="O69" s="73">
        <v>1</v>
      </c>
      <c r="P69" s="17" t="s">
        <v>37</v>
      </c>
      <c r="Q69" t="str">
        <f>LEFT(B69,3)</f>
        <v>BHP</v>
      </c>
    </row>
    <row r="70" spans="1:17">
      <c r="A70" s="17" t="s">
        <v>2540</v>
      </c>
      <c r="B70" s="17" t="s">
        <v>202</v>
      </c>
      <c r="C70" s="13" t="s">
        <v>203</v>
      </c>
      <c r="D70" s="13" t="s">
        <v>203</v>
      </c>
      <c r="E70" s="17" t="s">
        <v>29</v>
      </c>
      <c r="F70" s="17" t="s">
        <v>43</v>
      </c>
      <c r="G70" s="17" t="s">
        <v>30</v>
      </c>
      <c r="H70" s="7">
        <v>442817.78087999998</v>
      </c>
      <c r="I70" s="7">
        <v>218223.32876</v>
      </c>
      <c r="J70" s="80">
        <v>166.415360170106</v>
      </c>
      <c r="K70" s="80">
        <v>-22.238079641985401</v>
      </c>
      <c r="L70" s="71">
        <v>200</v>
      </c>
      <c r="M70" s="73">
        <v>2</v>
      </c>
      <c r="N70" s="73">
        <v>1</v>
      </c>
      <c r="O70" s="73">
        <v>1</v>
      </c>
      <c r="P70" s="17" t="s">
        <v>37</v>
      </c>
      <c r="Q70" t="str">
        <f>LEFT(B70,3)</f>
        <v>BHP</v>
      </c>
    </row>
    <row r="71" spans="1:17">
      <c r="A71" s="13" t="s">
        <v>2541</v>
      </c>
      <c r="B71" s="13" t="s">
        <v>206</v>
      </c>
      <c r="C71" s="13" t="s">
        <v>207</v>
      </c>
      <c r="D71" s="13" t="s">
        <v>207</v>
      </c>
      <c r="E71" s="13" t="s">
        <v>207</v>
      </c>
      <c r="F71" s="13" t="s">
        <v>43</v>
      </c>
      <c r="G71" s="13" t="s">
        <v>43</v>
      </c>
      <c r="H71" s="19">
        <v>404959</v>
      </c>
      <c r="I71" s="19">
        <v>259418</v>
      </c>
      <c r="J71" s="80">
        <v>166.04798271471699</v>
      </c>
      <c r="K71" s="80">
        <v>-21.8665374290313</v>
      </c>
      <c r="L71" s="71">
        <v>30</v>
      </c>
      <c r="M71" s="73">
        <v>1</v>
      </c>
      <c r="N71" s="73">
        <v>2</v>
      </c>
      <c r="O71" s="73">
        <v>1</v>
      </c>
      <c r="P71" s="17" t="s">
        <v>47</v>
      </c>
      <c r="Q71" t="str">
        <f>LEFT(B71,3)</f>
        <v>BLP</v>
      </c>
    </row>
    <row r="72" spans="1:17">
      <c r="A72" s="13" t="s">
        <v>2542</v>
      </c>
      <c r="B72" s="13" t="s">
        <v>206</v>
      </c>
      <c r="C72" s="13" t="s">
        <v>207</v>
      </c>
      <c r="D72" s="13" t="s">
        <v>207</v>
      </c>
      <c r="E72" s="13" t="s">
        <v>207</v>
      </c>
      <c r="F72" s="13" t="s">
        <v>43</v>
      </c>
      <c r="G72" s="13" t="s">
        <v>43</v>
      </c>
      <c r="H72" s="19">
        <v>404959</v>
      </c>
      <c r="I72" s="19">
        <v>259418</v>
      </c>
      <c r="J72" s="80">
        <v>166.04798271471699</v>
      </c>
      <c r="K72" s="80">
        <v>-21.8665374290313</v>
      </c>
      <c r="L72" s="71">
        <v>122</v>
      </c>
      <c r="M72" s="73">
        <v>2</v>
      </c>
      <c r="N72" s="73">
        <v>2</v>
      </c>
      <c r="O72" s="73">
        <v>1</v>
      </c>
      <c r="P72" s="17" t="s">
        <v>47</v>
      </c>
      <c r="Q72" t="str">
        <f>LEFT(B72,3)</f>
        <v>BLP</v>
      </c>
    </row>
    <row r="73" spans="1:17">
      <c r="A73" s="13" t="s">
        <v>2543</v>
      </c>
      <c r="B73" s="13" t="s">
        <v>206</v>
      </c>
      <c r="C73" s="13" t="s">
        <v>207</v>
      </c>
      <c r="D73" s="13" t="s">
        <v>207</v>
      </c>
      <c r="E73" s="13" t="s">
        <v>207</v>
      </c>
      <c r="F73" s="13" t="s">
        <v>43</v>
      </c>
      <c r="G73" s="13" t="s">
        <v>43</v>
      </c>
      <c r="H73" s="19">
        <v>404959</v>
      </c>
      <c r="I73" s="19">
        <v>259418</v>
      </c>
      <c r="J73" s="80">
        <v>166.04798271471699</v>
      </c>
      <c r="K73" s="80">
        <v>-21.8665374290313</v>
      </c>
      <c r="L73" s="71">
        <v>300</v>
      </c>
      <c r="M73" s="73">
        <v>2</v>
      </c>
      <c r="N73" s="73">
        <v>2</v>
      </c>
      <c r="O73" s="73">
        <v>1</v>
      </c>
      <c r="P73" s="17" t="s">
        <v>47</v>
      </c>
      <c r="Q73" t="str">
        <f>LEFT(B73,3)</f>
        <v>BLP</v>
      </c>
    </row>
    <row r="74" spans="1:17">
      <c r="A74" s="17" t="s">
        <v>2544</v>
      </c>
      <c r="B74" s="17" t="s">
        <v>210</v>
      </c>
      <c r="C74" s="13" t="s">
        <v>211</v>
      </c>
      <c r="D74" s="13" t="s">
        <v>211</v>
      </c>
      <c r="E74" s="17" t="s">
        <v>93</v>
      </c>
      <c r="F74" s="17" t="s">
        <v>43</v>
      </c>
      <c r="G74" s="17" t="s">
        <v>50</v>
      </c>
      <c r="H74" s="7">
        <v>454017.56309000001</v>
      </c>
      <c r="I74" s="7">
        <v>219827.56536000001</v>
      </c>
      <c r="J74" s="80">
        <v>166.52395394561501</v>
      </c>
      <c r="K74" s="80">
        <v>-22.223281203979099</v>
      </c>
      <c r="L74" s="71">
        <v>330</v>
      </c>
      <c r="M74" s="73">
        <v>2</v>
      </c>
      <c r="N74" s="73">
        <v>1</v>
      </c>
      <c r="O74" s="73">
        <v>1</v>
      </c>
      <c r="P74" s="17" t="s">
        <v>37</v>
      </c>
      <c r="Q74" t="str">
        <f>LEFT(B74,3)</f>
        <v>BLR</v>
      </c>
    </row>
    <row r="75" spans="1:17">
      <c r="A75" s="17" t="s">
        <v>2545</v>
      </c>
      <c r="B75" s="17" t="s">
        <v>215</v>
      </c>
      <c r="C75" s="13" t="s">
        <v>216</v>
      </c>
      <c r="D75" s="13" t="s">
        <v>217</v>
      </c>
      <c r="E75" s="17" t="s">
        <v>191</v>
      </c>
      <c r="F75" s="17" t="s">
        <v>43</v>
      </c>
      <c r="G75" s="17" t="s">
        <v>43</v>
      </c>
      <c r="H75" s="7">
        <v>349183</v>
      </c>
      <c r="I75" s="7">
        <v>304097</v>
      </c>
      <c r="J75" s="80">
        <v>165.509658</v>
      </c>
      <c r="K75" s="80">
        <v>-21.462274000000001</v>
      </c>
      <c r="L75" s="71">
        <v>48</v>
      </c>
      <c r="M75" s="73">
        <v>1</v>
      </c>
      <c r="N75" s="73">
        <v>1</v>
      </c>
      <c r="O75" s="73">
        <v>0</v>
      </c>
      <c r="P75" s="17" t="s">
        <v>47</v>
      </c>
      <c r="Q75" t="str">
        <f>LEFT(B75,3)</f>
        <v>BMN</v>
      </c>
    </row>
    <row r="76" spans="1:17">
      <c r="A76" s="17" t="s">
        <v>2546</v>
      </c>
      <c r="B76" s="17" t="s">
        <v>215</v>
      </c>
      <c r="C76" s="13" t="s">
        <v>216</v>
      </c>
      <c r="D76" s="13" t="s">
        <v>217</v>
      </c>
      <c r="E76" s="17" t="s">
        <v>191</v>
      </c>
      <c r="F76" s="17" t="s">
        <v>43</v>
      </c>
      <c r="G76" s="17" t="s">
        <v>43</v>
      </c>
      <c r="H76" s="7">
        <v>349183</v>
      </c>
      <c r="I76" s="7">
        <v>304097</v>
      </c>
      <c r="J76" s="80">
        <v>165.509658</v>
      </c>
      <c r="K76" s="80">
        <v>-21.462274000000001</v>
      </c>
      <c r="L76" s="71">
        <v>136</v>
      </c>
      <c r="M76" s="73">
        <v>1</v>
      </c>
      <c r="N76" s="73">
        <v>1</v>
      </c>
      <c r="O76" s="73">
        <v>0</v>
      </c>
      <c r="P76" s="17" t="s">
        <v>47</v>
      </c>
      <c r="Q76" t="str">
        <f>LEFT(B76,3)</f>
        <v>BMN</v>
      </c>
    </row>
    <row r="77" spans="1:17">
      <c r="A77" s="17" t="s">
        <v>2547</v>
      </c>
      <c r="B77" s="17" t="s">
        <v>215</v>
      </c>
      <c r="C77" s="13" t="s">
        <v>216</v>
      </c>
      <c r="D77" s="13" t="s">
        <v>217</v>
      </c>
      <c r="E77" s="17" t="s">
        <v>191</v>
      </c>
      <c r="F77" s="17" t="s">
        <v>43</v>
      </c>
      <c r="G77" s="17" t="s">
        <v>43</v>
      </c>
      <c r="H77" s="7">
        <v>349183</v>
      </c>
      <c r="I77" s="7">
        <v>304097</v>
      </c>
      <c r="J77" s="80">
        <v>165.509658</v>
      </c>
      <c r="K77" s="80">
        <v>-21.462274000000001</v>
      </c>
      <c r="L77" s="71">
        <v>305</v>
      </c>
      <c r="M77" s="73">
        <v>1</v>
      </c>
      <c r="N77" s="73">
        <v>1</v>
      </c>
      <c r="O77" s="73">
        <v>0</v>
      </c>
      <c r="P77" s="17" t="s">
        <v>47</v>
      </c>
      <c r="Q77" t="str">
        <f>LEFT(B77,3)</f>
        <v>BMN</v>
      </c>
    </row>
    <row r="78" spans="1:17">
      <c r="A78" s="17" t="s">
        <v>2548</v>
      </c>
      <c r="B78" s="17" t="s">
        <v>219</v>
      </c>
      <c r="C78" s="13" t="s">
        <v>220</v>
      </c>
      <c r="D78" s="13" t="s">
        <v>220</v>
      </c>
      <c r="E78" s="17" t="s">
        <v>93</v>
      </c>
      <c r="F78" s="17" t="s">
        <v>43</v>
      </c>
      <c r="G78" s="17" t="s">
        <v>50</v>
      </c>
      <c r="H78" s="7">
        <v>453486.01405</v>
      </c>
      <c r="I78" s="7">
        <v>219277.94727</v>
      </c>
      <c r="J78" s="80">
        <v>166.518811492021</v>
      </c>
      <c r="K78" s="80">
        <v>-22.228264214098999</v>
      </c>
      <c r="L78" s="71">
        <v>0</v>
      </c>
      <c r="M78" s="73">
        <v>2</v>
      </c>
      <c r="N78" s="73">
        <v>2</v>
      </c>
      <c r="O78" s="73">
        <v>1</v>
      </c>
      <c r="P78" s="17" t="s">
        <v>37</v>
      </c>
      <c r="Q78" t="str">
        <f>LEFT(B78,3)</f>
        <v>BOE</v>
      </c>
    </row>
    <row r="79" spans="1:17">
      <c r="A79" s="17" t="s">
        <v>2549</v>
      </c>
      <c r="B79" s="17" t="s">
        <v>219</v>
      </c>
      <c r="C79" s="13" t="s">
        <v>220</v>
      </c>
      <c r="D79" s="13" t="s">
        <v>220</v>
      </c>
      <c r="E79" s="17" t="s">
        <v>93</v>
      </c>
      <c r="F79" s="17" t="s">
        <v>43</v>
      </c>
      <c r="G79" s="17" t="s">
        <v>50</v>
      </c>
      <c r="H79" s="7">
        <v>453486.01405</v>
      </c>
      <c r="I79" s="7">
        <v>219277.94727</v>
      </c>
      <c r="J79" s="80">
        <v>166.518811492021</v>
      </c>
      <c r="K79" s="80">
        <v>-22.228264214098999</v>
      </c>
      <c r="L79" s="71">
        <v>110</v>
      </c>
      <c r="M79" s="73">
        <v>2</v>
      </c>
      <c r="N79" s="73">
        <v>2</v>
      </c>
      <c r="O79" s="73">
        <v>1</v>
      </c>
      <c r="P79" s="17" t="s">
        <v>37</v>
      </c>
      <c r="Q79" t="str">
        <f>LEFT(B79,3)</f>
        <v>BOE</v>
      </c>
    </row>
    <row r="80" spans="1:17">
      <c r="A80" s="17" t="s">
        <v>2550</v>
      </c>
      <c r="B80" s="17" t="s">
        <v>219</v>
      </c>
      <c r="C80" s="13" t="s">
        <v>220</v>
      </c>
      <c r="D80" s="13" t="s">
        <v>220</v>
      </c>
      <c r="E80" s="17" t="s">
        <v>93</v>
      </c>
      <c r="F80" s="17" t="s">
        <v>43</v>
      </c>
      <c r="G80" s="17" t="s">
        <v>50</v>
      </c>
      <c r="H80" s="7">
        <v>453486.01405</v>
      </c>
      <c r="I80" s="7">
        <v>219277.94727</v>
      </c>
      <c r="J80" s="80">
        <v>166.518811492021</v>
      </c>
      <c r="K80" s="80">
        <v>-22.228264214098999</v>
      </c>
      <c r="L80" s="71">
        <v>250</v>
      </c>
      <c r="M80" s="73">
        <v>2</v>
      </c>
      <c r="N80" s="73">
        <v>2</v>
      </c>
      <c r="O80" s="73">
        <v>1</v>
      </c>
      <c r="P80" s="17" t="s">
        <v>37</v>
      </c>
      <c r="Q80" t="str">
        <f>LEFT(B80,3)</f>
        <v>BOE</v>
      </c>
    </row>
    <row r="81" spans="1:17">
      <c r="A81" s="17" t="s">
        <v>2551</v>
      </c>
      <c r="B81" s="17" t="s">
        <v>223</v>
      </c>
      <c r="C81" s="13" t="s">
        <v>226</v>
      </c>
      <c r="D81" s="13" t="s">
        <v>226</v>
      </c>
      <c r="E81" s="17" t="s">
        <v>224</v>
      </c>
      <c r="F81" s="17" t="s">
        <v>68</v>
      </c>
      <c r="G81" s="17" t="s">
        <v>68</v>
      </c>
      <c r="H81" s="7">
        <v>237530.96265</v>
      </c>
      <c r="I81" s="7">
        <v>418057.63932000002</v>
      </c>
      <c r="J81" s="80">
        <v>164.443305862475</v>
      </c>
      <c r="K81" s="80">
        <v>-20.426334906769899</v>
      </c>
      <c r="L81" s="71">
        <v>50</v>
      </c>
      <c r="M81" s="73">
        <v>1</v>
      </c>
      <c r="N81" s="73">
        <v>1</v>
      </c>
      <c r="O81" s="73">
        <v>1</v>
      </c>
      <c r="P81" s="17" t="s">
        <v>47</v>
      </c>
      <c r="Q81" t="str">
        <f>LEFT(B81,3)</f>
        <v>BON</v>
      </c>
    </row>
    <row r="82" spans="1:17">
      <c r="A82" s="17" t="s">
        <v>2552</v>
      </c>
      <c r="B82" s="17" t="s">
        <v>223</v>
      </c>
      <c r="C82" s="13" t="s">
        <v>226</v>
      </c>
      <c r="D82" s="13" t="s">
        <v>226</v>
      </c>
      <c r="E82" s="17" t="s">
        <v>224</v>
      </c>
      <c r="F82" s="17" t="s">
        <v>68</v>
      </c>
      <c r="G82" s="17" t="s">
        <v>68</v>
      </c>
      <c r="H82" s="7">
        <v>237530.96265</v>
      </c>
      <c r="I82" s="7">
        <v>418057.63932000002</v>
      </c>
      <c r="J82" s="80">
        <v>164.443305862475</v>
      </c>
      <c r="K82" s="80">
        <v>-20.426334906769899</v>
      </c>
      <c r="L82" s="71">
        <v>150</v>
      </c>
      <c r="M82" s="73">
        <v>1</v>
      </c>
      <c r="N82" s="73">
        <v>1</v>
      </c>
      <c r="O82" s="73">
        <v>1</v>
      </c>
      <c r="P82" s="17" t="s">
        <v>47</v>
      </c>
      <c r="Q82" t="str">
        <f>LEFT(B82,3)</f>
        <v>BON</v>
      </c>
    </row>
    <row r="83" spans="1:17">
      <c r="A83" s="17" t="s">
        <v>2553</v>
      </c>
      <c r="B83" s="17" t="s">
        <v>223</v>
      </c>
      <c r="C83" s="13" t="s">
        <v>226</v>
      </c>
      <c r="D83" s="13" t="s">
        <v>226</v>
      </c>
      <c r="E83" s="17" t="s">
        <v>224</v>
      </c>
      <c r="F83" s="17" t="s">
        <v>68</v>
      </c>
      <c r="G83" s="17" t="s">
        <v>68</v>
      </c>
      <c r="H83" s="7">
        <v>237530.96265</v>
      </c>
      <c r="I83" s="7">
        <v>418057.63932000002</v>
      </c>
      <c r="J83" s="80">
        <v>164.443305862475</v>
      </c>
      <c r="K83" s="80">
        <v>-20.426334906769899</v>
      </c>
      <c r="L83" s="71">
        <v>290</v>
      </c>
      <c r="M83" s="73">
        <v>1</v>
      </c>
      <c r="N83" s="73">
        <v>1</v>
      </c>
      <c r="O83" s="73">
        <v>1</v>
      </c>
      <c r="P83" s="17" t="s">
        <v>47</v>
      </c>
      <c r="Q83" t="str">
        <f>LEFT(B83,3)</f>
        <v>BON</v>
      </c>
    </row>
    <row r="84" spans="1:17">
      <c r="A84" s="17" t="s">
        <v>2554</v>
      </c>
      <c r="B84" s="17" t="s">
        <v>230</v>
      </c>
      <c r="C84" s="13" t="s">
        <v>231</v>
      </c>
      <c r="D84" s="13" t="s">
        <v>231</v>
      </c>
      <c r="E84" s="17" t="s">
        <v>67</v>
      </c>
      <c r="F84" s="17" t="s">
        <v>68</v>
      </c>
      <c r="G84" s="17" t="s">
        <v>68</v>
      </c>
      <c r="H84" s="7">
        <v>303260.09172000003</v>
      </c>
      <c r="I84" s="7">
        <v>364568.72976999998</v>
      </c>
      <c r="J84" s="80">
        <v>165.070018546939</v>
      </c>
      <c r="K84" s="80">
        <v>-20.914174484194401</v>
      </c>
      <c r="L84" s="71">
        <v>110</v>
      </c>
      <c r="M84" s="73">
        <v>1</v>
      </c>
      <c r="N84" s="73">
        <v>1</v>
      </c>
      <c r="O84" s="73">
        <v>1</v>
      </c>
      <c r="P84" s="17" t="s">
        <v>47</v>
      </c>
      <c r="Q84" t="str">
        <f>LEFT(B84,3)</f>
        <v>BOP</v>
      </c>
    </row>
    <row r="85" spans="1:17">
      <c r="A85" s="17" t="s">
        <v>2555</v>
      </c>
      <c r="B85" s="17" t="s">
        <v>230</v>
      </c>
      <c r="C85" s="13" t="s">
        <v>231</v>
      </c>
      <c r="D85" s="13" t="s">
        <v>231</v>
      </c>
      <c r="E85" s="17" t="s">
        <v>67</v>
      </c>
      <c r="F85" s="17" t="s">
        <v>68</v>
      </c>
      <c r="G85" s="17" t="s">
        <v>68</v>
      </c>
      <c r="H85" s="7">
        <v>303260.09172000003</v>
      </c>
      <c r="I85" s="7">
        <v>364568.72976999998</v>
      </c>
      <c r="J85" s="80">
        <v>165.070018546939</v>
      </c>
      <c r="K85" s="80">
        <v>-20.914174484194401</v>
      </c>
      <c r="L85" s="71">
        <v>230</v>
      </c>
      <c r="M85" s="73">
        <v>1</v>
      </c>
      <c r="N85" s="73">
        <v>1</v>
      </c>
      <c r="O85" s="73">
        <v>1</v>
      </c>
      <c r="P85" s="17" t="s">
        <v>47</v>
      </c>
      <c r="Q85" t="str">
        <f>LEFT(B85,3)</f>
        <v>BOP</v>
      </c>
    </row>
    <row r="86" spans="1:17">
      <c r="A86" s="17" t="s">
        <v>2556</v>
      </c>
      <c r="B86" s="17" t="s">
        <v>234</v>
      </c>
      <c r="C86" s="13" t="s">
        <v>235</v>
      </c>
      <c r="D86" s="13" t="s">
        <v>235</v>
      </c>
      <c r="E86" s="17" t="s">
        <v>191</v>
      </c>
      <c r="F86" s="17" t="s">
        <v>43</v>
      </c>
      <c r="G86" s="17" t="s">
        <v>43</v>
      </c>
      <c r="H86" s="7">
        <v>348707.96882000001</v>
      </c>
      <c r="I86" s="7">
        <v>306116.14143999998</v>
      </c>
      <c r="J86" s="80">
        <v>165.505136490316</v>
      </c>
      <c r="K86" s="80">
        <v>-21.4440240674029</v>
      </c>
      <c r="L86" s="71">
        <v>91</v>
      </c>
      <c r="M86" s="73">
        <v>1</v>
      </c>
      <c r="N86" s="73">
        <v>2</v>
      </c>
      <c r="O86" s="73">
        <v>1</v>
      </c>
      <c r="P86" s="17" t="s">
        <v>47</v>
      </c>
      <c r="Q86" t="str">
        <f>LEFT(B86,3)</f>
        <v>BOR</v>
      </c>
    </row>
    <row r="87" spans="1:17">
      <c r="A87" s="17" t="s">
        <v>2557</v>
      </c>
      <c r="B87" s="17" t="s">
        <v>234</v>
      </c>
      <c r="C87" s="13" t="s">
        <v>235</v>
      </c>
      <c r="D87" s="13" t="s">
        <v>235</v>
      </c>
      <c r="E87" s="17" t="s">
        <v>191</v>
      </c>
      <c r="F87" s="17" t="s">
        <v>43</v>
      </c>
      <c r="G87" s="17" t="s">
        <v>43</v>
      </c>
      <c r="H87" s="7">
        <v>348707.96882000001</v>
      </c>
      <c r="I87" s="7">
        <v>306116.14143999998</v>
      </c>
      <c r="J87" s="80">
        <v>165.505136490316</v>
      </c>
      <c r="K87" s="80">
        <v>-21.4440240674029</v>
      </c>
      <c r="L87" s="71">
        <v>241</v>
      </c>
      <c r="M87" s="73">
        <v>2</v>
      </c>
      <c r="N87" s="73">
        <v>2</v>
      </c>
      <c r="O87" s="73">
        <v>1</v>
      </c>
      <c r="P87" s="17" t="s">
        <v>47</v>
      </c>
      <c r="Q87" t="str">
        <f>LEFT(B87,3)</f>
        <v>BOR</v>
      </c>
    </row>
    <row r="88" spans="1:17">
      <c r="A88" s="17" t="s">
        <v>2558</v>
      </c>
      <c r="B88" s="17" t="s">
        <v>234</v>
      </c>
      <c r="C88" s="13" t="s">
        <v>235</v>
      </c>
      <c r="D88" s="13" t="s">
        <v>235</v>
      </c>
      <c r="E88" s="17" t="s">
        <v>191</v>
      </c>
      <c r="F88" s="17" t="s">
        <v>43</v>
      </c>
      <c r="G88" s="17" t="s">
        <v>43</v>
      </c>
      <c r="H88" s="7">
        <v>348707.96882000001</v>
      </c>
      <c r="I88" s="7">
        <v>306116.14143999998</v>
      </c>
      <c r="J88" s="80">
        <v>165.505136490316</v>
      </c>
      <c r="K88" s="80">
        <v>-21.4440240674029</v>
      </c>
      <c r="L88" s="71">
        <v>319</v>
      </c>
      <c r="M88" s="73">
        <v>1</v>
      </c>
      <c r="N88" s="73">
        <v>2</v>
      </c>
      <c r="O88" s="73">
        <v>1</v>
      </c>
      <c r="P88" s="17" t="s">
        <v>47</v>
      </c>
      <c r="Q88" t="str">
        <f>LEFT(B88,3)</f>
        <v>BOR</v>
      </c>
    </row>
    <row r="89" spans="1:17">
      <c r="A89" s="17" t="s">
        <v>2559</v>
      </c>
      <c r="B89" s="17" t="s">
        <v>239</v>
      </c>
      <c r="C89" s="13" t="s">
        <v>241</v>
      </c>
      <c r="D89" s="13" t="s">
        <v>241</v>
      </c>
      <c r="E89" s="17" t="s">
        <v>29</v>
      </c>
      <c r="F89" s="17" t="s">
        <v>43</v>
      </c>
      <c r="G89" s="17" t="s">
        <v>30</v>
      </c>
      <c r="H89" s="7">
        <v>447573.01668</v>
      </c>
      <c r="I89" s="7">
        <v>216293.94325000001</v>
      </c>
      <c r="J89" s="80">
        <v>166.46154150207499</v>
      </c>
      <c r="K89" s="80">
        <v>-22.255379679867001</v>
      </c>
      <c r="L89" s="71">
        <v>20</v>
      </c>
      <c r="M89" s="73">
        <v>3</v>
      </c>
      <c r="N89" s="73">
        <v>3</v>
      </c>
      <c r="O89" s="73">
        <v>1</v>
      </c>
      <c r="P89" s="17" t="s">
        <v>37</v>
      </c>
      <c r="Q89" t="str">
        <f>LEFT(B89,3)</f>
        <v>BOT</v>
      </c>
    </row>
    <row r="90" spans="1:17">
      <c r="A90" s="17" t="s">
        <v>2560</v>
      </c>
      <c r="B90" s="17" t="s">
        <v>239</v>
      </c>
      <c r="C90" s="13" t="s">
        <v>241</v>
      </c>
      <c r="D90" s="13" t="s">
        <v>241</v>
      </c>
      <c r="E90" s="17" t="s">
        <v>29</v>
      </c>
      <c r="F90" s="17" t="s">
        <v>43</v>
      </c>
      <c r="G90" s="17" t="s">
        <v>30</v>
      </c>
      <c r="H90" s="7">
        <v>447573.01668</v>
      </c>
      <c r="I90" s="7">
        <v>216293.94325000001</v>
      </c>
      <c r="J90" s="80">
        <v>166.46154150207499</v>
      </c>
      <c r="K90" s="80">
        <v>-22.255379679867001</v>
      </c>
      <c r="L90" s="71">
        <v>150</v>
      </c>
      <c r="M90" s="73">
        <v>3</v>
      </c>
      <c r="N90" s="73">
        <v>3</v>
      </c>
      <c r="O90" s="73">
        <v>1</v>
      </c>
      <c r="P90" s="17" t="s">
        <v>37</v>
      </c>
      <c r="Q90" t="str">
        <f>LEFT(B90,3)</f>
        <v>BOT</v>
      </c>
    </row>
    <row r="91" spans="1:17">
      <c r="A91" s="17" t="s">
        <v>2561</v>
      </c>
      <c r="B91" s="17" t="s">
        <v>244</v>
      </c>
      <c r="C91" s="17" t="s">
        <v>245</v>
      </c>
      <c r="D91" s="13" t="s">
        <v>245</v>
      </c>
      <c r="E91" s="17" t="s">
        <v>93</v>
      </c>
      <c r="F91" s="17" t="s">
        <v>43</v>
      </c>
      <c r="G91" s="17" t="s">
        <v>50</v>
      </c>
      <c r="H91" s="7">
        <v>454211</v>
      </c>
      <c r="I91" s="7">
        <v>218990</v>
      </c>
      <c r="J91" s="79">
        <v>166.52584999999999</v>
      </c>
      <c r="K91" s="79">
        <v>-22.230840000000001</v>
      </c>
      <c r="L91" s="71">
        <v>63</v>
      </c>
      <c r="M91" s="73">
        <v>1</v>
      </c>
      <c r="N91" s="73">
        <v>1</v>
      </c>
      <c r="O91" s="73">
        <v>0</v>
      </c>
      <c r="P91" s="17" t="s">
        <v>37</v>
      </c>
      <c r="Q91" t="str">
        <f>LEFT(B91,3)</f>
        <v>BOU</v>
      </c>
    </row>
    <row r="92" spans="1:17">
      <c r="A92" s="17" t="s">
        <v>2562</v>
      </c>
      <c r="B92" s="17" t="s">
        <v>244</v>
      </c>
      <c r="C92" s="17" t="s">
        <v>245</v>
      </c>
      <c r="D92" s="13" t="s">
        <v>245</v>
      </c>
      <c r="E92" s="17" t="s">
        <v>93</v>
      </c>
      <c r="F92" s="17" t="s">
        <v>43</v>
      </c>
      <c r="G92" s="17" t="s">
        <v>50</v>
      </c>
      <c r="H92" s="7">
        <v>454211</v>
      </c>
      <c r="I92" s="7">
        <v>218990</v>
      </c>
      <c r="J92" s="79">
        <v>166.52584999999999</v>
      </c>
      <c r="K92" s="79">
        <v>-22.230840000000001</v>
      </c>
      <c r="L92" s="71">
        <v>185</v>
      </c>
      <c r="M92" s="73">
        <v>1</v>
      </c>
      <c r="N92" s="73">
        <v>1</v>
      </c>
      <c r="O92" s="73">
        <v>0</v>
      </c>
      <c r="P92" s="17" t="s">
        <v>37</v>
      </c>
      <c r="Q92" t="str">
        <f>LEFT(B92,3)</f>
        <v>BOU</v>
      </c>
    </row>
    <row r="93" spans="1:17">
      <c r="A93" s="17" t="s">
        <v>2563</v>
      </c>
      <c r="B93" s="17" t="s">
        <v>244</v>
      </c>
      <c r="C93" s="17" t="s">
        <v>245</v>
      </c>
      <c r="D93" s="13" t="s">
        <v>245</v>
      </c>
      <c r="E93" s="17" t="s">
        <v>93</v>
      </c>
      <c r="F93" s="17" t="s">
        <v>43</v>
      </c>
      <c r="G93" s="17" t="s">
        <v>50</v>
      </c>
      <c r="H93" s="7">
        <v>454211</v>
      </c>
      <c r="I93" s="7">
        <v>218990</v>
      </c>
      <c r="J93" s="79">
        <v>166.52584999999999</v>
      </c>
      <c r="K93" s="79">
        <v>-22.230840000000001</v>
      </c>
      <c r="L93" s="71">
        <v>305</v>
      </c>
      <c r="M93" s="73">
        <v>1</v>
      </c>
      <c r="N93" s="73">
        <v>1</v>
      </c>
      <c r="O93" s="73">
        <v>0</v>
      </c>
      <c r="P93" s="17" t="s">
        <v>37</v>
      </c>
      <c r="Q93" t="str">
        <f>LEFT(B93,3)</f>
        <v>BOU</v>
      </c>
    </row>
    <row r="94" spans="1:17">
      <c r="A94" s="17" t="s">
        <v>2564</v>
      </c>
      <c r="B94" s="17" t="s">
        <v>248</v>
      </c>
      <c r="C94" s="13" t="s">
        <v>250</v>
      </c>
      <c r="D94" s="13" t="s">
        <v>250</v>
      </c>
      <c r="E94" s="17" t="s">
        <v>249</v>
      </c>
      <c r="F94" s="17" t="s">
        <v>68</v>
      </c>
      <c r="G94" s="17" t="s">
        <v>68</v>
      </c>
      <c r="H94" s="7">
        <v>256485.86725000001</v>
      </c>
      <c r="I94" s="7">
        <v>374006.78480000002</v>
      </c>
      <c r="J94" s="80">
        <v>164.621190247165</v>
      </c>
      <c r="K94" s="80">
        <v>-20.8258073905488</v>
      </c>
      <c r="L94" s="71">
        <v>312</v>
      </c>
      <c r="M94" s="73">
        <v>1</v>
      </c>
      <c r="N94" s="73">
        <v>1</v>
      </c>
      <c r="O94" s="73">
        <v>1</v>
      </c>
      <c r="P94" s="17" t="s">
        <v>47</v>
      </c>
      <c r="Q94" t="str">
        <f>LEFT(B94,3)</f>
        <v>BOY</v>
      </c>
    </row>
    <row r="95" spans="1:17">
      <c r="A95" s="17" t="s">
        <v>2565</v>
      </c>
      <c r="B95" s="17" t="s">
        <v>253</v>
      </c>
      <c r="C95" s="13" t="s">
        <v>255</v>
      </c>
      <c r="D95" s="13" t="s">
        <v>254</v>
      </c>
      <c r="E95" s="17" t="s">
        <v>224</v>
      </c>
      <c r="F95" s="17" t="s">
        <v>68</v>
      </c>
      <c r="G95" s="17" t="s">
        <v>68</v>
      </c>
      <c r="H95" s="7">
        <v>249968</v>
      </c>
      <c r="I95" s="7">
        <v>407350</v>
      </c>
      <c r="J95" s="80">
        <v>164.56151971560399</v>
      </c>
      <c r="K95" s="80">
        <v>-20.524122300748701</v>
      </c>
      <c r="L95" s="71">
        <v>107</v>
      </c>
      <c r="M95" s="73">
        <v>1</v>
      </c>
      <c r="N95" s="73">
        <v>1</v>
      </c>
      <c r="O95" s="73">
        <v>1</v>
      </c>
      <c r="P95" s="17" t="s">
        <v>47</v>
      </c>
      <c r="Q95" t="str">
        <f>LEFT(B95,3)</f>
        <v>BPA</v>
      </c>
    </row>
    <row r="96" spans="1:17">
      <c r="A96" s="17" t="s">
        <v>2566</v>
      </c>
      <c r="B96" s="17" t="s">
        <v>253</v>
      </c>
      <c r="C96" s="13" t="s">
        <v>255</v>
      </c>
      <c r="D96" s="13" t="s">
        <v>254</v>
      </c>
      <c r="E96" s="17" t="s">
        <v>224</v>
      </c>
      <c r="F96" s="17" t="s">
        <v>68</v>
      </c>
      <c r="G96" s="17" t="s">
        <v>68</v>
      </c>
      <c r="H96" s="7">
        <v>249968</v>
      </c>
      <c r="I96" s="7">
        <v>407350</v>
      </c>
      <c r="J96" s="80">
        <v>164.56151971560399</v>
      </c>
      <c r="K96" s="80">
        <v>-20.524122300748701</v>
      </c>
      <c r="L96" s="71">
        <v>249</v>
      </c>
      <c r="M96" s="73">
        <v>1</v>
      </c>
      <c r="N96" s="73">
        <v>1</v>
      </c>
      <c r="O96" s="73">
        <v>1</v>
      </c>
      <c r="P96" s="17" t="s">
        <v>47</v>
      </c>
      <c r="Q96" t="str">
        <f>LEFT(B96,3)</f>
        <v>BPA</v>
      </c>
    </row>
    <row r="97" spans="1:17">
      <c r="A97" s="17" t="s">
        <v>2567</v>
      </c>
      <c r="B97" s="17" t="s">
        <v>253</v>
      </c>
      <c r="C97" s="13" t="s">
        <v>255</v>
      </c>
      <c r="D97" s="13" t="s">
        <v>254</v>
      </c>
      <c r="E97" s="17" t="s">
        <v>224</v>
      </c>
      <c r="F97" s="17" t="s">
        <v>68</v>
      </c>
      <c r="G97" s="17" t="s">
        <v>68</v>
      </c>
      <c r="H97" s="7">
        <v>249968</v>
      </c>
      <c r="I97" s="7">
        <v>407350</v>
      </c>
      <c r="J97" s="80">
        <v>164.56151971560399</v>
      </c>
      <c r="K97" s="80">
        <v>-20.524122300748701</v>
      </c>
      <c r="L97" s="71">
        <v>320</v>
      </c>
      <c r="M97" s="73">
        <v>1</v>
      </c>
      <c r="N97" s="73">
        <v>1</v>
      </c>
      <c r="O97" s="73">
        <v>1</v>
      </c>
      <c r="P97" s="17" t="s">
        <v>47</v>
      </c>
      <c r="Q97" t="str">
        <f>LEFT(B97,3)</f>
        <v>BPA</v>
      </c>
    </row>
    <row r="98" spans="1:17">
      <c r="A98" s="17" t="s">
        <v>2568</v>
      </c>
      <c r="B98" s="17" t="s">
        <v>259</v>
      </c>
      <c r="C98" s="13" t="s">
        <v>260</v>
      </c>
      <c r="D98" s="13" t="s">
        <v>261</v>
      </c>
      <c r="E98" s="17" t="s">
        <v>207</v>
      </c>
      <c r="F98" s="17" t="s">
        <v>43</v>
      </c>
      <c r="G98" s="17" t="s">
        <v>43</v>
      </c>
      <c r="H98" s="7">
        <v>406726</v>
      </c>
      <c r="I98" s="7">
        <v>258507</v>
      </c>
      <c r="J98" s="80">
        <v>166.06508400000001</v>
      </c>
      <c r="K98" s="80">
        <v>-21.874759999999998</v>
      </c>
      <c r="L98" s="71">
        <v>0</v>
      </c>
      <c r="M98" s="73">
        <v>1</v>
      </c>
      <c r="N98" s="73">
        <v>2</v>
      </c>
      <c r="O98" s="73">
        <v>0</v>
      </c>
      <c r="P98" s="17" t="s">
        <v>47</v>
      </c>
      <c r="Q98" t="str">
        <f>LEFT(B98,3)</f>
        <v>BPH</v>
      </c>
    </row>
    <row r="99" spans="1:17">
      <c r="A99" s="17" t="s">
        <v>2569</v>
      </c>
      <c r="B99" s="17" t="s">
        <v>259</v>
      </c>
      <c r="C99" s="13" t="s">
        <v>260</v>
      </c>
      <c r="D99" s="13" t="s">
        <v>261</v>
      </c>
      <c r="E99" s="17" t="s">
        <v>207</v>
      </c>
      <c r="F99" s="17" t="s">
        <v>43</v>
      </c>
      <c r="G99" s="17" t="s">
        <v>43</v>
      </c>
      <c r="H99" s="7">
        <v>406726</v>
      </c>
      <c r="I99" s="7">
        <v>258507</v>
      </c>
      <c r="J99" s="80">
        <v>166.06508400000001</v>
      </c>
      <c r="K99" s="80">
        <v>-21.874759999999998</v>
      </c>
      <c r="L99" s="71">
        <v>120</v>
      </c>
      <c r="M99" s="73">
        <v>1</v>
      </c>
      <c r="N99" s="73">
        <v>2</v>
      </c>
      <c r="O99" s="73">
        <v>0</v>
      </c>
      <c r="P99" s="17" t="s">
        <v>47</v>
      </c>
      <c r="Q99" t="str">
        <f>LEFT(B99,3)</f>
        <v>BPH</v>
      </c>
    </row>
    <row r="100" spans="1:17">
      <c r="A100" s="17" t="s">
        <v>2570</v>
      </c>
      <c r="B100" s="17" t="s">
        <v>259</v>
      </c>
      <c r="C100" s="13" t="s">
        <v>260</v>
      </c>
      <c r="D100" s="13" t="s">
        <v>261</v>
      </c>
      <c r="E100" s="17" t="s">
        <v>207</v>
      </c>
      <c r="F100" s="17" t="s">
        <v>43</v>
      </c>
      <c r="G100" s="17" t="s">
        <v>43</v>
      </c>
      <c r="H100" s="7">
        <v>406726</v>
      </c>
      <c r="I100" s="7">
        <v>258507</v>
      </c>
      <c r="J100" s="80">
        <v>166.06508400000001</v>
      </c>
      <c r="K100" s="80">
        <v>-21.874759999999998</v>
      </c>
      <c r="L100" s="71">
        <v>240</v>
      </c>
      <c r="M100" s="73">
        <v>1</v>
      </c>
      <c r="N100" s="73">
        <v>2</v>
      </c>
      <c r="O100" s="73">
        <v>0</v>
      </c>
      <c r="P100" s="17" t="s">
        <v>47</v>
      </c>
      <c r="Q100" t="str">
        <f>LEFT(B100,3)</f>
        <v>BPH</v>
      </c>
    </row>
    <row r="101" spans="1:17">
      <c r="A101" s="17" t="s">
        <v>2571</v>
      </c>
      <c r="B101" s="17" t="s">
        <v>264</v>
      </c>
      <c r="C101" s="13" t="s">
        <v>266</v>
      </c>
      <c r="D101" s="13" t="s">
        <v>266</v>
      </c>
      <c r="E101" s="17" t="s">
        <v>29</v>
      </c>
      <c r="F101" s="17" t="s">
        <v>43</v>
      </c>
      <c r="G101" s="17" t="s">
        <v>30</v>
      </c>
      <c r="H101" s="7">
        <v>445901.02779000002</v>
      </c>
      <c r="I101" s="7">
        <v>214071.93423000001</v>
      </c>
      <c r="J101" s="80">
        <v>166.44538167794499</v>
      </c>
      <c r="K101" s="80">
        <v>-22.275489853119801</v>
      </c>
      <c r="L101" s="71">
        <v>30</v>
      </c>
      <c r="M101" s="73">
        <v>2</v>
      </c>
      <c r="N101" s="73">
        <v>2</v>
      </c>
      <c r="O101" s="73">
        <v>1</v>
      </c>
      <c r="P101" s="17" t="s">
        <v>37</v>
      </c>
      <c r="Q101" t="str">
        <f>LEFT(B101,3)</f>
        <v>BRA</v>
      </c>
    </row>
    <row r="102" spans="1:17">
      <c r="A102" s="17" t="s">
        <v>2572</v>
      </c>
      <c r="B102" s="17" t="s">
        <v>264</v>
      </c>
      <c r="C102" s="13" t="s">
        <v>266</v>
      </c>
      <c r="D102" s="13" t="s">
        <v>266</v>
      </c>
      <c r="E102" s="17" t="s">
        <v>29</v>
      </c>
      <c r="F102" s="17" t="s">
        <v>43</v>
      </c>
      <c r="G102" s="17" t="s">
        <v>30</v>
      </c>
      <c r="H102" s="7">
        <v>445901.02779000002</v>
      </c>
      <c r="I102" s="7">
        <v>214071.93423000001</v>
      </c>
      <c r="J102" s="80">
        <v>166.44538167794499</v>
      </c>
      <c r="K102" s="80">
        <v>-22.275489853119801</v>
      </c>
      <c r="L102" s="71">
        <v>150</v>
      </c>
      <c r="M102" s="73">
        <v>2</v>
      </c>
      <c r="N102" s="73">
        <v>2</v>
      </c>
      <c r="O102" s="73">
        <v>1</v>
      </c>
      <c r="P102" s="17" t="s">
        <v>37</v>
      </c>
      <c r="Q102" t="str">
        <f>LEFT(B102,3)</f>
        <v>BRA</v>
      </c>
    </row>
    <row r="103" spans="1:17">
      <c r="A103" s="17" t="s">
        <v>2573</v>
      </c>
      <c r="B103" s="17" t="s">
        <v>264</v>
      </c>
      <c r="C103" s="13" t="s">
        <v>266</v>
      </c>
      <c r="D103" s="13" t="s">
        <v>266</v>
      </c>
      <c r="E103" s="17" t="s">
        <v>29</v>
      </c>
      <c r="F103" s="17" t="s">
        <v>43</v>
      </c>
      <c r="G103" s="17" t="s">
        <v>30</v>
      </c>
      <c r="H103" s="7">
        <v>445901.02779000002</v>
      </c>
      <c r="I103" s="7">
        <v>214071.93423000001</v>
      </c>
      <c r="J103" s="80">
        <v>166.44538167794499</v>
      </c>
      <c r="K103" s="80">
        <v>-22.275489853119801</v>
      </c>
      <c r="L103" s="71">
        <v>270</v>
      </c>
      <c r="M103" s="73">
        <v>2</v>
      </c>
      <c r="N103" s="73">
        <v>2</v>
      </c>
      <c r="O103" s="73">
        <v>1</v>
      </c>
      <c r="P103" s="17" t="s">
        <v>37</v>
      </c>
      <c r="Q103" t="str">
        <f>LEFT(B103,3)</f>
        <v>BRA</v>
      </c>
    </row>
    <row r="104" spans="1:17">
      <c r="A104" s="17" t="s">
        <v>2574</v>
      </c>
      <c r="B104" s="17" t="s">
        <v>269</v>
      </c>
      <c r="C104" s="13" t="s">
        <v>270</v>
      </c>
      <c r="D104" s="13" t="s">
        <v>271</v>
      </c>
      <c r="E104" s="17" t="s">
        <v>123</v>
      </c>
      <c r="F104" s="17" t="s">
        <v>68</v>
      </c>
      <c r="G104" s="17" t="s">
        <v>68</v>
      </c>
      <c r="H104" s="7">
        <v>207764</v>
      </c>
      <c r="I104" s="7">
        <v>432089</v>
      </c>
      <c r="J104" s="80">
        <v>164.15970100000001</v>
      </c>
      <c r="K104" s="80">
        <v>-20.296695</v>
      </c>
      <c r="L104" s="71">
        <v>60</v>
      </c>
      <c r="M104" s="73">
        <v>1</v>
      </c>
      <c r="N104" s="73">
        <v>1</v>
      </c>
      <c r="O104" s="73">
        <v>0</v>
      </c>
      <c r="P104" s="17" t="s">
        <v>47</v>
      </c>
      <c r="Q104" t="str">
        <f>LEFT(B104,3)</f>
        <v>BRB</v>
      </c>
    </row>
    <row r="105" spans="1:17">
      <c r="A105" s="17" t="s">
        <v>2575</v>
      </c>
      <c r="B105" s="17" t="s">
        <v>269</v>
      </c>
      <c r="C105" s="13" t="s">
        <v>270</v>
      </c>
      <c r="D105" s="13" t="s">
        <v>271</v>
      </c>
      <c r="E105" s="17" t="s">
        <v>123</v>
      </c>
      <c r="F105" s="17" t="s">
        <v>68</v>
      </c>
      <c r="G105" s="17" t="s">
        <v>68</v>
      </c>
      <c r="H105" s="7">
        <v>207764</v>
      </c>
      <c r="I105" s="7">
        <v>432089</v>
      </c>
      <c r="J105" s="80">
        <v>164.15970100000001</v>
      </c>
      <c r="K105" s="80">
        <v>-20.296695</v>
      </c>
      <c r="L105" s="71">
        <v>180</v>
      </c>
      <c r="M105" s="73">
        <v>1</v>
      </c>
      <c r="N105" s="73">
        <v>1</v>
      </c>
      <c r="O105" s="73">
        <v>0</v>
      </c>
      <c r="P105" s="17" t="s">
        <v>47</v>
      </c>
      <c r="Q105" t="str">
        <f>LEFT(B105,3)</f>
        <v>BRB</v>
      </c>
    </row>
    <row r="106" spans="1:17">
      <c r="A106" s="17" t="s">
        <v>2576</v>
      </c>
      <c r="B106" s="17" t="s">
        <v>269</v>
      </c>
      <c r="C106" s="13" t="s">
        <v>270</v>
      </c>
      <c r="D106" s="13" t="s">
        <v>271</v>
      </c>
      <c r="E106" s="17" t="s">
        <v>123</v>
      </c>
      <c r="F106" s="17" t="s">
        <v>68</v>
      </c>
      <c r="G106" s="17" t="s">
        <v>68</v>
      </c>
      <c r="H106" s="7">
        <v>207764</v>
      </c>
      <c r="I106" s="7">
        <v>432089</v>
      </c>
      <c r="J106" s="80">
        <v>164.15970100000001</v>
      </c>
      <c r="K106" s="80">
        <v>-20.296695</v>
      </c>
      <c r="L106" s="71">
        <v>300</v>
      </c>
      <c r="M106" s="73">
        <v>1</v>
      </c>
      <c r="N106" s="73">
        <v>1</v>
      </c>
      <c r="O106" s="73">
        <v>0</v>
      </c>
      <c r="P106" s="17" t="s">
        <v>47</v>
      </c>
      <c r="Q106" t="str">
        <f>LEFT(B106,3)</f>
        <v>BRB</v>
      </c>
    </row>
    <row r="107" spans="1:17">
      <c r="A107" s="17" t="s">
        <v>2577</v>
      </c>
      <c r="B107" s="17" t="s">
        <v>273</v>
      </c>
      <c r="C107" s="13" t="s">
        <v>274</v>
      </c>
      <c r="D107" s="13" t="s">
        <v>275</v>
      </c>
      <c r="E107" s="17" t="s">
        <v>207</v>
      </c>
      <c r="F107" s="17" t="s">
        <v>43</v>
      </c>
      <c r="G107" s="17" t="s">
        <v>43</v>
      </c>
      <c r="H107" s="7">
        <v>400363</v>
      </c>
      <c r="I107" s="7">
        <v>250720</v>
      </c>
      <c r="J107" s="80">
        <v>166.003514</v>
      </c>
      <c r="K107" s="80">
        <v>-21.945103</v>
      </c>
      <c r="L107" s="71">
        <v>65</v>
      </c>
      <c r="M107" s="73">
        <v>1</v>
      </c>
      <c r="N107" s="73">
        <v>2</v>
      </c>
      <c r="O107" s="73">
        <v>1</v>
      </c>
      <c r="P107" s="17" t="s">
        <v>47</v>
      </c>
      <c r="Q107" t="s">
        <v>276</v>
      </c>
    </row>
    <row r="108" spans="1:17">
      <c r="A108" s="17" t="s">
        <v>2578</v>
      </c>
      <c r="B108" s="17" t="s">
        <v>273</v>
      </c>
      <c r="C108" s="13" t="s">
        <v>274</v>
      </c>
      <c r="D108" s="13" t="s">
        <v>275</v>
      </c>
      <c r="E108" s="17" t="s">
        <v>207</v>
      </c>
      <c r="F108" s="17" t="s">
        <v>43</v>
      </c>
      <c r="G108" s="17" t="s">
        <v>43</v>
      </c>
      <c r="H108" s="7">
        <v>400363</v>
      </c>
      <c r="I108" s="7">
        <v>250720</v>
      </c>
      <c r="J108" s="80">
        <v>166.003514</v>
      </c>
      <c r="K108" s="80">
        <v>-21.945103</v>
      </c>
      <c r="L108" s="71">
        <v>180</v>
      </c>
      <c r="M108" s="73">
        <v>1</v>
      </c>
      <c r="N108" s="73">
        <v>2</v>
      </c>
      <c r="O108" s="73">
        <v>1</v>
      </c>
      <c r="P108" s="17" t="s">
        <v>47</v>
      </c>
      <c r="Q108" t="s">
        <v>276</v>
      </c>
    </row>
    <row r="109" spans="1:17">
      <c r="A109" s="17" t="s">
        <v>2579</v>
      </c>
      <c r="B109" s="17" t="s">
        <v>273</v>
      </c>
      <c r="C109" s="13" t="s">
        <v>274</v>
      </c>
      <c r="D109" s="13" t="s">
        <v>275</v>
      </c>
      <c r="E109" s="17" t="s">
        <v>207</v>
      </c>
      <c r="F109" s="17" t="s">
        <v>43</v>
      </c>
      <c r="G109" s="17" t="s">
        <v>43</v>
      </c>
      <c r="H109" s="7">
        <v>400363</v>
      </c>
      <c r="I109" s="7">
        <v>250720</v>
      </c>
      <c r="J109" s="80">
        <v>166.003514</v>
      </c>
      <c r="K109" s="80">
        <v>-21.945103</v>
      </c>
      <c r="L109" s="71">
        <v>335</v>
      </c>
      <c r="M109" s="73">
        <v>1</v>
      </c>
      <c r="N109" s="73">
        <v>2</v>
      </c>
      <c r="O109" s="73">
        <v>1</v>
      </c>
      <c r="P109" s="17" t="s">
        <v>47</v>
      </c>
      <c r="Q109" t="s">
        <v>276</v>
      </c>
    </row>
    <row r="110" spans="1:17">
      <c r="A110" s="17" t="s">
        <v>2580</v>
      </c>
      <c r="B110" s="17" t="s">
        <v>277</v>
      </c>
      <c r="C110" s="13" t="s">
        <v>191</v>
      </c>
      <c r="D110" s="13" t="s">
        <v>191</v>
      </c>
      <c r="E110" s="17" t="s">
        <v>191</v>
      </c>
      <c r="F110" s="17" t="s">
        <v>43</v>
      </c>
      <c r="G110" s="17" t="s">
        <v>43</v>
      </c>
      <c r="H110" s="7">
        <v>347997.32604999997</v>
      </c>
      <c r="I110" s="7">
        <v>292338.70828000002</v>
      </c>
      <c r="J110" s="80">
        <v>165.49784986903501</v>
      </c>
      <c r="K110" s="80">
        <v>-21.568442887981998</v>
      </c>
      <c r="L110" s="71">
        <v>13</v>
      </c>
      <c r="M110" s="73">
        <v>2</v>
      </c>
      <c r="N110" s="73">
        <v>1</v>
      </c>
      <c r="O110" s="73">
        <v>1</v>
      </c>
      <c r="P110" s="17" t="s">
        <v>37</v>
      </c>
      <c r="Q110" t="str">
        <f>LEFT(B110,3)</f>
        <v>BRL</v>
      </c>
    </row>
    <row r="111" spans="1:17">
      <c r="A111" s="17" t="s">
        <v>2581</v>
      </c>
      <c r="B111" s="17" t="s">
        <v>277</v>
      </c>
      <c r="C111" s="13" t="s">
        <v>191</v>
      </c>
      <c r="D111" s="13" t="s">
        <v>191</v>
      </c>
      <c r="E111" s="17" t="s">
        <v>191</v>
      </c>
      <c r="F111" s="17" t="s">
        <v>43</v>
      </c>
      <c r="G111" s="17" t="s">
        <v>43</v>
      </c>
      <c r="H111" s="7">
        <v>347997.32604999997</v>
      </c>
      <c r="I111" s="7">
        <v>292338.70828000002</v>
      </c>
      <c r="J111" s="80">
        <v>165.49784986903501</v>
      </c>
      <c r="K111" s="80">
        <v>-21.568442887981998</v>
      </c>
      <c r="L111" s="71">
        <v>133</v>
      </c>
      <c r="M111" s="73">
        <v>2</v>
      </c>
      <c r="N111" s="73">
        <v>1</v>
      </c>
      <c r="O111" s="73">
        <v>1</v>
      </c>
      <c r="P111" s="17" t="s">
        <v>37</v>
      </c>
      <c r="Q111" t="str">
        <f>LEFT(B111,3)</f>
        <v>BRL</v>
      </c>
    </row>
    <row r="112" spans="1:17">
      <c r="A112" s="17" t="s">
        <v>2582</v>
      </c>
      <c r="B112" s="17" t="s">
        <v>277</v>
      </c>
      <c r="C112" s="13" t="s">
        <v>191</v>
      </c>
      <c r="D112" s="13" t="s">
        <v>191</v>
      </c>
      <c r="E112" s="17" t="s">
        <v>191</v>
      </c>
      <c r="F112" s="17" t="s">
        <v>43</v>
      </c>
      <c r="G112" s="17" t="s">
        <v>43</v>
      </c>
      <c r="H112" s="7">
        <v>347997.32604999997</v>
      </c>
      <c r="I112" s="7">
        <v>292338.70828000002</v>
      </c>
      <c r="J112" s="80">
        <v>165.49784986903501</v>
      </c>
      <c r="K112" s="80">
        <v>-21.568442887981998</v>
      </c>
      <c r="L112" s="71">
        <v>296</v>
      </c>
      <c r="M112" s="73">
        <v>2</v>
      </c>
      <c r="N112" s="73">
        <v>1</v>
      </c>
      <c r="O112" s="73">
        <v>1</v>
      </c>
      <c r="P112" s="17" t="s">
        <v>37</v>
      </c>
      <c r="Q112" t="str">
        <f>LEFT(B112,3)</f>
        <v>BRL</v>
      </c>
    </row>
    <row r="113" spans="1:17">
      <c r="A113" s="17" t="s">
        <v>2583</v>
      </c>
      <c r="B113" s="17" t="s">
        <v>280</v>
      </c>
      <c r="C113" s="13" t="s">
        <v>281</v>
      </c>
      <c r="D113" s="13" t="s">
        <v>282</v>
      </c>
      <c r="E113" s="17" t="s">
        <v>191</v>
      </c>
      <c r="F113" s="17" t="s">
        <v>43</v>
      </c>
      <c r="G113" s="17" t="s">
        <v>43</v>
      </c>
      <c r="H113" s="2">
        <v>329965</v>
      </c>
      <c r="I113" s="2">
        <v>292359</v>
      </c>
      <c r="J113" s="2">
        <v>165.32373200000001</v>
      </c>
      <c r="K113" s="8">
        <v>-21.567647999999998</v>
      </c>
      <c r="L113" s="71">
        <v>40</v>
      </c>
      <c r="M113" s="73">
        <v>1</v>
      </c>
      <c r="N113" s="73">
        <v>1</v>
      </c>
      <c r="O113" s="73">
        <v>1</v>
      </c>
      <c r="P113" s="17" t="s">
        <v>47</v>
      </c>
      <c r="Q113" t="str">
        <f>LEFT(B113,3)</f>
        <v>BTD</v>
      </c>
    </row>
    <row r="114" spans="1:17">
      <c r="A114" s="17" t="s">
        <v>2584</v>
      </c>
      <c r="B114" s="17" t="s">
        <v>280</v>
      </c>
      <c r="C114" s="13" t="s">
        <v>281</v>
      </c>
      <c r="D114" s="13" t="s">
        <v>282</v>
      </c>
      <c r="E114" s="17" t="s">
        <v>191</v>
      </c>
      <c r="F114" s="17" t="s">
        <v>43</v>
      </c>
      <c r="G114" s="17" t="s">
        <v>43</v>
      </c>
      <c r="H114" s="2">
        <v>329965</v>
      </c>
      <c r="I114" s="2">
        <v>292359</v>
      </c>
      <c r="J114" s="2">
        <v>165.32373200000001</v>
      </c>
      <c r="K114" s="8">
        <v>-21.567647999999998</v>
      </c>
      <c r="L114" s="71">
        <v>160</v>
      </c>
      <c r="M114" s="73">
        <v>1</v>
      </c>
      <c r="N114" s="73">
        <v>1</v>
      </c>
      <c r="O114" s="73">
        <v>1</v>
      </c>
      <c r="P114" s="17" t="s">
        <v>47</v>
      </c>
      <c r="Q114" t="str">
        <f>LEFT(B114,3)</f>
        <v>BTD</v>
      </c>
    </row>
    <row r="115" spans="1:17">
      <c r="A115" s="17" t="s">
        <v>2585</v>
      </c>
      <c r="B115" s="17" t="s">
        <v>280</v>
      </c>
      <c r="C115" s="13" t="s">
        <v>281</v>
      </c>
      <c r="D115" s="13" t="s">
        <v>282</v>
      </c>
      <c r="E115" s="17" t="s">
        <v>191</v>
      </c>
      <c r="F115" s="17" t="s">
        <v>43</v>
      </c>
      <c r="G115" s="17" t="s">
        <v>43</v>
      </c>
      <c r="H115" s="2">
        <v>329965</v>
      </c>
      <c r="I115" s="2">
        <v>292359</v>
      </c>
      <c r="J115" s="2">
        <v>165.32373200000001</v>
      </c>
      <c r="K115" s="8">
        <v>-21.567647999999998</v>
      </c>
      <c r="L115" s="71">
        <v>280</v>
      </c>
      <c r="M115" s="73">
        <v>1</v>
      </c>
      <c r="N115" s="73">
        <v>1</v>
      </c>
      <c r="O115" s="73">
        <v>1</v>
      </c>
      <c r="P115" s="17" t="s">
        <v>47</v>
      </c>
      <c r="Q115" t="str">
        <f>LEFT(B115,3)</f>
        <v>BTD</v>
      </c>
    </row>
    <row r="116" spans="1:17">
      <c r="A116" s="17" t="s">
        <v>2586</v>
      </c>
      <c r="B116" s="17" t="s">
        <v>284</v>
      </c>
      <c r="C116" s="17" t="s">
        <v>285</v>
      </c>
      <c r="D116" s="17" t="s">
        <v>286</v>
      </c>
      <c r="E116" s="17" t="s">
        <v>191</v>
      </c>
      <c r="F116" s="17" t="s">
        <v>43</v>
      </c>
      <c r="G116" s="17" t="s">
        <v>43</v>
      </c>
      <c r="H116" s="19">
        <v>350939</v>
      </c>
      <c r="I116" s="19">
        <v>292801</v>
      </c>
      <c r="J116" s="80">
        <v>165.52627000000001</v>
      </c>
      <c r="K116" s="80">
        <v>-21.564350000000001</v>
      </c>
      <c r="L116" s="71">
        <v>0</v>
      </c>
      <c r="M116" s="73">
        <v>1</v>
      </c>
      <c r="N116" s="73">
        <v>1</v>
      </c>
      <c r="O116" s="73">
        <v>0</v>
      </c>
      <c r="P116" s="17" t="s">
        <v>47</v>
      </c>
      <c r="Q116" t="str">
        <f>LEFT(B116,3)</f>
        <v>BTK</v>
      </c>
    </row>
    <row r="117" spans="1:17">
      <c r="A117" s="17" t="s">
        <v>2587</v>
      </c>
      <c r="B117" s="17" t="s">
        <v>288</v>
      </c>
      <c r="C117" s="17" t="s">
        <v>289</v>
      </c>
      <c r="D117" s="17" t="s">
        <v>289</v>
      </c>
      <c r="E117" s="17" t="s">
        <v>49</v>
      </c>
      <c r="F117" s="17" t="s">
        <v>43</v>
      </c>
      <c r="G117" s="17" t="s">
        <v>50</v>
      </c>
      <c r="H117" s="22">
        <v>447468</v>
      </c>
      <c r="I117" s="22">
        <v>222247</v>
      </c>
      <c r="J117" s="83">
        <v>166.46035000000001</v>
      </c>
      <c r="K117" s="83">
        <v>-22.201619999999998</v>
      </c>
      <c r="L117" s="72">
        <v>129</v>
      </c>
      <c r="M117" s="73">
        <v>1</v>
      </c>
      <c r="N117" s="73">
        <v>1</v>
      </c>
      <c r="O117" s="73">
        <v>0</v>
      </c>
      <c r="P117" s="17" t="s">
        <v>37</v>
      </c>
      <c r="Q117" t="str">
        <f>LEFT(B117,3)</f>
        <v>BUT</v>
      </c>
    </row>
    <row r="118" spans="1:17">
      <c r="A118" s="17" t="s">
        <v>2588</v>
      </c>
      <c r="B118" s="17" t="s">
        <v>288</v>
      </c>
      <c r="C118" s="17" t="s">
        <v>289</v>
      </c>
      <c r="D118" s="17" t="s">
        <v>289</v>
      </c>
      <c r="E118" s="17" t="s">
        <v>49</v>
      </c>
      <c r="F118" s="17" t="s">
        <v>43</v>
      </c>
      <c r="G118" s="17" t="s">
        <v>50</v>
      </c>
      <c r="H118" s="22">
        <v>447468</v>
      </c>
      <c r="I118" s="22">
        <v>222247</v>
      </c>
      <c r="J118" s="83">
        <v>166.46035000000001</v>
      </c>
      <c r="K118" s="83">
        <v>-22.201619999999998</v>
      </c>
      <c r="L118" s="72">
        <v>244</v>
      </c>
      <c r="M118" s="72">
        <v>1</v>
      </c>
      <c r="N118" s="72">
        <v>1</v>
      </c>
      <c r="O118" s="72">
        <v>0</v>
      </c>
      <c r="P118" s="17" t="s">
        <v>37</v>
      </c>
      <c r="Q118" t="str">
        <f>LEFT(B118,3)</f>
        <v>BUT</v>
      </c>
    </row>
    <row r="119" spans="1:17">
      <c r="A119" s="17" t="s">
        <v>2589</v>
      </c>
      <c r="B119" s="17" t="s">
        <v>292</v>
      </c>
      <c r="C119" s="13" t="s">
        <v>293</v>
      </c>
      <c r="D119" s="13" t="s">
        <v>293</v>
      </c>
      <c r="E119" s="17" t="s">
        <v>93</v>
      </c>
      <c r="F119" s="17" t="s">
        <v>43</v>
      </c>
      <c r="G119" s="17" t="s">
        <v>50</v>
      </c>
      <c r="H119" s="7">
        <v>493102.47885000001</v>
      </c>
      <c r="I119" s="7">
        <v>209851.04879999999</v>
      </c>
      <c r="J119" s="80">
        <v>166.90360650171999</v>
      </c>
      <c r="K119" s="80">
        <v>-22.3117690391149</v>
      </c>
      <c r="L119" s="71">
        <v>191</v>
      </c>
      <c r="M119" s="73">
        <v>2</v>
      </c>
      <c r="N119" s="73">
        <v>2</v>
      </c>
      <c r="O119" s="73">
        <v>1</v>
      </c>
      <c r="P119" s="17" t="s">
        <v>37</v>
      </c>
      <c r="Q119" t="str">
        <f>LEFT(B119,3)</f>
        <v>BVI</v>
      </c>
    </row>
    <row r="120" spans="1:17">
      <c r="A120" s="17" t="s">
        <v>2590</v>
      </c>
      <c r="B120" s="17" t="s">
        <v>296</v>
      </c>
      <c r="C120" s="13" t="s">
        <v>298</v>
      </c>
      <c r="D120" s="13" t="s">
        <v>299</v>
      </c>
      <c r="E120" s="17" t="s">
        <v>297</v>
      </c>
      <c r="F120" s="17" t="s">
        <v>68</v>
      </c>
      <c r="G120" s="17" t="s">
        <v>68</v>
      </c>
      <c r="H120" s="7">
        <v>236791.27729999999</v>
      </c>
      <c r="I120" s="7">
        <v>431822.821</v>
      </c>
      <c r="J120" s="80">
        <v>164.43753421210801</v>
      </c>
      <c r="K120" s="80">
        <v>-20.301950510542699</v>
      </c>
      <c r="L120" s="71">
        <v>63</v>
      </c>
      <c r="M120" s="73">
        <v>1</v>
      </c>
      <c r="N120" s="73">
        <v>1</v>
      </c>
      <c r="O120" s="73">
        <v>1</v>
      </c>
      <c r="P120" s="17" t="s">
        <v>47</v>
      </c>
      <c r="Q120" t="str">
        <f>LEFT(B120,3)</f>
        <v>BWA</v>
      </c>
    </row>
    <row r="121" spans="1:17">
      <c r="A121" s="17" t="s">
        <v>2591</v>
      </c>
      <c r="B121" s="17" t="s">
        <v>296</v>
      </c>
      <c r="C121" s="13" t="s">
        <v>298</v>
      </c>
      <c r="D121" s="13" t="s">
        <v>299</v>
      </c>
      <c r="E121" s="17" t="s">
        <v>297</v>
      </c>
      <c r="F121" s="17" t="s">
        <v>68</v>
      </c>
      <c r="G121" s="17" t="s">
        <v>68</v>
      </c>
      <c r="H121" s="7">
        <v>236791.27729999999</v>
      </c>
      <c r="I121" s="7">
        <v>431822.821</v>
      </c>
      <c r="J121" s="80">
        <v>164.43753421210801</v>
      </c>
      <c r="K121" s="80">
        <v>-20.301950510542699</v>
      </c>
      <c r="L121" s="71">
        <v>175</v>
      </c>
      <c r="M121" s="73">
        <v>2</v>
      </c>
      <c r="N121" s="73">
        <v>1</v>
      </c>
      <c r="O121" s="73">
        <v>1</v>
      </c>
      <c r="P121" s="17" t="s">
        <v>47</v>
      </c>
      <c r="Q121" t="str">
        <f>LEFT(B121,3)</f>
        <v>BWA</v>
      </c>
    </row>
    <row r="122" spans="1:17">
      <c r="A122" s="17" t="s">
        <v>2592</v>
      </c>
      <c r="B122" s="17" t="s">
        <v>296</v>
      </c>
      <c r="C122" s="13" t="s">
        <v>298</v>
      </c>
      <c r="D122" s="13" t="s">
        <v>299</v>
      </c>
      <c r="E122" s="17" t="s">
        <v>297</v>
      </c>
      <c r="F122" s="17" t="s">
        <v>68</v>
      </c>
      <c r="G122" s="17" t="s">
        <v>68</v>
      </c>
      <c r="H122" s="7">
        <v>236791.27729999999</v>
      </c>
      <c r="I122" s="7">
        <v>431822.821</v>
      </c>
      <c r="J122" s="80">
        <v>164.43753421210801</v>
      </c>
      <c r="K122" s="80">
        <v>-20.301950510542699</v>
      </c>
      <c r="L122" s="71">
        <v>355</v>
      </c>
      <c r="M122" s="73">
        <v>1</v>
      </c>
      <c r="N122" s="73">
        <v>1</v>
      </c>
      <c r="O122" s="73">
        <v>1</v>
      </c>
      <c r="P122" s="17" t="s">
        <v>47</v>
      </c>
      <c r="Q122" t="str">
        <f>LEFT(B122,3)</f>
        <v>BWA</v>
      </c>
    </row>
    <row r="123" spans="1:17">
      <c r="A123" s="17" t="s">
        <v>2593</v>
      </c>
      <c r="B123" s="17" t="s">
        <v>302</v>
      </c>
      <c r="C123" s="13" t="s">
        <v>303</v>
      </c>
      <c r="D123" s="13" t="s">
        <v>303</v>
      </c>
      <c r="E123" s="17" t="s">
        <v>224</v>
      </c>
      <c r="F123" s="17" t="s">
        <v>68</v>
      </c>
      <c r="G123" s="17" t="s">
        <v>68</v>
      </c>
      <c r="H123" s="7">
        <v>247327.03959999999</v>
      </c>
      <c r="I123" s="7">
        <v>407381.03586</v>
      </c>
      <c r="J123" s="80">
        <v>164.53620252496501</v>
      </c>
      <c r="K123" s="80">
        <v>-20.523620887303199</v>
      </c>
      <c r="L123" s="71">
        <v>49</v>
      </c>
      <c r="M123" s="73">
        <v>1</v>
      </c>
      <c r="N123" s="73">
        <v>1</v>
      </c>
      <c r="O123" s="73">
        <v>1</v>
      </c>
      <c r="P123" s="17" t="s">
        <v>47</v>
      </c>
      <c r="Q123" t="str">
        <f>LEFT(B123,3)</f>
        <v>BWP</v>
      </c>
    </row>
    <row r="124" spans="1:17">
      <c r="A124" s="17" t="s">
        <v>2594</v>
      </c>
      <c r="B124" s="17" t="s">
        <v>302</v>
      </c>
      <c r="C124" s="13" t="s">
        <v>303</v>
      </c>
      <c r="D124" s="13" t="s">
        <v>303</v>
      </c>
      <c r="E124" s="17" t="s">
        <v>224</v>
      </c>
      <c r="F124" s="17" t="s">
        <v>68</v>
      </c>
      <c r="G124" s="17" t="s">
        <v>68</v>
      </c>
      <c r="H124" s="7">
        <v>247327.03959999999</v>
      </c>
      <c r="I124" s="7">
        <v>407381.03586</v>
      </c>
      <c r="J124" s="80">
        <v>164.53620252496501</v>
      </c>
      <c r="K124" s="80">
        <v>-20.523620887303199</v>
      </c>
      <c r="L124" s="71">
        <v>305</v>
      </c>
      <c r="M124" s="73">
        <v>1</v>
      </c>
      <c r="N124" s="73">
        <v>1</v>
      </c>
      <c r="O124" s="73">
        <v>1</v>
      </c>
      <c r="P124" s="17" t="s">
        <v>47</v>
      </c>
      <c r="Q124" t="str">
        <f>LEFT(B124,3)</f>
        <v>BWP</v>
      </c>
    </row>
    <row r="125" spans="1:17">
      <c r="A125" s="17" t="s">
        <v>2595</v>
      </c>
      <c r="B125" s="17" t="s">
        <v>307</v>
      </c>
      <c r="C125" s="13" t="s">
        <v>309</v>
      </c>
      <c r="D125" s="13" t="s">
        <v>309</v>
      </c>
      <c r="E125" s="17" t="s">
        <v>56</v>
      </c>
      <c r="F125" s="17" t="s">
        <v>43</v>
      </c>
      <c r="G125" s="17" t="s">
        <v>50</v>
      </c>
      <c r="H125" s="7">
        <v>425124.35110000003</v>
      </c>
      <c r="I125" s="7">
        <v>239025.91495000001</v>
      </c>
      <c r="J125" s="80">
        <v>166.24340396901101</v>
      </c>
      <c r="K125" s="80">
        <v>-22.0505412302292</v>
      </c>
      <c r="L125" s="71">
        <v>169</v>
      </c>
      <c r="M125" s="73">
        <v>1</v>
      </c>
      <c r="N125" s="73">
        <v>1</v>
      </c>
      <c r="O125" s="73">
        <v>1</v>
      </c>
      <c r="P125" s="17" t="s">
        <v>47</v>
      </c>
      <c r="Q125" t="str">
        <f>LEFT(B125,3)</f>
        <v>C48</v>
      </c>
    </row>
    <row r="126" spans="1:17">
      <c r="A126" s="17" t="s">
        <v>2596</v>
      </c>
      <c r="B126" s="17" t="s">
        <v>307</v>
      </c>
      <c r="C126" s="13" t="s">
        <v>309</v>
      </c>
      <c r="D126" s="13" t="s">
        <v>309</v>
      </c>
      <c r="E126" s="17" t="s">
        <v>56</v>
      </c>
      <c r="F126" s="17" t="s">
        <v>43</v>
      </c>
      <c r="G126" s="17" t="s">
        <v>50</v>
      </c>
      <c r="H126" s="7">
        <v>425124.35110000003</v>
      </c>
      <c r="I126" s="7">
        <v>239025.91495000001</v>
      </c>
      <c r="J126" s="80">
        <v>166.24340396901101</v>
      </c>
      <c r="K126" s="80">
        <v>-22.0505412302292</v>
      </c>
      <c r="L126" s="71">
        <v>284</v>
      </c>
      <c r="M126" s="73">
        <v>1</v>
      </c>
      <c r="N126" s="73">
        <v>1</v>
      </c>
      <c r="O126" s="73">
        <v>1</v>
      </c>
      <c r="P126" s="17" t="s">
        <v>47</v>
      </c>
      <c r="Q126" t="str">
        <f>LEFT(B126,3)</f>
        <v>C48</v>
      </c>
    </row>
    <row r="127" spans="1:17">
      <c r="A127" s="17" t="s">
        <v>2597</v>
      </c>
      <c r="B127" s="17" t="s">
        <v>312</v>
      </c>
      <c r="C127" s="13" t="s">
        <v>98</v>
      </c>
      <c r="D127" s="13" t="s">
        <v>98</v>
      </c>
      <c r="E127" s="17" t="s">
        <v>98</v>
      </c>
      <c r="F127" s="17" t="s">
        <v>68</v>
      </c>
      <c r="G127" s="17" t="s">
        <v>68</v>
      </c>
      <c r="H127" s="7">
        <v>396132.20111999998</v>
      </c>
      <c r="I127" s="7">
        <v>297880.81057999999</v>
      </c>
      <c r="J127" s="80">
        <v>165.96266256433</v>
      </c>
      <c r="K127" s="80">
        <v>-21.519135565016501</v>
      </c>
      <c r="L127" s="71">
        <v>125</v>
      </c>
      <c r="M127" s="73">
        <v>1</v>
      </c>
      <c r="N127" s="73">
        <v>1</v>
      </c>
      <c r="O127" s="73">
        <v>1</v>
      </c>
      <c r="P127" s="17" t="s">
        <v>47</v>
      </c>
      <c r="Q127" t="str">
        <f>LEFT(B127,3)</f>
        <v>CAN</v>
      </c>
    </row>
    <row r="128" spans="1:17">
      <c r="A128" s="17" t="s">
        <v>2598</v>
      </c>
      <c r="B128" s="17" t="s">
        <v>312</v>
      </c>
      <c r="C128" s="13" t="s">
        <v>98</v>
      </c>
      <c r="D128" s="13" t="s">
        <v>98</v>
      </c>
      <c r="E128" s="17" t="s">
        <v>98</v>
      </c>
      <c r="F128" s="17" t="s">
        <v>68</v>
      </c>
      <c r="G128" s="17" t="s">
        <v>68</v>
      </c>
      <c r="H128" s="7">
        <v>396132.20111999998</v>
      </c>
      <c r="I128" s="7">
        <v>297880.81057999999</v>
      </c>
      <c r="J128" s="80">
        <v>165.96266256433</v>
      </c>
      <c r="K128" s="80">
        <v>-21.519135565016501</v>
      </c>
      <c r="L128" s="71">
        <v>265</v>
      </c>
      <c r="M128" s="73">
        <v>1</v>
      </c>
      <c r="N128" s="73">
        <v>1</v>
      </c>
      <c r="O128" s="73">
        <v>1</v>
      </c>
      <c r="P128" s="17" t="s">
        <v>47</v>
      </c>
      <c r="Q128" t="str">
        <f>LEFT(B128,3)</f>
        <v>CAN</v>
      </c>
    </row>
    <row r="129" spans="1:17">
      <c r="A129" s="17" t="s">
        <v>2599</v>
      </c>
      <c r="B129" s="17" t="s">
        <v>315</v>
      </c>
      <c r="C129" s="13" t="s">
        <v>2600</v>
      </c>
      <c r="D129" s="13" t="s">
        <v>2600</v>
      </c>
      <c r="E129" s="17" t="s">
        <v>191</v>
      </c>
      <c r="F129" s="17" t="s">
        <v>43</v>
      </c>
      <c r="G129" s="17" t="s">
        <v>43</v>
      </c>
      <c r="H129" s="7">
        <v>335290</v>
      </c>
      <c r="I129" s="7">
        <v>302046</v>
      </c>
      <c r="J129" s="80">
        <v>165.37552400000001</v>
      </c>
      <c r="K129" s="80">
        <v>-21.480352</v>
      </c>
      <c r="L129" s="71">
        <v>20</v>
      </c>
      <c r="M129" s="73">
        <v>1</v>
      </c>
      <c r="N129" s="73">
        <v>1</v>
      </c>
      <c r="O129" s="73">
        <v>0</v>
      </c>
      <c r="P129" s="17" t="s">
        <v>47</v>
      </c>
      <c r="Q129" t="str">
        <f>LEFT(B129,3)</f>
        <v>CAP</v>
      </c>
    </row>
    <row r="130" spans="1:17">
      <c r="A130" s="17" t="s">
        <v>2601</v>
      </c>
      <c r="B130" s="17" t="s">
        <v>315</v>
      </c>
      <c r="C130" s="13" t="s">
        <v>2600</v>
      </c>
      <c r="D130" s="13" t="s">
        <v>2600</v>
      </c>
      <c r="E130" s="17" t="s">
        <v>191</v>
      </c>
      <c r="F130" s="17" t="s">
        <v>43</v>
      </c>
      <c r="G130" s="17" t="s">
        <v>43</v>
      </c>
      <c r="H130" s="7">
        <v>335290</v>
      </c>
      <c r="I130" s="7">
        <v>302046</v>
      </c>
      <c r="J130" s="80">
        <v>165.37552400000001</v>
      </c>
      <c r="K130" s="80">
        <v>-21.480352</v>
      </c>
      <c r="L130" s="71">
        <v>100</v>
      </c>
      <c r="M130" s="73">
        <v>1</v>
      </c>
      <c r="N130" s="73">
        <v>1</v>
      </c>
      <c r="O130" s="73">
        <v>0</v>
      </c>
      <c r="P130" s="17" t="s">
        <v>47</v>
      </c>
      <c r="Q130" t="str">
        <f>LEFT(B130,3)</f>
        <v>CAP</v>
      </c>
    </row>
    <row r="131" spans="1:17">
      <c r="A131" s="17" t="s">
        <v>2602</v>
      </c>
      <c r="B131" s="17" t="s">
        <v>315</v>
      </c>
      <c r="C131" s="13" t="s">
        <v>2600</v>
      </c>
      <c r="D131" s="13" t="s">
        <v>2600</v>
      </c>
      <c r="E131" s="17" t="s">
        <v>191</v>
      </c>
      <c r="F131" s="17" t="s">
        <v>43</v>
      </c>
      <c r="G131" s="17" t="s">
        <v>43</v>
      </c>
      <c r="H131" s="7">
        <v>335290</v>
      </c>
      <c r="I131" s="7">
        <v>302046</v>
      </c>
      <c r="J131" s="80">
        <v>165.37552400000001</v>
      </c>
      <c r="K131" s="80">
        <v>-21.480352</v>
      </c>
      <c r="L131" s="71">
        <v>285</v>
      </c>
      <c r="M131" s="73">
        <v>1</v>
      </c>
      <c r="N131" s="73">
        <v>1</v>
      </c>
      <c r="O131" s="73">
        <v>0</v>
      </c>
      <c r="P131" s="17" t="s">
        <v>47</v>
      </c>
      <c r="Q131" t="str">
        <f>LEFT(B131,3)</f>
        <v>CAP</v>
      </c>
    </row>
    <row r="132" spans="1:17">
      <c r="A132" s="17" t="s">
        <v>2603</v>
      </c>
      <c r="B132" s="17" t="s">
        <v>318</v>
      </c>
      <c r="C132" s="13" t="s">
        <v>319</v>
      </c>
      <c r="D132" s="13" t="s">
        <v>319</v>
      </c>
      <c r="E132" s="17" t="s">
        <v>67</v>
      </c>
      <c r="F132" s="17" t="s">
        <v>68</v>
      </c>
      <c r="G132" s="17" t="s">
        <v>68</v>
      </c>
      <c r="H132" s="7">
        <v>283898</v>
      </c>
      <c r="I132" s="7">
        <v>344630</v>
      </c>
      <c r="J132" s="79">
        <v>164.88252299999999</v>
      </c>
      <c r="K132" s="79">
        <v>-21.093126999999999</v>
      </c>
      <c r="L132" s="71">
        <v>117</v>
      </c>
      <c r="M132" s="73">
        <v>1</v>
      </c>
      <c r="N132" s="73">
        <v>2</v>
      </c>
      <c r="O132" s="73">
        <v>0</v>
      </c>
      <c r="P132" s="17" t="s">
        <v>37</v>
      </c>
      <c r="Q132" t="str">
        <f>LEFT(B132,3)</f>
        <v>CAS</v>
      </c>
    </row>
    <row r="133" spans="1:17">
      <c r="A133" s="17" t="s">
        <v>2604</v>
      </c>
      <c r="B133" s="17" t="s">
        <v>318</v>
      </c>
      <c r="C133" s="13" t="s">
        <v>319</v>
      </c>
      <c r="D133" s="13" t="s">
        <v>319</v>
      </c>
      <c r="E133" s="17" t="s">
        <v>67</v>
      </c>
      <c r="F133" s="17" t="s">
        <v>68</v>
      </c>
      <c r="G133" s="17" t="s">
        <v>68</v>
      </c>
      <c r="H133" s="7">
        <v>283898</v>
      </c>
      <c r="I133" s="7">
        <v>344630</v>
      </c>
      <c r="J133" s="79">
        <v>164.88252299999999</v>
      </c>
      <c r="K133" s="79">
        <v>-21.093126999999999</v>
      </c>
      <c r="L133" s="71">
        <v>200</v>
      </c>
      <c r="M133" s="73">
        <v>1</v>
      </c>
      <c r="N133" s="73">
        <v>2</v>
      </c>
      <c r="O133" s="73">
        <v>0</v>
      </c>
      <c r="P133" s="17" t="s">
        <v>37</v>
      </c>
      <c r="Q133" t="str">
        <f>LEFT(B133,3)</f>
        <v>CAS</v>
      </c>
    </row>
    <row r="134" spans="1:17">
      <c r="A134" s="17" t="s">
        <v>2605</v>
      </c>
      <c r="B134" s="17" t="s">
        <v>318</v>
      </c>
      <c r="C134" s="13" t="s">
        <v>319</v>
      </c>
      <c r="D134" s="13" t="s">
        <v>319</v>
      </c>
      <c r="E134" s="17" t="s">
        <v>67</v>
      </c>
      <c r="F134" s="17" t="s">
        <v>68</v>
      </c>
      <c r="G134" s="17" t="s">
        <v>68</v>
      </c>
      <c r="H134" s="7">
        <v>283898</v>
      </c>
      <c r="I134" s="7">
        <v>344630</v>
      </c>
      <c r="J134" s="79">
        <v>164.88252299999999</v>
      </c>
      <c r="K134" s="79">
        <v>-21.093126999999999</v>
      </c>
      <c r="L134" s="71">
        <v>352</v>
      </c>
      <c r="M134" s="73">
        <v>1</v>
      </c>
      <c r="N134" s="73">
        <v>2</v>
      </c>
      <c r="O134" s="73">
        <v>0</v>
      </c>
      <c r="P134" s="17" t="s">
        <v>37</v>
      </c>
      <c r="Q134" t="str">
        <f>LEFT(B134,3)</f>
        <v>CAS</v>
      </c>
    </row>
    <row r="135" spans="1:17">
      <c r="A135" s="17" t="s">
        <v>2606</v>
      </c>
      <c r="B135" s="17" t="s">
        <v>321</v>
      </c>
      <c r="C135" s="13" t="s">
        <v>322</v>
      </c>
      <c r="D135" s="13" t="s">
        <v>322</v>
      </c>
      <c r="E135" s="17" t="s">
        <v>29</v>
      </c>
      <c r="F135" s="17" t="s">
        <v>43</v>
      </c>
      <c r="G135" s="17" t="s">
        <v>30</v>
      </c>
      <c r="H135" s="7">
        <v>446109.80971</v>
      </c>
      <c r="I135" s="7">
        <v>217742.31229</v>
      </c>
      <c r="J135" s="80">
        <v>166.44730771905199</v>
      </c>
      <c r="K135" s="80">
        <v>-22.242341453345102</v>
      </c>
      <c r="L135" s="71">
        <v>90</v>
      </c>
      <c r="M135" s="73">
        <v>2</v>
      </c>
      <c r="N135" s="73">
        <v>2</v>
      </c>
      <c r="O135" s="73">
        <v>1</v>
      </c>
      <c r="P135" s="17" t="s">
        <v>37</v>
      </c>
      <c r="Q135" t="str">
        <f>LEFT(B135,3)</f>
        <v>CAT</v>
      </c>
    </row>
    <row r="136" spans="1:17">
      <c r="A136" s="17" t="s">
        <v>2607</v>
      </c>
      <c r="B136" s="17" t="s">
        <v>321</v>
      </c>
      <c r="C136" s="13" t="s">
        <v>322</v>
      </c>
      <c r="D136" s="13" t="s">
        <v>322</v>
      </c>
      <c r="E136" s="17" t="s">
        <v>29</v>
      </c>
      <c r="F136" s="17" t="s">
        <v>43</v>
      </c>
      <c r="G136" s="17" t="s">
        <v>30</v>
      </c>
      <c r="H136" s="7">
        <v>446109.80971</v>
      </c>
      <c r="I136" s="7">
        <v>217742.31229</v>
      </c>
      <c r="J136" s="80">
        <v>166.44730771905199</v>
      </c>
      <c r="K136" s="80">
        <v>-22.242341453345102</v>
      </c>
      <c r="L136" s="71">
        <v>210</v>
      </c>
      <c r="M136" s="73">
        <v>2</v>
      </c>
      <c r="N136" s="73">
        <v>2</v>
      </c>
      <c r="O136" s="73">
        <v>1</v>
      </c>
      <c r="P136" s="17" t="s">
        <v>37</v>
      </c>
      <c r="Q136" t="str">
        <f>LEFT(B136,3)</f>
        <v>CAT</v>
      </c>
    </row>
    <row r="137" spans="1:17">
      <c r="A137" s="17" t="s">
        <v>2608</v>
      </c>
      <c r="B137" s="17" t="s">
        <v>321</v>
      </c>
      <c r="C137" s="13" t="s">
        <v>322</v>
      </c>
      <c r="D137" s="13" t="s">
        <v>322</v>
      </c>
      <c r="E137" s="17" t="s">
        <v>29</v>
      </c>
      <c r="F137" s="17" t="s">
        <v>43</v>
      </c>
      <c r="G137" s="17" t="s">
        <v>30</v>
      </c>
      <c r="H137" s="7">
        <v>446109.80971</v>
      </c>
      <c r="I137" s="7">
        <v>217742.31229</v>
      </c>
      <c r="J137" s="80">
        <v>166.44730771905199</v>
      </c>
      <c r="K137" s="80">
        <v>-22.242341453345102</v>
      </c>
      <c r="L137" s="71">
        <v>330</v>
      </c>
      <c r="M137" s="73">
        <v>2</v>
      </c>
      <c r="N137" s="73">
        <v>2</v>
      </c>
      <c r="O137" s="73">
        <v>1</v>
      </c>
      <c r="P137" s="17" t="s">
        <v>37</v>
      </c>
      <c r="Q137" t="str">
        <f>LEFT(B137,3)</f>
        <v>CAT</v>
      </c>
    </row>
    <row r="138" spans="1:17">
      <c r="A138" s="17" t="s">
        <v>2609</v>
      </c>
      <c r="B138" s="17" t="s">
        <v>325</v>
      </c>
      <c r="C138" s="13" t="s">
        <v>326</v>
      </c>
      <c r="D138" s="13" t="s">
        <v>327</v>
      </c>
      <c r="E138" s="17" t="s">
        <v>56</v>
      </c>
      <c r="F138" s="17" t="s">
        <v>43</v>
      </c>
      <c r="G138" s="17" t="s">
        <v>43</v>
      </c>
      <c r="H138" s="7">
        <v>435220</v>
      </c>
      <c r="I138" s="7">
        <v>234750</v>
      </c>
      <c r="J138" s="80">
        <v>166.34130500000001</v>
      </c>
      <c r="K138" s="80">
        <v>-22.088989000000002</v>
      </c>
      <c r="L138" s="71">
        <v>70</v>
      </c>
      <c r="M138" s="73">
        <v>1</v>
      </c>
      <c r="N138" s="73">
        <v>1</v>
      </c>
      <c r="O138" s="73">
        <v>1</v>
      </c>
      <c r="P138" s="17" t="s">
        <v>47</v>
      </c>
      <c r="Q138" t="str">
        <f>LEFT(B138,3)</f>
        <v>CBD</v>
      </c>
    </row>
    <row r="139" spans="1:17">
      <c r="A139" s="17" t="s">
        <v>2610</v>
      </c>
      <c r="B139" s="17" t="s">
        <v>325</v>
      </c>
      <c r="C139" s="13" t="s">
        <v>326</v>
      </c>
      <c r="D139" s="13" t="s">
        <v>327</v>
      </c>
      <c r="E139" s="17" t="s">
        <v>56</v>
      </c>
      <c r="F139" s="17" t="s">
        <v>43</v>
      </c>
      <c r="G139" s="17" t="s">
        <v>43</v>
      </c>
      <c r="H139" s="7">
        <v>435220</v>
      </c>
      <c r="I139" s="7">
        <v>234750</v>
      </c>
      <c r="J139" s="80">
        <v>166.34130500000001</v>
      </c>
      <c r="K139" s="80">
        <v>-22.088989000000002</v>
      </c>
      <c r="L139" s="71">
        <v>150</v>
      </c>
      <c r="M139" s="73">
        <v>1</v>
      </c>
      <c r="N139" s="73">
        <v>1</v>
      </c>
      <c r="O139" s="73">
        <v>1</v>
      </c>
      <c r="P139" s="17" t="s">
        <v>47</v>
      </c>
      <c r="Q139" t="str">
        <f>LEFT(B139,3)</f>
        <v>CBD</v>
      </c>
    </row>
    <row r="140" spans="1:17">
      <c r="A140" s="17" t="s">
        <v>2611</v>
      </c>
      <c r="B140" s="17" t="s">
        <v>325</v>
      </c>
      <c r="C140" s="13" t="s">
        <v>326</v>
      </c>
      <c r="D140" s="13" t="s">
        <v>327</v>
      </c>
      <c r="E140" s="17" t="s">
        <v>56</v>
      </c>
      <c r="F140" s="17" t="s">
        <v>43</v>
      </c>
      <c r="G140" s="17" t="s">
        <v>43</v>
      </c>
      <c r="H140" s="7">
        <v>435220</v>
      </c>
      <c r="I140" s="7">
        <v>234750</v>
      </c>
      <c r="J140" s="80">
        <v>166.34130500000001</v>
      </c>
      <c r="K140" s="80">
        <v>-22.088989000000002</v>
      </c>
      <c r="L140" s="71">
        <v>240</v>
      </c>
      <c r="M140" s="73">
        <v>1</v>
      </c>
      <c r="N140" s="73">
        <v>1</v>
      </c>
      <c r="O140" s="73">
        <v>1</v>
      </c>
      <c r="P140" s="17" t="s">
        <v>47</v>
      </c>
      <c r="Q140" t="str">
        <f>LEFT(B140,3)</f>
        <v>CBD</v>
      </c>
    </row>
    <row r="141" spans="1:17">
      <c r="A141" s="17" t="s">
        <v>2612</v>
      </c>
      <c r="B141" s="17" t="s">
        <v>330</v>
      </c>
      <c r="C141" s="13" t="s">
        <v>332</v>
      </c>
      <c r="D141" s="13" t="s">
        <v>332</v>
      </c>
      <c r="E141" s="17" t="s">
        <v>331</v>
      </c>
      <c r="F141" s="17" t="s">
        <v>43</v>
      </c>
      <c r="G141" s="17" t="s">
        <v>43</v>
      </c>
      <c r="H141" s="7">
        <v>546931</v>
      </c>
      <c r="I141" s="7">
        <v>174046</v>
      </c>
      <c r="J141" s="80">
        <v>167.42920000000001</v>
      </c>
      <c r="K141" s="80">
        <v>-22.631456</v>
      </c>
      <c r="L141" s="71">
        <v>0</v>
      </c>
      <c r="M141" s="73">
        <v>1</v>
      </c>
      <c r="N141" s="73">
        <v>1</v>
      </c>
      <c r="O141" s="73">
        <v>1</v>
      </c>
      <c r="P141" s="17" t="s">
        <v>47</v>
      </c>
      <c r="Q141" t="str">
        <f>LEFT(B141,3)</f>
        <v>CBE</v>
      </c>
    </row>
    <row r="142" spans="1:17">
      <c r="A142" s="17" t="s">
        <v>2613</v>
      </c>
      <c r="B142" s="17" t="s">
        <v>330</v>
      </c>
      <c r="C142" s="13" t="s">
        <v>332</v>
      </c>
      <c r="D142" s="13" t="s">
        <v>332</v>
      </c>
      <c r="E142" s="17" t="s">
        <v>331</v>
      </c>
      <c r="F142" s="17" t="s">
        <v>43</v>
      </c>
      <c r="G142" s="17" t="s">
        <v>43</v>
      </c>
      <c r="H142" s="7">
        <v>546931</v>
      </c>
      <c r="I142" s="7">
        <v>174046</v>
      </c>
      <c r="J142" s="80">
        <v>167.42920000000001</v>
      </c>
      <c r="K142" s="80">
        <v>-22.631456</v>
      </c>
      <c r="L142" s="71">
        <v>120</v>
      </c>
      <c r="M142" s="73">
        <v>1</v>
      </c>
      <c r="N142" s="73">
        <v>1</v>
      </c>
      <c r="O142" s="73">
        <v>1</v>
      </c>
      <c r="P142" s="17" t="s">
        <v>47</v>
      </c>
      <c r="Q142" t="str">
        <f>LEFT(B142,3)</f>
        <v>CBE</v>
      </c>
    </row>
    <row r="143" spans="1:17">
      <c r="A143" s="17" t="s">
        <v>2614</v>
      </c>
      <c r="B143" s="17" t="s">
        <v>330</v>
      </c>
      <c r="C143" s="13" t="s">
        <v>332</v>
      </c>
      <c r="D143" s="13" t="s">
        <v>332</v>
      </c>
      <c r="E143" s="17" t="s">
        <v>331</v>
      </c>
      <c r="F143" s="17" t="s">
        <v>43</v>
      </c>
      <c r="G143" s="17" t="s">
        <v>43</v>
      </c>
      <c r="H143" s="7">
        <v>546931</v>
      </c>
      <c r="I143" s="7">
        <v>174046</v>
      </c>
      <c r="J143" s="80">
        <v>167.42920000000001</v>
      </c>
      <c r="K143" s="80">
        <v>-22.631456</v>
      </c>
      <c r="L143" s="71">
        <v>240</v>
      </c>
      <c r="M143" s="73">
        <v>1</v>
      </c>
      <c r="N143" s="73">
        <v>1</v>
      </c>
      <c r="O143" s="73">
        <v>1</v>
      </c>
      <c r="P143" s="17" t="s">
        <v>47</v>
      </c>
      <c r="Q143" t="str">
        <f>LEFT(B143,3)</f>
        <v>CBE</v>
      </c>
    </row>
    <row r="144" spans="1:17">
      <c r="A144" s="17" t="s">
        <v>2615</v>
      </c>
      <c r="B144" s="17" t="s">
        <v>335</v>
      </c>
      <c r="C144" s="13" t="s">
        <v>336</v>
      </c>
      <c r="D144" s="13" t="s">
        <v>336</v>
      </c>
      <c r="E144" s="17" t="s">
        <v>191</v>
      </c>
      <c r="F144" s="17" t="s">
        <v>43</v>
      </c>
      <c r="G144" s="17" t="s">
        <v>43</v>
      </c>
      <c r="H144" s="7">
        <v>362200.18910999998</v>
      </c>
      <c r="I144" s="7">
        <v>286776.22966000001</v>
      </c>
      <c r="J144" s="80">
        <v>165.63487048049799</v>
      </c>
      <c r="K144" s="80">
        <v>-21.619045440087</v>
      </c>
      <c r="L144" s="71">
        <v>43</v>
      </c>
      <c r="M144" s="73">
        <v>1</v>
      </c>
      <c r="N144" s="73">
        <v>1</v>
      </c>
      <c r="O144" s="73">
        <v>0</v>
      </c>
      <c r="P144" s="17" t="s">
        <v>47</v>
      </c>
      <c r="Q144" t="str">
        <f>LEFT(B144,3)</f>
        <v>CBO</v>
      </c>
    </row>
    <row r="145" spans="1:17">
      <c r="A145" s="17" t="s">
        <v>2616</v>
      </c>
      <c r="B145" s="17" t="s">
        <v>335</v>
      </c>
      <c r="C145" s="13" t="s">
        <v>336</v>
      </c>
      <c r="D145" s="13" t="s">
        <v>336</v>
      </c>
      <c r="E145" s="17" t="s">
        <v>191</v>
      </c>
      <c r="F145" s="17" t="s">
        <v>43</v>
      </c>
      <c r="G145" s="17" t="s">
        <v>43</v>
      </c>
      <c r="H145" s="7">
        <v>362200.18910999998</v>
      </c>
      <c r="I145" s="7">
        <v>286776.22966000001</v>
      </c>
      <c r="J145" s="80">
        <v>165.63487048049799</v>
      </c>
      <c r="K145" s="80">
        <v>-21.619045440087</v>
      </c>
      <c r="L145" s="71">
        <v>180</v>
      </c>
      <c r="M145" s="73">
        <v>1</v>
      </c>
      <c r="N145" s="73">
        <v>1</v>
      </c>
      <c r="O145" s="73">
        <v>1</v>
      </c>
      <c r="P145" s="17" t="s">
        <v>47</v>
      </c>
      <c r="Q145" t="str">
        <f>LEFT(B145,3)</f>
        <v>CBO</v>
      </c>
    </row>
    <row r="146" spans="1:17">
      <c r="A146" s="17" t="s">
        <v>2617</v>
      </c>
      <c r="B146" s="17" t="s">
        <v>335</v>
      </c>
      <c r="C146" s="13" t="s">
        <v>336</v>
      </c>
      <c r="D146" s="13" t="s">
        <v>336</v>
      </c>
      <c r="E146" s="17" t="s">
        <v>191</v>
      </c>
      <c r="F146" s="17" t="s">
        <v>43</v>
      </c>
      <c r="G146" s="17" t="s">
        <v>43</v>
      </c>
      <c r="H146" s="7">
        <v>362200.18910999998</v>
      </c>
      <c r="I146" s="7">
        <v>286776.22966000001</v>
      </c>
      <c r="J146" s="80">
        <v>165.63487048049799</v>
      </c>
      <c r="K146" s="80">
        <v>-21.619045440087</v>
      </c>
      <c r="L146" s="71">
        <v>326</v>
      </c>
      <c r="M146" s="73">
        <v>1</v>
      </c>
      <c r="N146" s="73">
        <v>1</v>
      </c>
      <c r="O146" s="73">
        <v>1</v>
      </c>
      <c r="P146" s="17" t="s">
        <v>47</v>
      </c>
      <c r="Q146" t="str">
        <f>LEFT(B146,3)</f>
        <v>CBO</v>
      </c>
    </row>
    <row r="147" spans="1:17">
      <c r="A147" s="17" t="s">
        <v>2618</v>
      </c>
      <c r="B147" s="17" t="s">
        <v>341</v>
      </c>
      <c r="C147" s="13" t="s">
        <v>342</v>
      </c>
      <c r="D147" s="13" t="s">
        <v>342</v>
      </c>
      <c r="E147" s="17" t="s">
        <v>191</v>
      </c>
      <c r="F147" s="17" t="s">
        <v>43</v>
      </c>
      <c r="G147" s="17" t="s">
        <v>43</v>
      </c>
      <c r="H147" s="7">
        <v>350467.90217999998</v>
      </c>
      <c r="I147" s="7">
        <v>306703.04624</v>
      </c>
      <c r="J147" s="80">
        <v>165.52213411609401</v>
      </c>
      <c r="K147" s="80">
        <v>-21.438771470794599</v>
      </c>
      <c r="L147" s="71">
        <v>10</v>
      </c>
      <c r="M147" s="73">
        <v>1</v>
      </c>
      <c r="N147" s="73">
        <v>1</v>
      </c>
      <c r="O147" s="73">
        <v>1</v>
      </c>
      <c r="P147" s="17" t="s">
        <v>47</v>
      </c>
      <c r="Q147" t="str">
        <f>LEFT(B147,3)</f>
        <v>CBU</v>
      </c>
    </row>
    <row r="148" spans="1:17">
      <c r="A148" s="17" t="s">
        <v>2619</v>
      </c>
      <c r="B148" s="17" t="s">
        <v>341</v>
      </c>
      <c r="C148" s="13" t="s">
        <v>342</v>
      </c>
      <c r="D148" s="13" t="s">
        <v>342</v>
      </c>
      <c r="E148" s="17" t="s">
        <v>191</v>
      </c>
      <c r="F148" s="17" t="s">
        <v>43</v>
      </c>
      <c r="G148" s="17" t="s">
        <v>43</v>
      </c>
      <c r="H148" s="7">
        <v>350467.90217999998</v>
      </c>
      <c r="I148" s="7">
        <v>306703.04624</v>
      </c>
      <c r="J148" s="80">
        <v>165.52213411609401</v>
      </c>
      <c r="K148" s="80">
        <v>-21.438771470794599</v>
      </c>
      <c r="L148" s="71">
        <v>190</v>
      </c>
      <c r="M148" s="73">
        <v>2</v>
      </c>
      <c r="N148" s="73">
        <v>1</v>
      </c>
      <c r="O148" s="73">
        <v>1</v>
      </c>
      <c r="P148" s="17" t="s">
        <v>47</v>
      </c>
      <c r="Q148" t="str">
        <f>LEFT(B148,3)</f>
        <v>CBU</v>
      </c>
    </row>
    <row r="149" spans="1:17">
      <c r="A149" s="17" t="s">
        <v>2620</v>
      </c>
      <c r="B149" s="17" t="s">
        <v>345</v>
      </c>
      <c r="C149" s="13" t="s">
        <v>346</v>
      </c>
      <c r="D149" s="13" t="s">
        <v>348</v>
      </c>
      <c r="E149" s="17" t="s">
        <v>148</v>
      </c>
      <c r="F149" s="17" t="s">
        <v>68</v>
      </c>
      <c r="G149" s="17" t="s">
        <v>68</v>
      </c>
      <c r="H149" s="7">
        <v>328604</v>
      </c>
      <c r="I149" s="7">
        <v>307306</v>
      </c>
      <c r="J149" s="79">
        <v>165.311227</v>
      </c>
      <c r="K149" s="79">
        <v>-21.432587999999999</v>
      </c>
      <c r="L149" s="71">
        <v>161</v>
      </c>
      <c r="M149" s="73">
        <v>1</v>
      </c>
      <c r="N149" s="73">
        <v>1</v>
      </c>
      <c r="O149" s="73">
        <v>1</v>
      </c>
      <c r="P149" s="17" t="s">
        <v>47</v>
      </c>
      <c r="Q149" t="str">
        <f>LEFT(B149,3)</f>
        <v>CCI</v>
      </c>
    </row>
    <row r="150" spans="1:17">
      <c r="A150" s="17" t="s">
        <v>2621</v>
      </c>
      <c r="B150" s="17" t="s">
        <v>345</v>
      </c>
      <c r="C150" s="13" t="s">
        <v>346</v>
      </c>
      <c r="D150" s="13" t="s">
        <v>346</v>
      </c>
      <c r="E150" s="17" t="s">
        <v>148</v>
      </c>
      <c r="F150" s="17" t="s">
        <v>68</v>
      </c>
      <c r="G150" s="17" t="s">
        <v>68</v>
      </c>
      <c r="H150" s="7">
        <v>328604</v>
      </c>
      <c r="I150" s="7">
        <v>307306</v>
      </c>
      <c r="J150" s="79">
        <v>165.311227</v>
      </c>
      <c r="K150" s="79">
        <v>-21.432587999999999</v>
      </c>
      <c r="L150" s="71">
        <v>260</v>
      </c>
      <c r="M150" s="73">
        <v>1</v>
      </c>
      <c r="N150" s="73">
        <v>1</v>
      </c>
      <c r="O150" s="73">
        <v>1</v>
      </c>
      <c r="P150" s="17" t="s">
        <v>47</v>
      </c>
      <c r="Q150" t="str">
        <f>LEFT(B150,3)</f>
        <v>CCI</v>
      </c>
    </row>
    <row r="151" spans="1:17">
      <c r="A151" s="17" t="s">
        <v>2622</v>
      </c>
      <c r="B151" s="17" t="s">
        <v>350</v>
      </c>
      <c r="C151" s="13" t="s">
        <v>352</v>
      </c>
      <c r="D151" s="13" t="s">
        <v>352</v>
      </c>
      <c r="E151" s="17" t="s">
        <v>351</v>
      </c>
      <c r="F151" s="17" t="s">
        <v>129</v>
      </c>
      <c r="G151" s="17" t="s">
        <v>129</v>
      </c>
      <c r="H151" s="7">
        <v>596635.8075</v>
      </c>
      <c r="I151" s="7">
        <v>288993.85904000001</v>
      </c>
      <c r="J151" s="80">
        <v>167.89905737216799</v>
      </c>
      <c r="K151" s="80">
        <v>-21.588622393413601</v>
      </c>
      <c r="L151" s="71">
        <v>190</v>
      </c>
      <c r="M151" s="73">
        <v>1</v>
      </c>
      <c r="N151" s="73">
        <v>1</v>
      </c>
      <c r="O151" s="73">
        <v>1</v>
      </c>
      <c r="P151" s="17" t="s">
        <v>47</v>
      </c>
      <c r="Q151" t="str">
        <f>LEFT(B151,3)</f>
        <v>CEN</v>
      </c>
    </row>
    <row r="152" spans="1:17">
      <c r="A152" s="17" t="s">
        <v>2623</v>
      </c>
      <c r="B152" s="17" t="s">
        <v>355</v>
      </c>
      <c r="C152" s="13" t="s">
        <v>356</v>
      </c>
      <c r="D152" s="13" t="s">
        <v>356</v>
      </c>
      <c r="E152" s="17" t="s">
        <v>67</v>
      </c>
      <c r="F152" s="17" t="s">
        <v>68</v>
      </c>
      <c r="G152" s="17" t="s">
        <v>68</v>
      </c>
      <c r="H152" s="7">
        <v>278848.56777999998</v>
      </c>
      <c r="I152" s="7">
        <v>348855.39500000002</v>
      </c>
      <c r="J152" s="80">
        <v>164.834231924818</v>
      </c>
      <c r="K152" s="80">
        <v>-21.054632148453699</v>
      </c>
      <c r="L152" s="71">
        <v>20</v>
      </c>
      <c r="M152" s="73">
        <v>2</v>
      </c>
      <c r="N152" s="73">
        <v>2</v>
      </c>
      <c r="O152" s="73">
        <v>1</v>
      </c>
      <c r="P152" s="17" t="s">
        <v>37</v>
      </c>
      <c r="Q152" t="str">
        <f>LEFT(B152,3)</f>
        <v>CET</v>
      </c>
    </row>
    <row r="153" spans="1:17">
      <c r="A153" s="17" t="s">
        <v>2624</v>
      </c>
      <c r="B153" s="17" t="s">
        <v>355</v>
      </c>
      <c r="C153" s="13" t="s">
        <v>356</v>
      </c>
      <c r="D153" s="13" t="s">
        <v>356</v>
      </c>
      <c r="E153" s="17" t="s">
        <v>67</v>
      </c>
      <c r="F153" s="17" t="s">
        <v>68</v>
      </c>
      <c r="G153" s="17" t="s">
        <v>68</v>
      </c>
      <c r="H153" s="7">
        <v>278848.56777999998</v>
      </c>
      <c r="I153" s="7">
        <v>348855.39500000002</v>
      </c>
      <c r="J153" s="80">
        <v>164.834231924818</v>
      </c>
      <c r="K153" s="80">
        <v>-21.054632148453699</v>
      </c>
      <c r="L153" s="71">
        <v>90</v>
      </c>
      <c r="M153" s="73">
        <v>2</v>
      </c>
      <c r="N153" s="73">
        <v>2</v>
      </c>
      <c r="O153" s="73">
        <v>1</v>
      </c>
      <c r="P153" s="17" t="s">
        <v>37</v>
      </c>
      <c r="Q153" t="str">
        <f>LEFT(B153,3)</f>
        <v>CET</v>
      </c>
    </row>
    <row r="154" spans="1:17">
      <c r="A154" s="13" t="s">
        <v>2625</v>
      </c>
      <c r="B154" s="13" t="s">
        <v>355</v>
      </c>
      <c r="C154" s="13" t="s">
        <v>356</v>
      </c>
      <c r="D154" s="13" t="s">
        <v>356</v>
      </c>
      <c r="E154" s="17" t="s">
        <v>67</v>
      </c>
      <c r="F154" s="17" t="s">
        <v>68</v>
      </c>
      <c r="G154" s="17" t="s">
        <v>68</v>
      </c>
      <c r="H154" s="7">
        <v>278848.56777999998</v>
      </c>
      <c r="I154" s="7">
        <v>348855.39500000002</v>
      </c>
      <c r="J154" s="80">
        <v>164.834231924818</v>
      </c>
      <c r="K154" s="80">
        <v>-21.054632148453699</v>
      </c>
      <c r="L154" s="71">
        <v>271</v>
      </c>
      <c r="M154" s="73">
        <v>2</v>
      </c>
      <c r="N154" s="73">
        <v>2</v>
      </c>
      <c r="O154" s="73">
        <v>1</v>
      </c>
      <c r="P154" s="17" t="s">
        <v>37</v>
      </c>
      <c r="Q154" t="str">
        <f>LEFT(B154,3)</f>
        <v>CET</v>
      </c>
    </row>
    <row r="155" spans="1:17">
      <c r="A155" s="17" t="s">
        <v>2626</v>
      </c>
      <c r="B155" s="17" t="s">
        <v>359</v>
      </c>
      <c r="C155" s="13" t="s">
        <v>360</v>
      </c>
      <c r="D155" s="13" t="s">
        <v>360</v>
      </c>
      <c r="E155" s="17" t="s">
        <v>29</v>
      </c>
      <c r="F155" s="17" t="s">
        <v>43</v>
      </c>
      <c r="G155" s="17" t="s">
        <v>30</v>
      </c>
      <c r="H155" s="7">
        <v>446380</v>
      </c>
      <c r="I155" s="7">
        <v>218238</v>
      </c>
      <c r="J155" s="80">
        <v>166.44990999999999</v>
      </c>
      <c r="K155" s="80">
        <v>-22.237860000000001</v>
      </c>
      <c r="L155" s="71">
        <v>43</v>
      </c>
      <c r="M155" s="73">
        <v>3</v>
      </c>
      <c r="N155" s="73">
        <v>3</v>
      </c>
      <c r="O155" s="73">
        <v>1</v>
      </c>
      <c r="P155" s="17" t="s">
        <v>37</v>
      </c>
      <c r="Q155" t="str">
        <f>LEFT(B155,3)</f>
        <v>CGC</v>
      </c>
    </row>
    <row r="156" spans="1:17">
      <c r="A156" s="17" t="s">
        <v>2627</v>
      </c>
      <c r="B156" s="17" t="s">
        <v>359</v>
      </c>
      <c r="C156" s="13" t="s">
        <v>360</v>
      </c>
      <c r="D156" s="13" t="s">
        <v>360</v>
      </c>
      <c r="E156" s="17" t="s">
        <v>29</v>
      </c>
      <c r="F156" s="17" t="s">
        <v>43</v>
      </c>
      <c r="G156" s="17" t="s">
        <v>30</v>
      </c>
      <c r="H156" s="7">
        <v>446380</v>
      </c>
      <c r="I156" s="7">
        <v>218238</v>
      </c>
      <c r="J156" s="80">
        <v>166.44990999999999</v>
      </c>
      <c r="K156" s="80">
        <v>-22.237860000000001</v>
      </c>
      <c r="L156" s="71">
        <v>160</v>
      </c>
      <c r="M156" s="73">
        <v>3</v>
      </c>
      <c r="N156" s="73">
        <v>3</v>
      </c>
      <c r="O156" s="73">
        <v>1</v>
      </c>
      <c r="P156" s="17" t="s">
        <v>37</v>
      </c>
      <c r="Q156" t="str">
        <f>LEFT(B156,3)</f>
        <v>CGC</v>
      </c>
    </row>
    <row r="157" spans="1:17">
      <c r="A157" s="17" t="s">
        <v>2628</v>
      </c>
      <c r="B157" s="17" t="s">
        <v>359</v>
      </c>
      <c r="C157" s="13" t="s">
        <v>360</v>
      </c>
      <c r="D157" s="13" t="s">
        <v>360</v>
      </c>
      <c r="E157" s="17" t="s">
        <v>29</v>
      </c>
      <c r="F157" s="17" t="s">
        <v>43</v>
      </c>
      <c r="G157" s="17" t="s">
        <v>30</v>
      </c>
      <c r="H157" s="7">
        <v>446380</v>
      </c>
      <c r="I157" s="7">
        <v>218238</v>
      </c>
      <c r="J157" s="80">
        <v>166.44990999999999</v>
      </c>
      <c r="K157" s="80">
        <v>-22.237860000000001</v>
      </c>
      <c r="L157" s="71">
        <v>237</v>
      </c>
      <c r="M157" s="73">
        <v>3</v>
      </c>
      <c r="N157" s="73">
        <v>3</v>
      </c>
      <c r="O157" s="73">
        <v>1</v>
      </c>
      <c r="P157" s="17" t="s">
        <v>37</v>
      </c>
      <c r="Q157" t="str">
        <f>LEFT(B157,3)</f>
        <v>CGC</v>
      </c>
    </row>
    <row r="158" spans="1:17">
      <c r="A158" s="17" t="s">
        <v>363</v>
      </c>
      <c r="B158" s="17" t="s">
        <v>363</v>
      </c>
      <c r="C158" s="17" t="s">
        <v>364</v>
      </c>
      <c r="D158" s="17" t="s">
        <v>364</v>
      </c>
      <c r="E158" s="17" t="s">
        <v>191</v>
      </c>
      <c r="F158" s="17" t="s">
        <v>43</v>
      </c>
      <c r="G158" s="17" t="s">
        <v>43</v>
      </c>
      <c r="H158" s="24">
        <v>323330</v>
      </c>
      <c r="I158" s="22">
        <v>299630</v>
      </c>
      <c r="J158" s="80">
        <v>165.26</v>
      </c>
      <c r="K158" s="83">
        <v>-21.5017</v>
      </c>
      <c r="L158" s="73">
        <v>112</v>
      </c>
      <c r="M158" s="73">
        <v>1</v>
      </c>
      <c r="N158" s="73">
        <v>1</v>
      </c>
      <c r="O158" s="73">
        <v>0</v>
      </c>
      <c r="P158" s="17" t="s">
        <v>47</v>
      </c>
      <c r="Q158" t="str">
        <f>LEFT(B158,3)</f>
        <v>CGO</v>
      </c>
    </row>
    <row r="159" spans="1:17">
      <c r="A159" s="17" t="s">
        <v>2629</v>
      </c>
      <c r="B159" s="17" t="s">
        <v>2629</v>
      </c>
      <c r="C159" s="17" t="s">
        <v>364</v>
      </c>
      <c r="D159" s="17" t="s">
        <v>364</v>
      </c>
      <c r="E159" s="17" t="s">
        <v>191</v>
      </c>
      <c r="F159" s="17" t="s">
        <v>43</v>
      </c>
      <c r="G159" s="17" t="s">
        <v>43</v>
      </c>
      <c r="H159" s="24">
        <v>323330</v>
      </c>
      <c r="I159" s="22">
        <v>299630</v>
      </c>
      <c r="J159" s="80">
        <v>165.26</v>
      </c>
      <c r="K159" s="83">
        <v>-21.5017</v>
      </c>
      <c r="L159" s="73">
        <v>232</v>
      </c>
      <c r="M159" s="73">
        <v>1</v>
      </c>
      <c r="N159" s="73">
        <v>1</v>
      </c>
      <c r="O159" s="73">
        <v>0</v>
      </c>
      <c r="P159" s="17" t="s">
        <v>47</v>
      </c>
      <c r="Q159" t="str">
        <f>LEFT(B159,3)</f>
        <v>CGO</v>
      </c>
    </row>
    <row r="160" spans="1:17">
      <c r="A160" s="17" t="s">
        <v>2630</v>
      </c>
      <c r="B160" s="17" t="s">
        <v>2630</v>
      </c>
      <c r="C160" s="17" t="s">
        <v>364</v>
      </c>
      <c r="D160" s="17" t="s">
        <v>364</v>
      </c>
      <c r="E160" s="17" t="s">
        <v>191</v>
      </c>
      <c r="F160" s="17" t="s">
        <v>43</v>
      </c>
      <c r="G160" s="17" t="s">
        <v>43</v>
      </c>
      <c r="H160" s="24">
        <v>323330</v>
      </c>
      <c r="I160" s="22">
        <v>299630</v>
      </c>
      <c r="J160" s="80">
        <v>165.26</v>
      </c>
      <c r="K160" s="83">
        <v>-21.5017</v>
      </c>
      <c r="L160" s="73">
        <v>352</v>
      </c>
      <c r="M160" s="73">
        <v>1</v>
      </c>
      <c r="N160" s="73">
        <v>1</v>
      </c>
      <c r="O160" s="73">
        <v>0</v>
      </c>
      <c r="P160" s="17" t="s">
        <v>47</v>
      </c>
      <c r="Q160" t="str">
        <f>LEFT(B160,3)</f>
        <v>CGO</v>
      </c>
    </row>
    <row r="161" spans="1:17">
      <c r="A161" s="17" t="s">
        <v>2631</v>
      </c>
      <c r="B161" s="17" t="s">
        <v>367</v>
      </c>
      <c r="C161" s="13" t="s">
        <v>369</v>
      </c>
      <c r="D161" s="13" t="s">
        <v>369</v>
      </c>
      <c r="E161" s="17" t="s">
        <v>368</v>
      </c>
      <c r="F161" s="17" t="s">
        <v>68</v>
      </c>
      <c r="G161" s="17" t="s">
        <v>68</v>
      </c>
      <c r="H161" s="7">
        <v>218168.17415000001</v>
      </c>
      <c r="I161" s="7">
        <v>409983.70980999997</v>
      </c>
      <c r="J161" s="80">
        <v>164.25693158295499</v>
      </c>
      <c r="K161" s="80">
        <v>-20.497410082353401</v>
      </c>
      <c r="L161" s="71">
        <v>169</v>
      </c>
      <c r="M161" s="73">
        <v>1</v>
      </c>
      <c r="N161" s="73">
        <v>2</v>
      </c>
      <c r="O161" s="73">
        <v>1</v>
      </c>
      <c r="P161" s="17" t="s">
        <v>47</v>
      </c>
      <c r="Q161" t="str">
        <f>LEFT(B161,3)</f>
        <v>CHA</v>
      </c>
    </row>
    <row r="162" spans="1:17">
      <c r="A162" s="17" t="s">
        <v>2632</v>
      </c>
      <c r="B162" s="17" t="s">
        <v>367</v>
      </c>
      <c r="C162" s="13" t="s">
        <v>369</v>
      </c>
      <c r="D162" s="13" t="s">
        <v>369</v>
      </c>
      <c r="E162" s="17" t="s">
        <v>368</v>
      </c>
      <c r="F162" s="17" t="s">
        <v>68</v>
      </c>
      <c r="G162" s="17" t="s">
        <v>68</v>
      </c>
      <c r="H162" s="7">
        <v>218168.17415000001</v>
      </c>
      <c r="I162" s="7">
        <v>409983.70980999997</v>
      </c>
      <c r="J162" s="80">
        <v>164.25693158295499</v>
      </c>
      <c r="K162" s="80">
        <v>-20.497410082353401</v>
      </c>
      <c r="L162" s="71">
        <v>359</v>
      </c>
      <c r="M162" s="73">
        <v>1</v>
      </c>
      <c r="N162" s="73">
        <v>2</v>
      </c>
      <c r="O162" s="73">
        <v>1</v>
      </c>
      <c r="P162" s="17" t="s">
        <v>47</v>
      </c>
      <c r="Q162" t="str">
        <f>LEFT(B162,3)</f>
        <v>CHA</v>
      </c>
    </row>
    <row r="163" spans="1:17">
      <c r="A163" s="17" t="s">
        <v>2633</v>
      </c>
      <c r="B163" s="17" t="s">
        <v>372</v>
      </c>
      <c r="C163" s="13" t="s">
        <v>374</v>
      </c>
      <c r="D163" s="13" t="s">
        <v>374</v>
      </c>
      <c r="E163" s="17" t="s">
        <v>373</v>
      </c>
      <c r="F163" s="17" t="s">
        <v>129</v>
      </c>
      <c r="G163" s="17" t="s">
        <v>129</v>
      </c>
      <c r="H163" s="7">
        <v>519350.28373999998</v>
      </c>
      <c r="I163" s="7">
        <v>379127.84609000001</v>
      </c>
      <c r="J163" s="80">
        <v>167.14630269328001</v>
      </c>
      <c r="K163" s="80">
        <v>-20.781316070600699</v>
      </c>
      <c r="L163" s="71">
        <v>78</v>
      </c>
      <c r="M163" s="73">
        <v>2</v>
      </c>
      <c r="N163" s="73">
        <v>1</v>
      </c>
      <c r="O163" s="73">
        <v>1</v>
      </c>
      <c r="P163" s="17" t="s">
        <v>47</v>
      </c>
      <c r="Q163" t="str">
        <f>LEFT(B163,3)</f>
        <v>CHE</v>
      </c>
    </row>
    <row r="164" spans="1:17">
      <c r="A164" s="17" t="s">
        <v>2634</v>
      </c>
      <c r="B164" s="17" t="s">
        <v>372</v>
      </c>
      <c r="C164" s="13" t="s">
        <v>374</v>
      </c>
      <c r="D164" s="13" t="s">
        <v>374</v>
      </c>
      <c r="E164" s="17" t="s">
        <v>373</v>
      </c>
      <c r="F164" s="17" t="s">
        <v>129</v>
      </c>
      <c r="G164" s="17" t="s">
        <v>129</v>
      </c>
      <c r="H164" s="7">
        <v>519350.28373999998</v>
      </c>
      <c r="I164" s="7">
        <v>379127.84609000001</v>
      </c>
      <c r="J164" s="80">
        <v>167.14630269328001</v>
      </c>
      <c r="K164" s="80">
        <v>-20.781316070600699</v>
      </c>
      <c r="L164" s="71">
        <v>290</v>
      </c>
      <c r="M164" s="73">
        <v>2</v>
      </c>
      <c r="N164" s="73">
        <v>1</v>
      </c>
      <c r="O164" s="73">
        <v>1</v>
      </c>
      <c r="P164" s="17" t="s">
        <v>47</v>
      </c>
      <c r="Q164" t="str">
        <f>LEFT(B164,3)</f>
        <v>CHE</v>
      </c>
    </row>
    <row r="165" spans="1:17">
      <c r="A165" s="17" t="s">
        <v>2635</v>
      </c>
      <c r="B165" s="17" t="s">
        <v>377</v>
      </c>
      <c r="C165" s="13" t="s">
        <v>378</v>
      </c>
      <c r="D165" s="13" t="s">
        <v>378</v>
      </c>
      <c r="E165" s="17" t="s">
        <v>29</v>
      </c>
      <c r="F165" s="17" t="s">
        <v>43</v>
      </c>
      <c r="G165" s="17" t="s">
        <v>30</v>
      </c>
      <c r="H165" s="7">
        <v>446073.59681000002</v>
      </c>
      <c r="I165" s="7">
        <v>215815.823</v>
      </c>
      <c r="J165" s="80">
        <v>166.44701191532201</v>
      </c>
      <c r="K165" s="80">
        <v>-22.259735738981899</v>
      </c>
      <c r="L165" s="71">
        <v>29</v>
      </c>
      <c r="M165" s="73">
        <v>2</v>
      </c>
      <c r="N165" s="73">
        <v>1</v>
      </c>
      <c r="O165" s="73">
        <v>1</v>
      </c>
      <c r="P165" s="17" t="s">
        <v>37</v>
      </c>
      <c r="Q165" t="str">
        <f>LEFT(B165,3)</f>
        <v>CHP</v>
      </c>
    </row>
    <row r="166" spans="1:17">
      <c r="A166" s="17" t="s">
        <v>2636</v>
      </c>
      <c r="B166" s="17" t="s">
        <v>377</v>
      </c>
      <c r="C166" s="13" t="s">
        <v>378</v>
      </c>
      <c r="D166" s="13" t="s">
        <v>378</v>
      </c>
      <c r="E166" s="17" t="s">
        <v>29</v>
      </c>
      <c r="F166" s="17" t="s">
        <v>43</v>
      </c>
      <c r="G166" s="17" t="s">
        <v>30</v>
      </c>
      <c r="H166" s="7">
        <v>446073.59681000002</v>
      </c>
      <c r="I166" s="7">
        <v>215815.823</v>
      </c>
      <c r="J166" s="80">
        <v>166.44701191532201</v>
      </c>
      <c r="K166" s="80">
        <v>-22.259735738981899</v>
      </c>
      <c r="L166" s="71">
        <v>196</v>
      </c>
      <c r="M166" s="73">
        <v>2</v>
      </c>
      <c r="N166" s="73">
        <v>1</v>
      </c>
      <c r="O166" s="73">
        <v>1</v>
      </c>
      <c r="P166" s="17" t="s">
        <v>37</v>
      </c>
      <c r="Q166" t="str">
        <f>LEFT(B166,3)</f>
        <v>CHP</v>
      </c>
    </row>
    <row r="167" spans="1:17">
      <c r="A167" s="6" t="s">
        <v>2637</v>
      </c>
      <c r="B167" s="6" t="s">
        <v>381</v>
      </c>
      <c r="C167" s="13" t="s">
        <v>382</v>
      </c>
      <c r="D167" s="13" t="s">
        <v>382</v>
      </c>
      <c r="E167" s="17" t="s">
        <v>49</v>
      </c>
      <c r="F167" s="17" t="s">
        <v>43</v>
      </c>
      <c r="G167" s="17" t="s">
        <v>50</v>
      </c>
      <c r="H167" s="7">
        <v>446668</v>
      </c>
      <c r="I167" s="7">
        <v>221345</v>
      </c>
      <c r="J167" s="80">
        <v>166.45088999999999</v>
      </c>
      <c r="K167" s="80">
        <v>-22.208891999999999</v>
      </c>
      <c r="L167" s="71">
        <v>0</v>
      </c>
      <c r="M167" s="73">
        <v>0</v>
      </c>
      <c r="N167" s="73">
        <v>1</v>
      </c>
      <c r="O167" s="73">
        <v>0</v>
      </c>
      <c r="P167" s="17" t="s">
        <v>37</v>
      </c>
      <c r="Q167" t="str">
        <f>LEFT(B167,3)</f>
        <v>CHT</v>
      </c>
    </row>
    <row r="168" spans="1:17">
      <c r="A168" s="6" t="s">
        <v>2638</v>
      </c>
      <c r="B168" s="6" t="s">
        <v>381</v>
      </c>
      <c r="C168" s="13" t="s">
        <v>382</v>
      </c>
      <c r="D168" s="13" t="s">
        <v>382</v>
      </c>
      <c r="E168" s="17" t="s">
        <v>49</v>
      </c>
      <c r="F168" s="17" t="s">
        <v>43</v>
      </c>
      <c r="G168" s="17" t="s">
        <v>50</v>
      </c>
      <c r="H168" s="7">
        <v>446668</v>
      </c>
      <c r="I168" s="7">
        <v>221345</v>
      </c>
      <c r="J168" s="80">
        <v>166.45088999999999</v>
      </c>
      <c r="K168" s="80">
        <v>-22.208891999999999</v>
      </c>
      <c r="L168" s="71">
        <v>0</v>
      </c>
      <c r="M168" s="73">
        <v>0</v>
      </c>
      <c r="N168" s="73">
        <v>1</v>
      </c>
      <c r="O168" s="73">
        <v>0</v>
      </c>
      <c r="P168" s="17" t="s">
        <v>37</v>
      </c>
      <c r="Q168" t="str">
        <f>LEFT(B168,3)</f>
        <v>CHT</v>
      </c>
    </row>
    <row r="169" spans="1:17">
      <c r="A169" s="6" t="s">
        <v>2639</v>
      </c>
      <c r="B169" s="6" t="s">
        <v>384</v>
      </c>
      <c r="C169" s="6" t="s">
        <v>385</v>
      </c>
      <c r="D169" s="6" t="s">
        <v>385</v>
      </c>
      <c r="E169" s="17" t="s">
        <v>49</v>
      </c>
      <c r="F169" s="17" t="s">
        <v>43</v>
      </c>
      <c r="G169" s="17" t="s">
        <v>50</v>
      </c>
      <c r="H169" s="7">
        <v>446668</v>
      </c>
      <c r="I169" s="7">
        <v>221345</v>
      </c>
      <c r="J169" s="80">
        <v>166.45088999999999</v>
      </c>
      <c r="K169" s="80">
        <v>-22.208891999999999</v>
      </c>
      <c r="L169" s="71">
        <v>0</v>
      </c>
      <c r="M169" s="73">
        <v>1</v>
      </c>
      <c r="N169" s="73">
        <v>0</v>
      </c>
      <c r="O169" s="73">
        <v>0</v>
      </c>
      <c r="P169" s="17" t="s">
        <v>37</v>
      </c>
      <c r="Q169" t="str">
        <f>LEFT(B169,3)</f>
        <v>CHT</v>
      </c>
    </row>
    <row r="170" spans="1:17">
      <c r="A170" s="6" t="s">
        <v>2640</v>
      </c>
      <c r="B170" s="6" t="s">
        <v>386</v>
      </c>
      <c r="C170" s="6" t="s">
        <v>387</v>
      </c>
      <c r="D170" s="6" t="s">
        <v>387</v>
      </c>
      <c r="E170" s="17" t="s">
        <v>49</v>
      </c>
      <c r="F170" s="17" t="s">
        <v>43</v>
      </c>
      <c r="G170" s="17" t="s">
        <v>50</v>
      </c>
      <c r="H170" s="7">
        <v>446668</v>
      </c>
      <c r="I170" s="7">
        <v>221345</v>
      </c>
      <c r="J170" s="80">
        <v>166.45088999999999</v>
      </c>
      <c r="K170" s="80">
        <v>-22.208891999999999</v>
      </c>
      <c r="L170" s="71">
        <v>0</v>
      </c>
      <c r="M170" s="73">
        <v>1</v>
      </c>
      <c r="N170" s="73">
        <v>0</v>
      </c>
      <c r="O170" s="73">
        <v>0</v>
      </c>
      <c r="P170" s="17" t="s">
        <v>37</v>
      </c>
      <c r="Q170" t="str">
        <f>LEFT(B170,3)</f>
        <v>CHT</v>
      </c>
    </row>
    <row r="171" spans="1:17">
      <c r="A171" s="2" t="s">
        <v>2641</v>
      </c>
      <c r="B171" s="2" t="s">
        <v>388</v>
      </c>
      <c r="C171" s="2" t="s">
        <v>389</v>
      </c>
      <c r="D171" s="2" t="s">
        <v>1408</v>
      </c>
      <c r="E171" s="2" t="s">
        <v>373</v>
      </c>
      <c r="F171" s="2" t="s">
        <v>129</v>
      </c>
      <c r="G171" s="2" t="s">
        <v>129</v>
      </c>
      <c r="H171" s="2">
        <v>525522</v>
      </c>
      <c r="I171" s="2">
        <v>374410</v>
      </c>
      <c r="J171" s="79">
        <v>167.20593</v>
      </c>
      <c r="K171" s="79">
        <v>-20.823509999999999</v>
      </c>
      <c r="L171" s="71">
        <v>0</v>
      </c>
      <c r="M171" s="73">
        <v>1</v>
      </c>
      <c r="N171" s="73">
        <v>1</v>
      </c>
      <c r="O171" s="73">
        <v>0</v>
      </c>
      <c r="P171" s="17" t="s">
        <v>47</v>
      </c>
      <c r="Q171" t="str">
        <f>LEFT(B171,3)</f>
        <v>CIL</v>
      </c>
    </row>
    <row r="172" spans="1:17">
      <c r="A172" s="17" t="s">
        <v>2642</v>
      </c>
      <c r="B172" s="17" t="s">
        <v>393</v>
      </c>
      <c r="C172" s="13" t="s">
        <v>394</v>
      </c>
      <c r="D172" s="13" t="s">
        <v>394</v>
      </c>
      <c r="E172" s="17" t="s">
        <v>29</v>
      </c>
      <c r="F172" s="17" t="s">
        <v>43</v>
      </c>
      <c r="G172" s="17" t="s">
        <v>30</v>
      </c>
      <c r="H172" s="7">
        <v>442382.51734999998</v>
      </c>
      <c r="I172" s="7">
        <v>214866.43947000001</v>
      </c>
      <c r="J172" s="80">
        <v>166.411226093815</v>
      </c>
      <c r="K172" s="80">
        <v>-22.268406478649801</v>
      </c>
      <c r="L172" s="71">
        <v>90</v>
      </c>
      <c r="M172" s="73">
        <v>2</v>
      </c>
      <c r="N172" s="73">
        <v>1</v>
      </c>
      <c r="O172" s="73">
        <v>1</v>
      </c>
      <c r="P172" s="17" t="s">
        <v>37</v>
      </c>
      <c r="Q172" t="str">
        <f>LEFT(B172,3)</f>
        <v>CIT</v>
      </c>
    </row>
    <row r="173" spans="1:17">
      <c r="A173" s="17" t="s">
        <v>2643</v>
      </c>
      <c r="B173" s="17" t="s">
        <v>393</v>
      </c>
      <c r="C173" s="13" t="s">
        <v>394</v>
      </c>
      <c r="D173" s="13" t="s">
        <v>394</v>
      </c>
      <c r="E173" s="17" t="s">
        <v>29</v>
      </c>
      <c r="F173" s="17" t="s">
        <v>43</v>
      </c>
      <c r="G173" s="17" t="s">
        <v>30</v>
      </c>
      <c r="H173" s="7">
        <v>442382.51734999998</v>
      </c>
      <c r="I173" s="7">
        <v>214866.43947000001</v>
      </c>
      <c r="J173" s="80">
        <v>166.411226093815</v>
      </c>
      <c r="K173" s="80">
        <v>-22.268406478649801</v>
      </c>
      <c r="L173" s="71">
        <v>245</v>
      </c>
      <c r="M173" s="73">
        <v>2</v>
      </c>
      <c r="N173" s="73">
        <v>1</v>
      </c>
      <c r="O173" s="73">
        <v>1</v>
      </c>
      <c r="P173" s="17" t="s">
        <v>37</v>
      </c>
      <c r="Q173" t="str">
        <f>LEFT(B173,3)</f>
        <v>CIT</v>
      </c>
    </row>
    <row r="174" spans="1:17">
      <c r="A174" s="2" t="s">
        <v>2644</v>
      </c>
      <c r="B174" s="2" t="s">
        <v>397</v>
      </c>
      <c r="C174" s="6" t="s">
        <v>398</v>
      </c>
      <c r="D174" s="6" t="s">
        <v>398</v>
      </c>
      <c r="E174" s="2" t="s">
        <v>49</v>
      </c>
      <c r="F174" s="2" t="s">
        <v>43</v>
      </c>
      <c r="G174" s="2" t="s">
        <v>50</v>
      </c>
      <c r="H174" s="7">
        <v>448590</v>
      </c>
      <c r="I174" s="7">
        <v>221255</v>
      </c>
      <c r="J174" s="79">
        <v>166.47126299999999</v>
      </c>
      <c r="K174" s="79">
        <v>-22.210550000000001</v>
      </c>
      <c r="L174" s="74">
        <v>120</v>
      </c>
      <c r="M174" s="73">
        <v>2</v>
      </c>
      <c r="N174" s="73">
        <v>2</v>
      </c>
      <c r="O174" s="73">
        <v>1</v>
      </c>
      <c r="P174" s="17" t="s">
        <v>37</v>
      </c>
      <c r="Q174" t="str">
        <f>LEFT(B174,3)</f>
        <v>CKO</v>
      </c>
    </row>
    <row r="175" spans="1:17">
      <c r="A175" s="2" t="s">
        <v>2645</v>
      </c>
      <c r="B175" s="2" t="s">
        <v>397</v>
      </c>
      <c r="C175" s="6" t="s">
        <v>398</v>
      </c>
      <c r="D175" s="6" t="s">
        <v>398</v>
      </c>
      <c r="E175" s="2" t="s">
        <v>49</v>
      </c>
      <c r="F175" s="2" t="s">
        <v>43</v>
      </c>
      <c r="G175" s="2" t="s">
        <v>50</v>
      </c>
      <c r="H175" s="7">
        <v>448590</v>
      </c>
      <c r="I175" s="7">
        <v>221255</v>
      </c>
      <c r="J175" s="79">
        <v>166.47126299999999</v>
      </c>
      <c r="K175" s="79">
        <v>-22.210550000000001</v>
      </c>
      <c r="L175" s="74">
        <v>220</v>
      </c>
      <c r="M175" s="73">
        <v>2</v>
      </c>
      <c r="N175" s="73">
        <v>2</v>
      </c>
      <c r="O175" s="73">
        <v>1</v>
      </c>
      <c r="P175" s="17" t="s">
        <v>37</v>
      </c>
      <c r="Q175" t="str">
        <f>LEFT(B175,3)</f>
        <v>CKO</v>
      </c>
    </row>
    <row r="176" spans="1:17">
      <c r="A176" s="2" t="s">
        <v>2646</v>
      </c>
      <c r="B176" s="2" t="s">
        <v>397</v>
      </c>
      <c r="C176" s="6" t="s">
        <v>398</v>
      </c>
      <c r="D176" s="6" t="s">
        <v>398</v>
      </c>
      <c r="E176" s="2" t="s">
        <v>49</v>
      </c>
      <c r="F176" s="2" t="s">
        <v>43</v>
      </c>
      <c r="G176" s="2" t="s">
        <v>50</v>
      </c>
      <c r="H176" s="7">
        <v>448590</v>
      </c>
      <c r="I176" s="7">
        <v>221255</v>
      </c>
      <c r="J176" s="79">
        <v>166.47126299999999</v>
      </c>
      <c r="K176" s="79">
        <v>-22.210550000000001</v>
      </c>
      <c r="L176" s="74">
        <v>340</v>
      </c>
      <c r="M176" s="73">
        <v>2</v>
      </c>
      <c r="N176" s="73">
        <v>2</v>
      </c>
      <c r="O176" s="73">
        <v>1</v>
      </c>
      <c r="P176" s="17" t="s">
        <v>37</v>
      </c>
      <c r="Q176" t="str">
        <f>LEFT(B176,3)</f>
        <v>CKO</v>
      </c>
    </row>
    <row r="177" spans="1:17">
      <c r="A177" s="17" t="s">
        <v>2647</v>
      </c>
      <c r="B177" s="17" t="s">
        <v>401</v>
      </c>
      <c r="C177" s="17" t="s">
        <v>403</v>
      </c>
      <c r="D177" s="17" t="s">
        <v>403</v>
      </c>
      <c r="E177" s="17" t="s">
        <v>402</v>
      </c>
      <c r="F177" s="17" t="s">
        <v>68</v>
      </c>
      <c r="G177" s="17" t="s">
        <v>68</v>
      </c>
      <c r="H177" s="17">
        <v>342380</v>
      </c>
      <c r="I177" s="17">
        <v>318276</v>
      </c>
      <c r="J177" s="80">
        <v>165.444482146355</v>
      </c>
      <c r="K177" s="80">
        <v>-21.334023884537501</v>
      </c>
      <c r="L177" s="71">
        <v>150</v>
      </c>
      <c r="M177" s="73">
        <v>1</v>
      </c>
      <c r="N177" s="73">
        <v>1</v>
      </c>
      <c r="O177" s="73">
        <v>0</v>
      </c>
      <c r="P177" s="17" t="s">
        <v>47</v>
      </c>
      <c r="Q177" t="str">
        <f>LEFT(B177,3)</f>
        <v>CLA</v>
      </c>
    </row>
    <row r="178" spans="1:17">
      <c r="A178" s="17" t="s">
        <v>2648</v>
      </c>
      <c r="B178" s="17" t="s">
        <v>401</v>
      </c>
      <c r="C178" s="17" t="s">
        <v>403</v>
      </c>
      <c r="D178" s="17" t="s">
        <v>403</v>
      </c>
      <c r="E178" s="17" t="s">
        <v>402</v>
      </c>
      <c r="F178" s="17" t="s">
        <v>68</v>
      </c>
      <c r="G178" s="17" t="s">
        <v>68</v>
      </c>
      <c r="H178" s="17">
        <v>342380</v>
      </c>
      <c r="I178" s="17">
        <v>318276</v>
      </c>
      <c r="J178" s="80">
        <v>165.444482146355</v>
      </c>
      <c r="K178" s="80">
        <v>-21.334023884537501</v>
      </c>
      <c r="L178" s="71">
        <v>330</v>
      </c>
      <c r="M178" s="73">
        <v>1</v>
      </c>
      <c r="N178" s="73">
        <v>1</v>
      </c>
      <c r="O178" s="73">
        <v>0</v>
      </c>
      <c r="P178" s="17" t="s">
        <v>47</v>
      </c>
      <c r="Q178" t="str">
        <f>LEFT(B178,3)</f>
        <v>CLA</v>
      </c>
    </row>
    <row r="179" spans="1:17">
      <c r="A179" s="17" t="s">
        <v>2649</v>
      </c>
      <c r="B179" s="17" t="s">
        <v>406</v>
      </c>
      <c r="C179" s="13" t="s">
        <v>2650</v>
      </c>
      <c r="D179" s="13" t="s">
        <v>409</v>
      </c>
      <c r="E179" s="17" t="s">
        <v>29</v>
      </c>
      <c r="F179" s="17" t="s">
        <v>43</v>
      </c>
      <c r="G179" s="17" t="s">
        <v>30</v>
      </c>
      <c r="H179" s="7">
        <v>445450.78136999998</v>
      </c>
      <c r="I179" s="7">
        <v>214770.00581</v>
      </c>
      <c r="J179" s="80">
        <v>166.44099620340299</v>
      </c>
      <c r="K179" s="80">
        <v>-22.269197910277502</v>
      </c>
      <c r="L179" s="71">
        <v>55</v>
      </c>
      <c r="M179" s="73">
        <v>3</v>
      </c>
      <c r="N179" s="73">
        <v>2</v>
      </c>
      <c r="O179" s="73">
        <v>1</v>
      </c>
      <c r="P179" s="17" t="s">
        <v>37</v>
      </c>
      <c r="Q179" t="str">
        <f>LEFT(B179,3)</f>
        <v>CLE</v>
      </c>
    </row>
    <row r="180" spans="1:17">
      <c r="A180" s="17" t="s">
        <v>2651</v>
      </c>
      <c r="B180" s="17" t="s">
        <v>406</v>
      </c>
      <c r="C180" s="13" t="s">
        <v>2650</v>
      </c>
      <c r="D180" s="13" t="s">
        <v>409</v>
      </c>
      <c r="E180" s="17" t="s">
        <v>29</v>
      </c>
      <c r="F180" s="17" t="s">
        <v>43</v>
      </c>
      <c r="G180" s="17" t="s">
        <v>30</v>
      </c>
      <c r="H180" s="7">
        <v>445450.78136999998</v>
      </c>
      <c r="I180" s="7">
        <v>214770.00581</v>
      </c>
      <c r="J180" s="80">
        <v>166.44099620340299</v>
      </c>
      <c r="K180" s="80">
        <v>-22.269197910277502</v>
      </c>
      <c r="L180" s="71">
        <v>135</v>
      </c>
      <c r="M180" s="73">
        <v>3</v>
      </c>
      <c r="N180" s="73">
        <v>2</v>
      </c>
      <c r="O180" s="73">
        <v>1</v>
      </c>
      <c r="P180" s="17" t="s">
        <v>37</v>
      </c>
      <c r="Q180" t="str">
        <f>LEFT(B180,3)</f>
        <v>CLE</v>
      </c>
    </row>
    <row r="181" spans="1:17">
      <c r="A181" s="17" t="s">
        <v>2652</v>
      </c>
      <c r="B181" s="17" t="s">
        <v>406</v>
      </c>
      <c r="C181" s="13" t="s">
        <v>2650</v>
      </c>
      <c r="D181" s="13" t="s">
        <v>409</v>
      </c>
      <c r="E181" s="17" t="s">
        <v>29</v>
      </c>
      <c r="F181" s="17" t="s">
        <v>43</v>
      </c>
      <c r="G181" s="17" t="s">
        <v>30</v>
      </c>
      <c r="H181" s="7">
        <v>445450.78136999998</v>
      </c>
      <c r="I181" s="7">
        <v>214770.00581</v>
      </c>
      <c r="J181" s="80">
        <v>166.44099620340299</v>
      </c>
      <c r="K181" s="80">
        <v>-22.269197910277502</v>
      </c>
      <c r="L181" s="71">
        <v>290</v>
      </c>
      <c r="M181" s="73">
        <v>3</v>
      </c>
      <c r="N181" s="73">
        <v>2</v>
      </c>
      <c r="O181" s="73">
        <v>1</v>
      </c>
      <c r="P181" s="17" t="s">
        <v>37</v>
      </c>
      <c r="Q181" t="str">
        <f>LEFT(B181,3)</f>
        <v>CLE</v>
      </c>
    </row>
    <row r="182" spans="1:17">
      <c r="A182" s="17" t="s">
        <v>2653</v>
      </c>
      <c r="B182" s="17" t="s">
        <v>412</v>
      </c>
      <c r="C182" s="13" t="s">
        <v>413</v>
      </c>
      <c r="D182" s="13" t="s">
        <v>413</v>
      </c>
      <c r="E182" s="17" t="s">
        <v>297</v>
      </c>
      <c r="F182" s="17" t="s">
        <v>68</v>
      </c>
      <c r="G182" s="17" t="s">
        <v>68</v>
      </c>
      <c r="H182" s="7">
        <v>268694.58000999998</v>
      </c>
      <c r="I182" s="7">
        <v>412096.45984000002</v>
      </c>
      <c r="J182" s="80">
        <v>164.74142890587601</v>
      </c>
      <c r="K182" s="80">
        <v>-20.482716403248801</v>
      </c>
      <c r="L182" s="71">
        <v>101</v>
      </c>
      <c r="M182" s="73">
        <v>1</v>
      </c>
      <c r="N182" s="73">
        <v>1</v>
      </c>
      <c r="O182" s="73">
        <v>1</v>
      </c>
      <c r="P182" s="17" t="s">
        <v>47</v>
      </c>
      <c r="Q182" t="str">
        <f>LEFT(B182,3)</f>
        <v>CLT</v>
      </c>
    </row>
    <row r="183" spans="1:17">
      <c r="A183" s="17" t="s">
        <v>2654</v>
      </c>
      <c r="B183" s="17" t="s">
        <v>412</v>
      </c>
      <c r="C183" s="13" t="s">
        <v>413</v>
      </c>
      <c r="D183" s="13" t="s">
        <v>413</v>
      </c>
      <c r="E183" s="17" t="s">
        <v>297</v>
      </c>
      <c r="F183" s="17" t="s">
        <v>68</v>
      </c>
      <c r="G183" s="17" t="s">
        <v>68</v>
      </c>
      <c r="H183" s="7">
        <v>268694.58000999998</v>
      </c>
      <c r="I183" s="7">
        <v>412096.45984000002</v>
      </c>
      <c r="J183" s="80">
        <v>164.74142890587601</v>
      </c>
      <c r="K183" s="80">
        <v>-20.482716403248801</v>
      </c>
      <c r="L183" s="71">
        <v>189</v>
      </c>
      <c r="M183" s="73">
        <v>1</v>
      </c>
      <c r="N183" s="73">
        <v>1</v>
      </c>
      <c r="O183" s="73">
        <v>1</v>
      </c>
      <c r="P183" s="17" t="s">
        <v>47</v>
      </c>
      <c r="Q183" t="str">
        <f>LEFT(B183,3)</f>
        <v>CLT</v>
      </c>
    </row>
    <row r="184" spans="1:17">
      <c r="A184" s="17" t="s">
        <v>2655</v>
      </c>
      <c r="B184" s="17" t="s">
        <v>412</v>
      </c>
      <c r="C184" s="13" t="s">
        <v>413</v>
      </c>
      <c r="D184" s="13" t="s">
        <v>413</v>
      </c>
      <c r="E184" s="17" t="s">
        <v>297</v>
      </c>
      <c r="F184" s="17" t="s">
        <v>68</v>
      </c>
      <c r="G184" s="17" t="s">
        <v>68</v>
      </c>
      <c r="H184" s="7">
        <v>268694.58000999998</v>
      </c>
      <c r="I184" s="7">
        <v>412096.45984000002</v>
      </c>
      <c r="J184" s="80">
        <v>164.74142890587601</v>
      </c>
      <c r="K184" s="80">
        <v>-20.482716403248801</v>
      </c>
      <c r="L184" s="71">
        <v>310</v>
      </c>
      <c r="M184" s="73">
        <v>1</v>
      </c>
      <c r="N184" s="73">
        <v>1</v>
      </c>
      <c r="O184" s="73">
        <v>1</v>
      </c>
      <c r="P184" s="17" t="s">
        <v>47</v>
      </c>
      <c r="Q184" t="str">
        <f>LEFT(B184,3)</f>
        <v>CLT</v>
      </c>
    </row>
    <row r="185" spans="1:17">
      <c r="A185" s="17" t="s">
        <v>2656</v>
      </c>
      <c r="B185" s="17" t="s">
        <v>416</v>
      </c>
      <c r="C185" s="13" t="s">
        <v>417</v>
      </c>
      <c r="D185" s="13" t="s">
        <v>417</v>
      </c>
      <c r="E185" s="17" t="s">
        <v>93</v>
      </c>
      <c r="F185" s="17" t="s">
        <v>43</v>
      </c>
      <c r="G185" s="17" t="s">
        <v>50</v>
      </c>
      <c r="H185" s="7">
        <v>460345.83347000001</v>
      </c>
      <c r="I185" s="7">
        <v>218161.45293999999</v>
      </c>
      <c r="J185" s="80">
        <v>166.585393130998</v>
      </c>
      <c r="K185" s="80">
        <v>-22.2381328814356</v>
      </c>
      <c r="L185" s="71">
        <v>20</v>
      </c>
      <c r="M185" s="73">
        <v>2</v>
      </c>
      <c r="N185" s="73">
        <v>1</v>
      </c>
      <c r="O185" s="73">
        <v>1</v>
      </c>
      <c r="P185" s="17" t="s">
        <v>37</v>
      </c>
      <c r="Q185" t="str">
        <f>LEFT(B185,3)</f>
        <v>CMD</v>
      </c>
    </row>
    <row r="186" spans="1:17">
      <c r="A186" s="17" t="s">
        <v>2657</v>
      </c>
      <c r="B186" s="17" t="s">
        <v>416</v>
      </c>
      <c r="C186" s="13" t="s">
        <v>417</v>
      </c>
      <c r="D186" s="13" t="s">
        <v>417</v>
      </c>
      <c r="E186" s="17" t="s">
        <v>93</v>
      </c>
      <c r="F186" s="17" t="s">
        <v>43</v>
      </c>
      <c r="G186" s="17" t="s">
        <v>50</v>
      </c>
      <c r="H186" s="7">
        <v>460345.83347000001</v>
      </c>
      <c r="I186" s="7">
        <v>218161.45293999999</v>
      </c>
      <c r="J186" s="80">
        <v>166.585393130998</v>
      </c>
      <c r="K186" s="80">
        <v>-22.2381328814356</v>
      </c>
      <c r="L186" s="71">
        <v>110</v>
      </c>
      <c r="M186" s="73">
        <v>2</v>
      </c>
      <c r="N186" s="73">
        <v>1</v>
      </c>
      <c r="O186" s="73">
        <v>1</v>
      </c>
      <c r="P186" s="17" t="s">
        <v>37</v>
      </c>
      <c r="Q186" t="str">
        <f>LEFT(B186,3)</f>
        <v>CMD</v>
      </c>
    </row>
    <row r="187" spans="1:17">
      <c r="A187" s="17" t="s">
        <v>2658</v>
      </c>
      <c r="B187" s="17" t="s">
        <v>416</v>
      </c>
      <c r="C187" s="13" t="s">
        <v>417</v>
      </c>
      <c r="D187" s="13" t="s">
        <v>417</v>
      </c>
      <c r="E187" s="17" t="s">
        <v>93</v>
      </c>
      <c r="F187" s="17" t="s">
        <v>43</v>
      </c>
      <c r="G187" s="17" t="s">
        <v>50</v>
      </c>
      <c r="H187" s="7">
        <v>460345.83347000001</v>
      </c>
      <c r="I187" s="7">
        <v>218161.45293999999</v>
      </c>
      <c r="J187" s="80">
        <v>166.585393130998</v>
      </c>
      <c r="K187" s="80">
        <v>-22.2381328814356</v>
      </c>
      <c r="L187" s="71">
        <v>290</v>
      </c>
      <c r="M187" s="73">
        <v>2</v>
      </c>
      <c r="N187" s="73">
        <v>1</v>
      </c>
      <c r="O187" s="73">
        <v>1</v>
      </c>
      <c r="P187" s="17" t="s">
        <v>37</v>
      </c>
      <c r="Q187" t="str">
        <f>LEFT(B187,3)</f>
        <v>CMD</v>
      </c>
    </row>
    <row r="188" spans="1:17">
      <c r="A188" s="17" t="s">
        <v>2659</v>
      </c>
      <c r="B188" s="17" t="s">
        <v>420</v>
      </c>
      <c r="C188" s="13" t="s">
        <v>422</v>
      </c>
      <c r="D188" s="13" t="s">
        <v>422</v>
      </c>
      <c r="E188" s="17" t="s">
        <v>421</v>
      </c>
      <c r="F188" s="17" t="s">
        <v>43</v>
      </c>
      <c r="G188" s="17" t="s">
        <v>43</v>
      </c>
      <c r="H188" s="7">
        <v>363462.00345999998</v>
      </c>
      <c r="I188" s="7">
        <v>281425.91834999999</v>
      </c>
      <c r="J188" s="80">
        <v>165.64694402808399</v>
      </c>
      <c r="K188" s="80">
        <v>-21.667394118650101</v>
      </c>
      <c r="L188" s="71">
        <v>140</v>
      </c>
      <c r="M188" s="73">
        <v>1</v>
      </c>
      <c r="N188" s="73">
        <v>1</v>
      </c>
      <c r="O188" s="73">
        <v>1</v>
      </c>
      <c r="P188" s="17" t="s">
        <v>47</v>
      </c>
      <c r="Q188" t="str">
        <f>LEFT(B188,3)</f>
        <v>CMO</v>
      </c>
    </row>
    <row r="189" spans="1:17">
      <c r="A189" s="17" t="s">
        <v>2660</v>
      </c>
      <c r="B189" s="17" t="s">
        <v>420</v>
      </c>
      <c r="C189" s="13" t="s">
        <v>422</v>
      </c>
      <c r="D189" s="13" t="s">
        <v>422</v>
      </c>
      <c r="E189" s="17" t="s">
        <v>421</v>
      </c>
      <c r="F189" s="17" t="s">
        <v>43</v>
      </c>
      <c r="G189" s="17" t="s">
        <v>43</v>
      </c>
      <c r="H189" s="7">
        <v>363462.00345999998</v>
      </c>
      <c r="I189" s="7">
        <v>281425.91834999999</v>
      </c>
      <c r="J189" s="80">
        <v>165.64694402808399</v>
      </c>
      <c r="K189" s="80">
        <v>-21.667394118650101</v>
      </c>
      <c r="L189" s="71">
        <v>260</v>
      </c>
      <c r="M189" s="73">
        <v>1</v>
      </c>
      <c r="N189" s="73">
        <v>1</v>
      </c>
      <c r="O189" s="73">
        <v>1</v>
      </c>
      <c r="P189" s="17" t="s">
        <v>47</v>
      </c>
      <c r="Q189" t="str">
        <f>LEFT(B189,3)</f>
        <v>CMO</v>
      </c>
    </row>
    <row r="190" spans="1:17">
      <c r="A190" s="17" t="s">
        <v>2661</v>
      </c>
      <c r="B190" s="17" t="s">
        <v>420</v>
      </c>
      <c r="C190" s="13" t="s">
        <v>422</v>
      </c>
      <c r="D190" s="13" t="s">
        <v>422</v>
      </c>
      <c r="E190" s="17" t="s">
        <v>421</v>
      </c>
      <c r="F190" s="17" t="s">
        <v>43</v>
      </c>
      <c r="G190" s="17" t="s">
        <v>43</v>
      </c>
      <c r="H190" s="7">
        <v>363462.00345999998</v>
      </c>
      <c r="I190" s="7">
        <v>281425.91834999999</v>
      </c>
      <c r="J190" s="80">
        <v>165.64694402808399</v>
      </c>
      <c r="K190" s="80">
        <v>-21.667394118650101</v>
      </c>
      <c r="L190" s="71">
        <v>350</v>
      </c>
      <c r="M190" s="73">
        <v>1</v>
      </c>
      <c r="N190" s="73">
        <v>1</v>
      </c>
      <c r="O190" s="73">
        <v>1</v>
      </c>
      <c r="P190" s="17" t="s">
        <v>47</v>
      </c>
      <c r="Q190" t="str">
        <f>LEFT(B190,3)</f>
        <v>CMO</v>
      </c>
    </row>
    <row r="191" spans="1:17">
      <c r="A191" s="17" t="s">
        <v>2662</v>
      </c>
      <c r="B191" s="17" t="s">
        <v>425</v>
      </c>
      <c r="C191" s="13" t="s">
        <v>426</v>
      </c>
      <c r="D191" s="13" t="s">
        <v>428</v>
      </c>
      <c r="E191" s="17" t="s">
        <v>148</v>
      </c>
      <c r="F191" s="17" t="s">
        <v>68</v>
      </c>
      <c r="G191" s="17" t="s">
        <v>68</v>
      </c>
      <c r="H191" s="7">
        <v>297636.91206</v>
      </c>
      <c r="I191" s="7">
        <v>322309.90795999998</v>
      </c>
      <c r="J191" s="80">
        <v>165.013401048231</v>
      </c>
      <c r="K191" s="80">
        <v>-21.295566382083098</v>
      </c>
      <c r="L191" s="71">
        <v>116</v>
      </c>
      <c r="M191" s="73">
        <v>1</v>
      </c>
      <c r="N191" s="73">
        <v>1</v>
      </c>
      <c r="O191" s="73">
        <v>1</v>
      </c>
      <c r="P191" s="17" t="s">
        <v>47</v>
      </c>
      <c r="Q191" t="str">
        <f>LEFT(B191,3)</f>
        <v>CMU</v>
      </c>
    </row>
    <row r="192" spans="1:17">
      <c r="A192" s="17" t="s">
        <v>2663</v>
      </c>
      <c r="B192" s="17" t="s">
        <v>425</v>
      </c>
      <c r="C192" s="13" t="s">
        <v>426</v>
      </c>
      <c r="D192" s="13" t="s">
        <v>428</v>
      </c>
      <c r="E192" s="17" t="s">
        <v>148</v>
      </c>
      <c r="F192" s="17" t="s">
        <v>68</v>
      </c>
      <c r="G192" s="17" t="s">
        <v>68</v>
      </c>
      <c r="H192" s="7">
        <v>297636.91206</v>
      </c>
      <c r="I192" s="7">
        <v>322309.90795999998</v>
      </c>
      <c r="J192" s="80">
        <v>165.013401048231</v>
      </c>
      <c r="K192" s="80">
        <v>-21.295566382083098</v>
      </c>
      <c r="L192" s="71">
        <v>205</v>
      </c>
      <c r="M192" s="73">
        <v>1</v>
      </c>
      <c r="N192" s="73">
        <v>1</v>
      </c>
      <c r="O192" s="73">
        <v>1</v>
      </c>
      <c r="P192" s="17" t="s">
        <v>47</v>
      </c>
      <c r="Q192" t="str">
        <f>LEFT(B192,3)</f>
        <v>CMU</v>
      </c>
    </row>
    <row r="193" spans="1:17">
      <c r="A193" s="17" t="s">
        <v>2664</v>
      </c>
      <c r="B193" s="17" t="s">
        <v>425</v>
      </c>
      <c r="C193" s="13" t="s">
        <v>426</v>
      </c>
      <c r="D193" s="13" t="s">
        <v>428</v>
      </c>
      <c r="E193" s="17" t="s">
        <v>148</v>
      </c>
      <c r="F193" s="17" t="s">
        <v>68</v>
      </c>
      <c r="G193" s="17" t="s">
        <v>68</v>
      </c>
      <c r="H193" s="7">
        <v>297636.91206</v>
      </c>
      <c r="I193" s="7">
        <v>322309.90795999998</v>
      </c>
      <c r="J193" s="80">
        <v>165.013401048231</v>
      </c>
      <c r="K193" s="80">
        <v>-21.295566382083098</v>
      </c>
      <c r="L193" s="71">
        <v>350</v>
      </c>
      <c r="M193" s="73">
        <v>1</v>
      </c>
      <c r="N193" s="73">
        <v>1</v>
      </c>
      <c r="O193" s="73">
        <v>1</v>
      </c>
      <c r="P193" s="17" t="s">
        <v>47</v>
      </c>
      <c r="Q193" t="str">
        <f>LEFT(B193,3)</f>
        <v>CMU</v>
      </c>
    </row>
    <row r="194" spans="1:17">
      <c r="A194" s="17" t="s">
        <v>2665</v>
      </c>
      <c r="B194" s="17" t="s">
        <v>430</v>
      </c>
      <c r="C194" s="13" t="s">
        <v>431</v>
      </c>
      <c r="D194" s="13" t="s">
        <v>431</v>
      </c>
      <c r="E194" s="17" t="s">
        <v>93</v>
      </c>
      <c r="F194" s="17" t="s">
        <v>43</v>
      </c>
      <c r="G194" s="17" t="s">
        <v>50</v>
      </c>
      <c r="H194" s="7">
        <v>495186.58922999998</v>
      </c>
      <c r="I194" s="7">
        <v>201074.80329000001</v>
      </c>
      <c r="J194" s="80">
        <v>166.92434574958699</v>
      </c>
      <c r="K194" s="80">
        <v>-22.390909468163699</v>
      </c>
      <c r="L194" s="71">
        <v>47</v>
      </c>
      <c r="M194" s="73">
        <v>1</v>
      </c>
      <c r="N194" s="73">
        <v>1</v>
      </c>
      <c r="O194" s="73">
        <v>1</v>
      </c>
      <c r="P194" s="17" t="s">
        <v>47</v>
      </c>
      <c r="Q194" t="str">
        <f>LEFT(B194,3)</f>
        <v>CND</v>
      </c>
    </row>
    <row r="195" spans="1:17">
      <c r="A195" s="17" t="s">
        <v>2666</v>
      </c>
      <c r="B195" s="17" t="s">
        <v>430</v>
      </c>
      <c r="C195" s="13" t="s">
        <v>431</v>
      </c>
      <c r="D195" s="13" t="s">
        <v>431</v>
      </c>
      <c r="E195" s="17" t="s">
        <v>93</v>
      </c>
      <c r="F195" s="17" t="s">
        <v>43</v>
      </c>
      <c r="G195" s="17" t="s">
        <v>50</v>
      </c>
      <c r="H195" s="7">
        <v>495186.58922999998</v>
      </c>
      <c r="I195" s="7">
        <v>201074.80329000001</v>
      </c>
      <c r="J195" s="80">
        <v>166.92434574958699</v>
      </c>
      <c r="K195" s="80">
        <v>-22.390909468163699</v>
      </c>
      <c r="L195" s="71">
        <v>180</v>
      </c>
      <c r="M195" s="73">
        <v>1</v>
      </c>
      <c r="N195" s="73">
        <v>1</v>
      </c>
      <c r="O195" s="73">
        <v>1</v>
      </c>
      <c r="P195" s="17" t="s">
        <v>47</v>
      </c>
      <c r="Q195" t="str">
        <f>LEFT(B195,3)</f>
        <v>CND</v>
      </c>
    </row>
    <row r="196" spans="1:17">
      <c r="A196" s="17" t="s">
        <v>2667</v>
      </c>
      <c r="B196" s="17" t="s">
        <v>430</v>
      </c>
      <c r="C196" s="13" t="s">
        <v>431</v>
      </c>
      <c r="D196" s="13" t="s">
        <v>431</v>
      </c>
      <c r="E196" s="17" t="s">
        <v>93</v>
      </c>
      <c r="F196" s="17" t="s">
        <v>43</v>
      </c>
      <c r="G196" s="17" t="s">
        <v>50</v>
      </c>
      <c r="H196" s="7">
        <v>495186.58922999998</v>
      </c>
      <c r="I196" s="7">
        <v>201074.80329000001</v>
      </c>
      <c r="J196" s="80">
        <v>166.92434574958699</v>
      </c>
      <c r="K196" s="80">
        <v>-22.390909468163699</v>
      </c>
      <c r="L196" s="71">
        <v>245</v>
      </c>
      <c r="M196" s="73">
        <v>1</v>
      </c>
      <c r="N196" s="73">
        <v>1</v>
      </c>
      <c r="O196" s="73">
        <v>1</v>
      </c>
      <c r="P196" s="17" t="s">
        <v>47</v>
      </c>
      <c r="Q196" t="str">
        <f>LEFT(B196,3)</f>
        <v>CND</v>
      </c>
    </row>
    <row r="197" spans="1:17">
      <c r="A197" s="17" t="s">
        <v>2668</v>
      </c>
      <c r="B197" s="17" t="s">
        <v>436</v>
      </c>
      <c r="C197" s="13" t="s">
        <v>438</v>
      </c>
      <c r="D197" s="13" t="s">
        <v>438</v>
      </c>
      <c r="E197" s="17" t="s">
        <v>437</v>
      </c>
      <c r="F197" s="17" t="s">
        <v>68</v>
      </c>
      <c r="G197" s="17" t="s">
        <v>68</v>
      </c>
      <c r="H197" s="7">
        <v>229954.84080000001</v>
      </c>
      <c r="I197" s="7">
        <v>392387.98732000001</v>
      </c>
      <c r="J197" s="80">
        <v>164.36815430479999</v>
      </c>
      <c r="K197" s="80">
        <v>-20.657481705377698</v>
      </c>
      <c r="L197" s="71">
        <v>123</v>
      </c>
      <c r="M197" s="73">
        <v>1</v>
      </c>
      <c r="N197" s="73">
        <v>1</v>
      </c>
      <c r="O197" s="73">
        <v>1</v>
      </c>
      <c r="P197" s="17" t="s">
        <v>47</v>
      </c>
      <c r="Q197" t="str">
        <f>LEFT(B197,3)</f>
        <v>CNG</v>
      </c>
    </row>
    <row r="198" spans="1:17">
      <c r="A198" s="17" t="s">
        <v>2669</v>
      </c>
      <c r="B198" s="17" t="s">
        <v>436</v>
      </c>
      <c r="C198" s="13" t="s">
        <v>438</v>
      </c>
      <c r="D198" s="13" t="s">
        <v>438</v>
      </c>
      <c r="E198" s="17" t="s">
        <v>437</v>
      </c>
      <c r="F198" s="17" t="s">
        <v>68</v>
      </c>
      <c r="G198" s="17" t="s">
        <v>68</v>
      </c>
      <c r="H198" s="7">
        <v>229954.84080000001</v>
      </c>
      <c r="I198" s="7">
        <v>392387.98732000001</v>
      </c>
      <c r="J198" s="80">
        <v>164.36815430479999</v>
      </c>
      <c r="K198" s="80">
        <v>-20.657481705377698</v>
      </c>
      <c r="L198" s="71">
        <v>326</v>
      </c>
      <c r="M198" s="73">
        <v>1</v>
      </c>
      <c r="N198" s="73">
        <v>1</v>
      </c>
      <c r="O198" s="73">
        <v>1</v>
      </c>
      <c r="P198" s="17" t="s">
        <v>47</v>
      </c>
      <c r="Q198" t="str">
        <f>LEFT(B198,3)</f>
        <v>CNG</v>
      </c>
    </row>
    <row r="199" spans="1:17">
      <c r="A199" s="17" t="s">
        <v>2670</v>
      </c>
      <c r="B199" s="17" t="s">
        <v>441</v>
      </c>
      <c r="C199" s="13" t="s">
        <v>442</v>
      </c>
      <c r="D199" s="13" t="s">
        <v>443</v>
      </c>
      <c r="E199" s="17" t="s">
        <v>98</v>
      </c>
      <c r="F199" s="17" t="s">
        <v>68</v>
      </c>
      <c r="G199" s="17" t="s">
        <v>68</v>
      </c>
      <c r="H199" s="7">
        <v>396804</v>
      </c>
      <c r="I199" s="7">
        <v>297166</v>
      </c>
      <c r="J199" s="80">
        <v>165.96914799999999</v>
      </c>
      <c r="K199" s="80">
        <v>-21.525594999999999</v>
      </c>
      <c r="L199" s="71">
        <v>0</v>
      </c>
      <c r="M199" s="73">
        <v>1</v>
      </c>
      <c r="N199" s="73">
        <v>1</v>
      </c>
      <c r="O199" s="73">
        <v>0</v>
      </c>
      <c r="P199" s="17" t="s">
        <v>47</v>
      </c>
      <c r="Q199" t="str">
        <f>LEFT(B199,3)</f>
        <v>CNL</v>
      </c>
    </row>
    <row r="200" spans="1:17">
      <c r="A200" s="17" t="s">
        <v>2671</v>
      </c>
      <c r="B200" s="17" t="s">
        <v>445</v>
      </c>
      <c r="C200" s="17" t="s">
        <v>446</v>
      </c>
      <c r="D200" s="17" t="s">
        <v>447</v>
      </c>
      <c r="E200" s="17" t="s">
        <v>29</v>
      </c>
      <c r="F200" s="17" t="s">
        <v>43</v>
      </c>
      <c r="G200" s="17" t="s">
        <v>43</v>
      </c>
      <c r="H200" s="19">
        <v>446042</v>
      </c>
      <c r="I200" s="19">
        <v>213786</v>
      </c>
      <c r="J200" s="80">
        <v>166.44676000000001</v>
      </c>
      <c r="K200" s="80">
        <v>-22.27807</v>
      </c>
      <c r="L200" s="71">
        <v>50</v>
      </c>
      <c r="M200" s="73">
        <v>3</v>
      </c>
      <c r="N200" s="73">
        <v>3</v>
      </c>
      <c r="O200" s="73">
        <v>0</v>
      </c>
      <c r="P200" s="17" t="s">
        <v>37</v>
      </c>
      <c r="Q200" t="str">
        <f>LEFT(B200,3)</f>
        <v>COF</v>
      </c>
    </row>
    <row r="201" spans="1:17">
      <c r="A201" s="17" t="s">
        <v>2672</v>
      </c>
      <c r="B201" s="17" t="s">
        <v>445</v>
      </c>
      <c r="C201" s="17" t="s">
        <v>446</v>
      </c>
      <c r="D201" s="17" t="s">
        <v>447</v>
      </c>
      <c r="E201" s="17" t="s">
        <v>29</v>
      </c>
      <c r="F201" s="17" t="s">
        <v>43</v>
      </c>
      <c r="G201" s="17" t="s">
        <v>43</v>
      </c>
      <c r="H201" s="19">
        <v>446042</v>
      </c>
      <c r="I201" s="19">
        <v>213786</v>
      </c>
      <c r="J201" s="80">
        <v>166.44676000000001</v>
      </c>
      <c r="K201" s="80">
        <v>-22.27807</v>
      </c>
      <c r="L201" s="71">
        <v>137</v>
      </c>
      <c r="M201" s="73">
        <v>3</v>
      </c>
      <c r="N201" s="73">
        <v>3</v>
      </c>
      <c r="O201" s="73">
        <v>0</v>
      </c>
      <c r="P201" s="17" t="s">
        <v>37</v>
      </c>
      <c r="Q201" t="str">
        <f>LEFT(B201,3)</f>
        <v>COF</v>
      </c>
    </row>
    <row r="202" spans="1:17">
      <c r="A202" s="17" t="s">
        <v>2673</v>
      </c>
      <c r="B202" s="17" t="s">
        <v>445</v>
      </c>
      <c r="C202" s="17" t="s">
        <v>446</v>
      </c>
      <c r="D202" s="17" t="s">
        <v>447</v>
      </c>
      <c r="E202" s="17" t="s">
        <v>29</v>
      </c>
      <c r="F202" s="17" t="s">
        <v>43</v>
      </c>
      <c r="G202" s="17" t="s">
        <v>43</v>
      </c>
      <c r="H202" s="19">
        <v>446042</v>
      </c>
      <c r="I202" s="19">
        <v>213786</v>
      </c>
      <c r="J202" s="80">
        <v>166.44676000000001</v>
      </c>
      <c r="K202" s="80">
        <v>-22.27807</v>
      </c>
      <c r="L202" s="71">
        <v>270</v>
      </c>
      <c r="M202" s="73">
        <v>3</v>
      </c>
      <c r="N202" s="73">
        <v>3</v>
      </c>
      <c r="O202" s="73">
        <v>0</v>
      </c>
      <c r="P202" s="17" t="s">
        <v>37</v>
      </c>
      <c r="Q202" t="str">
        <f>LEFT(B202,3)</f>
        <v>COF</v>
      </c>
    </row>
    <row r="203" spans="1:17">
      <c r="A203" s="17" t="s">
        <v>2674</v>
      </c>
      <c r="B203" s="17" t="s">
        <v>449</v>
      </c>
      <c r="C203" s="13" t="s">
        <v>450</v>
      </c>
      <c r="D203" s="13" t="s">
        <v>450</v>
      </c>
      <c r="E203" s="17" t="s">
        <v>29</v>
      </c>
      <c r="F203" s="17" t="s">
        <v>43</v>
      </c>
      <c r="G203" s="17" t="s">
        <v>30</v>
      </c>
      <c r="H203" s="7">
        <v>446717.39253999997</v>
      </c>
      <c r="I203" s="7">
        <v>214675.99530000001</v>
      </c>
      <c r="J203" s="80">
        <v>166.45328236443399</v>
      </c>
      <c r="K203" s="80">
        <v>-22.270014099902401</v>
      </c>
      <c r="L203" s="71">
        <v>0</v>
      </c>
      <c r="M203" s="73">
        <v>3</v>
      </c>
      <c r="N203" s="73">
        <v>2</v>
      </c>
      <c r="O203" s="73">
        <v>1</v>
      </c>
      <c r="P203" s="17" t="s">
        <v>37</v>
      </c>
      <c r="Q203" t="str">
        <f>LEFT(B203,3)</f>
        <v>COL</v>
      </c>
    </row>
    <row r="204" spans="1:17">
      <c r="A204" s="17" t="s">
        <v>2675</v>
      </c>
      <c r="B204" s="17" t="s">
        <v>449</v>
      </c>
      <c r="C204" s="13" t="s">
        <v>450</v>
      </c>
      <c r="D204" s="13" t="s">
        <v>450</v>
      </c>
      <c r="E204" s="17" t="s">
        <v>29</v>
      </c>
      <c r="F204" s="17" t="s">
        <v>43</v>
      </c>
      <c r="G204" s="17" t="s">
        <v>30</v>
      </c>
      <c r="H204" s="7">
        <v>446717.39253999997</v>
      </c>
      <c r="I204" s="7">
        <v>214675.99530000001</v>
      </c>
      <c r="J204" s="80">
        <v>166.45328236443399</v>
      </c>
      <c r="K204" s="80">
        <v>-22.270014099902401</v>
      </c>
      <c r="L204" s="71">
        <v>150</v>
      </c>
      <c r="M204" s="73">
        <v>3</v>
      </c>
      <c r="N204" s="73">
        <v>2</v>
      </c>
      <c r="O204" s="73">
        <v>1</v>
      </c>
      <c r="P204" s="17" t="s">
        <v>37</v>
      </c>
      <c r="Q204" t="str">
        <f>LEFT(B204,3)</f>
        <v>COL</v>
      </c>
    </row>
    <row r="205" spans="1:17">
      <c r="A205" s="17" t="s">
        <v>2676</v>
      </c>
      <c r="B205" s="17" t="s">
        <v>449</v>
      </c>
      <c r="C205" s="13" t="s">
        <v>450</v>
      </c>
      <c r="D205" s="13" t="s">
        <v>450</v>
      </c>
      <c r="E205" s="17" t="s">
        <v>29</v>
      </c>
      <c r="F205" s="17" t="s">
        <v>43</v>
      </c>
      <c r="G205" s="17" t="s">
        <v>30</v>
      </c>
      <c r="H205" s="7">
        <v>446717.39253999997</v>
      </c>
      <c r="I205" s="7">
        <v>214675.99530000001</v>
      </c>
      <c r="J205" s="80">
        <v>166.45328236443399</v>
      </c>
      <c r="K205" s="80">
        <v>-22.270014099902401</v>
      </c>
      <c r="L205" s="71">
        <v>270</v>
      </c>
      <c r="M205" s="73">
        <v>3</v>
      </c>
      <c r="N205" s="73">
        <v>2</v>
      </c>
      <c r="O205" s="73">
        <v>1</v>
      </c>
      <c r="P205" s="17" t="s">
        <v>37</v>
      </c>
      <c r="Q205" t="str">
        <f>LEFT(B205,3)</f>
        <v>COL</v>
      </c>
    </row>
    <row r="206" spans="1:17">
      <c r="A206" s="26" t="s">
        <v>2677</v>
      </c>
      <c r="B206" s="26" t="s">
        <v>453</v>
      </c>
      <c r="C206" s="26" t="s">
        <v>454</v>
      </c>
      <c r="D206" s="26" t="s">
        <v>454</v>
      </c>
      <c r="E206" s="25" t="s">
        <v>29</v>
      </c>
      <c r="F206" s="25" t="s">
        <v>43</v>
      </c>
      <c r="G206" s="25" t="s">
        <v>30</v>
      </c>
      <c r="H206" s="27">
        <v>445267.10372999997</v>
      </c>
      <c r="I206" s="27">
        <v>214299.20931000001</v>
      </c>
      <c r="J206" s="81">
        <v>166.43922376094699</v>
      </c>
      <c r="K206" s="81">
        <v>-22.273456073760201</v>
      </c>
      <c r="L206" s="75">
        <v>0</v>
      </c>
      <c r="M206" s="76">
        <v>2</v>
      </c>
      <c r="N206" s="76">
        <v>0</v>
      </c>
      <c r="O206" s="76">
        <v>1</v>
      </c>
      <c r="P206" s="25" t="s">
        <v>37</v>
      </c>
      <c r="Q206" t="str">
        <f>LEFT(B206,3)</f>
        <v>CON</v>
      </c>
    </row>
    <row r="207" spans="1:17">
      <c r="A207" s="17" t="s">
        <v>2678</v>
      </c>
      <c r="B207" s="17" t="s">
        <v>458</v>
      </c>
      <c r="C207" s="13" t="s">
        <v>459</v>
      </c>
      <c r="D207" s="13" t="s">
        <v>459</v>
      </c>
      <c r="E207" s="17" t="s">
        <v>93</v>
      </c>
      <c r="F207" s="17" t="s">
        <v>43</v>
      </c>
      <c r="G207" s="17" t="s">
        <v>50</v>
      </c>
      <c r="H207" s="7">
        <v>462565</v>
      </c>
      <c r="I207" s="7">
        <v>212409</v>
      </c>
      <c r="J207" s="79">
        <v>166.60713999999999</v>
      </c>
      <c r="K207" s="79">
        <v>-22.29</v>
      </c>
      <c r="L207" s="71">
        <v>60</v>
      </c>
      <c r="M207" s="73">
        <v>1</v>
      </c>
      <c r="N207" s="73">
        <v>1</v>
      </c>
      <c r="O207" s="73">
        <v>0</v>
      </c>
      <c r="P207" s="17" t="s">
        <v>37</v>
      </c>
      <c r="Q207" t="str">
        <f>LEFT(B207,3)</f>
        <v>COR</v>
      </c>
    </row>
    <row r="208" spans="1:17">
      <c r="A208" s="17" t="s">
        <v>2679</v>
      </c>
      <c r="B208" s="17" t="s">
        <v>458</v>
      </c>
      <c r="C208" s="13" t="s">
        <v>459</v>
      </c>
      <c r="D208" s="13" t="s">
        <v>459</v>
      </c>
      <c r="E208" s="17" t="s">
        <v>93</v>
      </c>
      <c r="F208" s="17" t="s">
        <v>43</v>
      </c>
      <c r="G208" s="17" t="s">
        <v>50</v>
      </c>
      <c r="H208" s="7">
        <v>462565</v>
      </c>
      <c r="I208" s="7">
        <v>212409</v>
      </c>
      <c r="J208" s="79">
        <v>166.60713999999999</v>
      </c>
      <c r="K208" s="79">
        <v>-22.29</v>
      </c>
      <c r="L208" s="71">
        <v>265</v>
      </c>
      <c r="M208" s="73">
        <v>1</v>
      </c>
      <c r="N208" s="73">
        <v>1</v>
      </c>
      <c r="O208" s="73">
        <v>0</v>
      </c>
      <c r="P208" s="17" t="s">
        <v>37</v>
      </c>
      <c r="Q208" t="str">
        <f>LEFT(B208,3)</f>
        <v>COR</v>
      </c>
    </row>
    <row r="209" spans="1:17">
      <c r="A209" s="17" t="s">
        <v>2680</v>
      </c>
      <c r="B209" s="17" t="s">
        <v>462</v>
      </c>
      <c r="C209" s="13" t="s">
        <v>463</v>
      </c>
      <c r="D209" s="13" t="s">
        <v>463</v>
      </c>
      <c r="E209" s="17" t="s">
        <v>93</v>
      </c>
      <c r="F209" s="17" t="s">
        <v>43</v>
      </c>
      <c r="G209" s="17" t="s">
        <v>50</v>
      </c>
      <c r="H209" s="7">
        <v>462370.97155999998</v>
      </c>
      <c r="I209" s="7">
        <v>218021.57626999999</v>
      </c>
      <c r="J209" s="80">
        <v>166.60504189602599</v>
      </c>
      <c r="K209" s="80">
        <v>-22.239318536189302</v>
      </c>
      <c r="L209" s="71">
        <v>90</v>
      </c>
      <c r="M209" s="73">
        <v>2</v>
      </c>
      <c r="N209" s="73">
        <v>1</v>
      </c>
      <c r="O209" s="73">
        <v>1</v>
      </c>
      <c r="P209" s="17" t="s">
        <v>37</v>
      </c>
      <c r="Q209" t="str">
        <f>LEFT(B209,3)</f>
        <v>COS</v>
      </c>
    </row>
    <row r="210" spans="1:17">
      <c r="A210" s="17" t="s">
        <v>2681</v>
      </c>
      <c r="B210" s="17" t="s">
        <v>462</v>
      </c>
      <c r="C210" s="13" t="s">
        <v>463</v>
      </c>
      <c r="D210" s="13" t="s">
        <v>463</v>
      </c>
      <c r="E210" s="17" t="s">
        <v>93</v>
      </c>
      <c r="F210" s="17" t="s">
        <v>43</v>
      </c>
      <c r="G210" s="17" t="s">
        <v>50</v>
      </c>
      <c r="H210" s="7">
        <v>462370.97155999998</v>
      </c>
      <c r="I210" s="7">
        <v>218021.57626999999</v>
      </c>
      <c r="J210" s="80">
        <v>166.60504189602599</v>
      </c>
      <c r="K210" s="80">
        <v>-22.239318536189302</v>
      </c>
      <c r="L210" s="71">
        <v>170</v>
      </c>
      <c r="M210" s="73">
        <v>2</v>
      </c>
      <c r="N210" s="73">
        <v>1</v>
      </c>
      <c r="O210" s="73">
        <v>1</v>
      </c>
      <c r="P210" s="17" t="s">
        <v>37</v>
      </c>
      <c r="Q210" t="str">
        <f>LEFT(B210,3)</f>
        <v>COS</v>
      </c>
    </row>
    <row r="211" spans="1:17">
      <c r="A211" s="17" t="s">
        <v>2682</v>
      </c>
      <c r="B211" s="17" t="s">
        <v>462</v>
      </c>
      <c r="C211" s="13" t="s">
        <v>463</v>
      </c>
      <c r="D211" s="13" t="s">
        <v>463</v>
      </c>
      <c r="E211" s="17" t="s">
        <v>93</v>
      </c>
      <c r="F211" s="17" t="s">
        <v>43</v>
      </c>
      <c r="G211" s="17" t="s">
        <v>50</v>
      </c>
      <c r="H211" s="7">
        <v>462370.97155999998</v>
      </c>
      <c r="I211" s="7">
        <v>218021.57626999999</v>
      </c>
      <c r="J211" s="80">
        <v>166.60504189602599</v>
      </c>
      <c r="K211" s="80">
        <v>-22.239318536189302</v>
      </c>
      <c r="L211" s="71">
        <v>280</v>
      </c>
      <c r="M211" s="73">
        <v>2</v>
      </c>
      <c r="N211" s="73">
        <v>1</v>
      </c>
      <c r="O211" s="73">
        <v>1</v>
      </c>
      <c r="P211" s="17" t="s">
        <v>37</v>
      </c>
      <c r="Q211" t="str">
        <f>LEFT(B211,3)</f>
        <v>COS</v>
      </c>
    </row>
    <row r="212" spans="1:17">
      <c r="A212" s="17" t="s">
        <v>2683</v>
      </c>
      <c r="B212" s="17" t="s">
        <v>466</v>
      </c>
      <c r="C212" s="13" t="s">
        <v>467</v>
      </c>
      <c r="D212" s="13" t="s">
        <v>469</v>
      </c>
      <c r="E212" s="17" t="s">
        <v>42</v>
      </c>
      <c r="F212" s="17" t="s">
        <v>43</v>
      </c>
      <c r="G212" s="17" t="s">
        <v>50</v>
      </c>
      <c r="H212" s="7">
        <v>382442</v>
      </c>
      <c r="I212" s="7">
        <v>283251</v>
      </c>
      <c r="J212" s="80">
        <v>165.83036100000001</v>
      </c>
      <c r="K212" s="80">
        <v>-21.651197</v>
      </c>
      <c r="L212" s="71">
        <v>70</v>
      </c>
      <c r="M212" s="71">
        <v>1</v>
      </c>
      <c r="N212" s="71">
        <v>1</v>
      </c>
      <c r="O212" s="73">
        <v>0</v>
      </c>
      <c r="P212" s="17" t="s">
        <v>47</v>
      </c>
      <c r="Q212" t="str">
        <f>LEFT(B212,3)</f>
        <v>COU</v>
      </c>
    </row>
    <row r="213" spans="1:17">
      <c r="A213" s="17" t="s">
        <v>2684</v>
      </c>
      <c r="B213" s="17" t="s">
        <v>466</v>
      </c>
      <c r="C213" s="13" t="s">
        <v>467</v>
      </c>
      <c r="D213" s="13" t="s">
        <v>469</v>
      </c>
      <c r="E213" s="17" t="s">
        <v>42</v>
      </c>
      <c r="F213" s="17" t="s">
        <v>43</v>
      </c>
      <c r="G213" s="17" t="s">
        <v>50</v>
      </c>
      <c r="H213" s="7">
        <v>382442</v>
      </c>
      <c r="I213" s="7">
        <v>283251</v>
      </c>
      <c r="J213" s="80">
        <v>165.83036100000001</v>
      </c>
      <c r="K213" s="80">
        <v>-21.651197</v>
      </c>
      <c r="L213" s="71">
        <v>190</v>
      </c>
      <c r="M213" s="71">
        <v>1</v>
      </c>
      <c r="N213" s="71">
        <v>1</v>
      </c>
      <c r="O213" s="73">
        <v>0</v>
      </c>
      <c r="P213" s="17" t="s">
        <v>47</v>
      </c>
      <c r="Q213" t="str">
        <f>LEFT(B213,3)</f>
        <v>COU</v>
      </c>
    </row>
    <row r="214" spans="1:17">
      <c r="A214" s="17" t="s">
        <v>2685</v>
      </c>
      <c r="B214" s="17" t="s">
        <v>466</v>
      </c>
      <c r="C214" s="13" t="s">
        <v>467</v>
      </c>
      <c r="D214" s="13" t="s">
        <v>469</v>
      </c>
      <c r="E214" s="17" t="s">
        <v>42</v>
      </c>
      <c r="F214" s="17" t="s">
        <v>43</v>
      </c>
      <c r="G214" s="17" t="s">
        <v>50</v>
      </c>
      <c r="H214" s="7">
        <v>382442</v>
      </c>
      <c r="I214" s="7">
        <v>283251</v>
      </c>
      <c r="J214" s="80">
        <v>165.83036100000001</v>
      </c>
      <c r="K214" s="80">
        <v>-21.651197</v>
      </c>
      <c r="L214" s="71">
        <v>320</v>
      </c>
      <c r="M214" s="71">
        <v>1</v>
      </c>
      <c r="N214" s="71">
        <v>1</v>
      </c>
      <c r="O214" s="73">
        <v>0</v>
      </c>
      <c r="P214" s="17" t="s">
        <v>47</v>
      </c>
      <c r="Q214" t="str">
        <f>LEFT(B214,3)</f>
        <v>COU</v>
      </c>
    </row>
    <row r="215" spans="1:17">
      <c r="A215" s="17" t="s">
        <v>2686</v>
      </c>
      <c r="B215" s="17" t="s">
        <v>472</v>
      </c>
      <c r="C215" s="13" t="s">
        <v>2687</v>
      </c>
      <c r="D215" s="13" t="s">
        <v>2687</v>
      </c>
      <c r="E215" s="17" t="s">
        <v>249</v>
      </c>
      <c r="F215" s="17" t="s">
        <v>68</v>
      </c>
      <c r="G215" s="17" t="s">
        <v>68</v>
      </c>
      <c r="H215" s="7">
        <v>265122.99294999999</v>
      </c>
      <c r="I215" s="7">
        <v>373633.93502999999</v>
      </c>
      <c r="J215" s="80">
        <v>164.70413653596299</v>
      </c>
      <c r="K215" s="80">
        <v>-20.8298437936723</v>
      </c>
      <c r="L215" s="71">
        <v>5</v>
      </c>
      <c r="M215" s="71">
        <v>1</v>
      </c>
      <c r="N215" s="71">
        <v>1</v>
      </c>
      <c r="O215" s="73">
        <v>1</v>
      </c>
      <c r="P215" s="17" t="s">
        <v>47</v>
      </c>
      <c r="Q215" t="str">
        <f>LEFT(B215,3)</f>
        <v>CPN</v>
      </c>
    </row>
    <row r="216" spans="1:17">
      <c r="A216" s="17" t="s">
        <v>2688</v>
      </c>
      <c r="B216" s="17" t="s">
        <v>472</v>
      </c>
      <c r="C216" s="13" t="s">
        <v>2687</v>
      </c>
      <c r="D216" s="13" t="s">
        <v>2687</v>
      </c>
      <c r="E216" s="17" t="s">
        <v>249</v>
      </c>
      <c r="F216" s="17" t="s">
        <v>68</v>
      </c>
      <c r="G216" s="17" t="s">
        <v>68</v>
      </c>
      <c r="H216" s="7">
        <v>265122.99294999999</v>
      </c>
      <c r="I216" s="7">
        <v>373633.93502999999</v>
      </c>
      <c r="J216" s="80">
        <v>164.70413653596299</v>
      </c>
      <c r="K216" s="80">
        <v>-20.8298437936723</v>
      </c>
      <c r="L216" s="71">
        <v>190</v>
      </c>
      <c r="M216" s="71">
        <v>1</v>
      </c>
      <c r="N216" s="71">
        <v>1</v>
      </c>
      <c r="O216" s="73">
        <v>1</v>
      </c>
      <c r="P216" s="17" t="s">
        <v>47</v>
      </c>
      <c r="Q216" t="str">
        <f>LEFT(B216,3)</f>
        <v>CPN</v>
      </c>
    </row>
    <row r="217" spans="1:17">
      <c r="A217" s="17" t="s">
        <v>2689</v>
      </c>
      <c r="B217" s="17" t="s">
        <v>479</v>
      </c>
      <c r="C217" s="13" t="s">
        <v>480</v>
      </c>
      <c r="D217" s="13" t="s">
        <v>480</v>
      </c>
      <c r="E217" s="17" t="s">
        <v>29</v>
      </c>
      <c r="F217" s="17" t="s">
        <v>43</v>
      </c>
      <c r="G217" s="17" t="s">
        <v>30</v>
      </c>
      <c r="H217" s="7">
        <v>444079.80855999998</v>
      </c>
      <c r="I217" s="7">
        <v>214998.83939000001</v>
      </c>
      <c r="J217" s="80">
        <v>166.427687826897</v>
      </c>
      <c r="K217" s="80">
        <v>-22.2671642653685</v>
      </c>
      <c r="L217" s="71">
        <v>70</v>
      </c>
      <c r="M217" s="71">
        <v>2</v>
      </c>
      <c r="N217" s="71">
        <v>2</v>
      </c>
      <c r="O217" s="73">
        <v>1</v>
      </c>
      <c r="P217" s="17" t="s">
        <v>37</v>
      </c>
      <c r="Q217" t="str">
        <f>LEFT(B217,3)</f>
        <v>CPT</v>
      </c>
    </row>
    <row r="218" spans="1:17">
      <c r="A218" s="17" t="s">
        <v>2690</v>
      </c>
      <c r="B218" s="17" t="s">
        <v>479</v>
      </c>
      <c r="C218" s="13" t="s">
        <v>480</v>
      </c>
      <c r="D218" s="13" t="s">
        <v>480</v>
      </c>
      <c r="E218" s="17" t="s">
        <v>29</v>
      </c>
      <c r="F218" s="17" t="s">
        <v>43</v>
      </c>
      <c r="G218" s="17" t="s">
        <v>30</v>
      </c>
      <c r="H218" s="7">
        <v>444079.80855999998</v>
      </c>
      <c r="I218" s="7">
        <v>214998.83939000001</v>
      </c>
      <c r="J218" s="80">
        <v>166.427687826897</v>
      </c>
      <c r="K218" s="80">
        <v>-22.2671642653685</v>
      </c>
      <c r="L218" s="71">
        <v>190</v>
      </c>
      <c r="M218" s="71">
        <v>2</v>
      </c>
      <c r="N218" s="71">
        <v>2</v>
      </c>
      <c r="O218" s="73">
        <v>1</v>
      </c>
      <c r="P218" s="17" t="s">
        <v>37</v>
      </c>
      <c r="Q218" t="str">
        <f>LEFT(B218,3)</f>
        <v>CPT</v>
      </c>
    </row>
    <row r="219" spans="1:17">
      <c r="A219" s="17" t="s">
        <v>2691</v>
      </c>
      <c r="B219" s="17" t="s">
        <v>479</v>
      </c>
      <c r="C219" s="13" t="s">
        <v>480</v>
      </c>
      <c r="D219" s="13" t="s">
        <v>480</v>
      </c>
      <c r="E219" s="17" t="s">
        <v>29</v>
      </c>
      <c r="F219" s="17" t="s">
        <v>43</v>
      </c>
      <c r="G219" s="17" t="s">
        <v>30</v>
      </c>
      <c r="H219" s="7">
        <v>444079.80855999998</v>
      </c>
      <c r="I219" s="7">
        <v>214998.83939000001</v>
      </c>
      <c r="J219" s="80">
        <v>166.427687826897</v>
      </c>
      <c r="K219" s="80">
        <v>-22.2671642653685</v>
      </c>
      <c r="L219" s="71">
        <v>270</v>
      </c>
      <c r="M219" s="71">
        <v>2</v>
      </c>
      <c r="N219" s="71">
        <v>2</v>
      </c>
      <c r="O219" s="73">
        <v>1</v>
      </c>
      <c r="P219" s="17" t="s">
        <v>37</v>
      </c>
      <c r="Q219" t="str">
        <f>LEFT(B219,3)</f>
        <v>CPT</v>
      </c>
    </row>
    <row r="220" spans="1:17">
      <c r="A220" s="17" t="s">
        <v>2692</v>
      </c>
      <c r="B220" s="17" t="s">
        <v>483</v>
      </c>
      <c r="C220" s="13" t="s">
        <v>2693</v>
      </c>
      <c r="D220" s="13" t="s">
        <v>486</v>
      </c>
      <c r="E220" s="17" t="s">
        <v>191</v>
      </c>
      <c r="F220" s="17" t="s">
        <v>43</v>
      </c>
      <c r="G220" s="17" t="s">
        <v>43</v>
      </c>
      <c r="H220" s="7">
        <v>342637.13624000002</v>
      </c>
      <c r="I220" s="7">
        <v>309654.88867000001</v>
      </c>
      <c r="J220" s="80">
        <v>165.446685000141</v>
      </c>
      <c r="K220" s="80">
        <v>-21.411874319397299</v>
      </c>
      <c r="L220" s="71">
        <v>80</v>
      </c>
      <c r="M220" s="71">
        <v>1</v>
      </c>
      <c r="N220" s="71">
        <v>1</v>
      </c>
      <c r="O220" s="73">
        <v>1</v>
      </c>
      <c r="P220" s="17" t="s">
        <v>47</v>
      </c>
      <c r="Q220" t="str">
        <f>LEFT(B220,3)</f>
        <v>CRT</v>
      </c>
    </row>
    <row r="221" spans="1:17">
      <c r="A221" s="17" t="s">
        <v>2694</v>
      </c>
      <c r="B221" s="17" t="s">
        <v>483</v>
      </c>
      <c r="C221" s="13" t="s">
        <v>2693</v>
      </c>
      <c r="D221" s="13" t="s">
        <v>486</v>
      </c>
      <c r="E221" s="17" t="s">
        <v>191</v>
      </c>
      <c r="F221" s="17" t="s">
        <v>43</v>
      </c>
      <c r="G221" s="17" t="s">
        <v>43</v>
      </c>
      <c r="H221" s="7">
        <v>342637.13624000002</v>
      </c>
      <c r="I221" s="7">
        <v>309654.88867000001</v>
      </c>
      <c r="J221" s="80">
        <v>165.446685000141</v>
      </c>
      <c r="K221" s="80">
        <v>-21.411874319397299</v>
      </c>
      <c r="L221" s="71">
        <v>240</v>
      </c>
      <c r="M221" s="71">
        <v>1</v>
      </c>
      <c r="N221" s="71">
        <v>1</v>
      </c>
      <c r="O221" s="73">
        <v>1</v>
      </c>
      <c r="P221" s="17" t="s">
        <v>47</v>
      </c>
      <c r="Q221" t="str">
        <f>LEFT(B221,3)</f>
        <v>CRT</v>
      </c>
    </row>
    <row r="222" spans="1:17">
      <c r="A222" s="17" t="s">
        <v>2695</v>
      </c>
      <c r="B222" s="17" t="s">
        <v>489</v>
      </c>
      <c r="C222" s="17" t="s">
        <v>490</v>
      </c>
      <c r="D222" s="17" t="s">
        <v>491</v>
      </c>
      <c r="E222" s="17" t="s">
        <v>29</v>
      </c>
      <c r="F222" s="17" t="s">
        <v>43</v>
      </c>
      <c r="G222" s="17" t="s">
        <v>30</v>
      </c>
      <c r="H222" s="22">
        <v>445216</v>
      </c>
      <c r="I222" s="22">
        <v>211248</v>
      </c>
      <c r="J222" s="80">
        <v>166.43880999999999</v>
      </c>
      <c r="K222" s="83">
        <v>-22.301010000000002</v>
      </c>
      <c r="L222" s="72">
        <v>20</v>
      </c>
      <c r="M222" s="72">
        <v>3</v>
      </c>
      <c r="N222" s="72">
        <v>3</v>
      </c>
      <c r="O222" s="73">
        <v>0</v>
      </c>
      <c r="P222" s="17" t="s">
        <v>37</v>
      </c>
      <c r="Q222" t="str">
        <f>LEFT(B222,3)</f>
        <v>CSO</v>
      </c>
    </row>
    <row r="223" spans="1:17">
      <c r="A223" s="17" t="s">
        <v>2696</v>
      </c>
      <c r="B223" s="17" t="s">
        <v>489</v>
      </c>
      <c r="C223" s="17" t="s">
        <v>490</v>
      </c>
      <c r="D223" s="17" t="s">
        <v>491</v>
      </c>
      <c r="E223" s="17" t="s">
        <v>29</v>
      </c>
      <c r="F223" s="17" t="s">
        <v>43</v>
      </c>
      <c r="G223" s="17" t="s">
        <v>30</v>
      </c>
      <c r="H223" s="22">
        <v>445216</v>
      </c>
      <c r="I223" s="22">
        <v>211248</v>
      </c>
      <c r="J223" s="80">
        <v>166.43880999999999</v>
      </c>
      <c r="K223" s="83">
        <v>-22.301010000000002</v>
      </c>
      <c r="L223" s="72">
        <v>100</v>
      </c>
      <c r="M223" s="72">
        <v>3</v>
      </c>
      <c r="N223" s="72">
        <v>3</v>
      </c>
      <c r="O223" s="73">
        <v>0</v>
      </c>
      <c r="P223" s="17" t="s">
        <v>37</v>
      </c>
      <c r="Q223" t="str">
        <f>LEFT(B223,3)</f>
        <v>CSO</v>
      </c>
    </row>
    <row r="224" spans="1:17">
      <c r="A224" s="17" t="s">
        <v>2697</v>
      </c>
      <c r="B224" s="17" t="s">
        <v>489</v>
      </c>
      <c r="C224" s="17" t="s">
        <v>490</v>
      </c>
      <c r="D224" s="17" t="s">
        <v>491</v>
      </c>
      <c r="E224" s="17" t="s">
        <v>29</v>
      </c>
      <c r="F224" s="17" t="s">
        <v>43</v>
      </c>
      <c r="G224" s="17" t="s">
        <v>30</v>
      </c>
      <c r="H224" s="22">
        <v>445216</v>
      </c>
      <c r="I224" s="22">
        <v>211248</v>
      </c>
      <c r="J224" s="80">
        <v>166.43880999999999</v>
      </c>
      <c r="K224" s="83">
        <v>-22.301010000000002</v>
      </c>
      <c r="L224" s="72">
        <v>230</v>
      </c>
      <c r="M224" s="72">
        <v>3</v>
      </c>
      <c r="N224" s="72">
        <v>3</v>
      </c>
      <c r="O224" s="73">
        <v>0</v>
      </c>
      <c r="P224" s="17" t="s">
        <v>37</v>
      </c>
      <c r="Q224" t="str">
        <f>LEFT(B224,3)</f>
        <v>CSO</v>
      </c>
    </row>
    <row r="225" spans="1:17">
      <c r="A225" s="13" t="s">
        <v>2698</v>
      </c>
      <c r="B225" s="13" t="s">
        <v>493</v>
      </c>
      <c r="C225" s="13" t="s">
        <v>494</v>
      </c>
      <c r="D225" s="13" t="s">
        <v>496</v>
      </c>
      <c r="E225" s="17" t="s">
        <v>29</v>
      </c>
      <c r="F225" s="13" t="s">
        <v>43</v>
      </c>
      <c r="G225" s="17" t="s">
        <v>30</v>
      </c>
      <c r="H225" s="19">
        <v>449627</v>
      </c>
      <c r="I225" s="19">
        <v>219316</v>
      </c>
      <c r="J225" s="80">
        <v>166.48137849819901</v>
      </c>
      <c r="K225" s="80">
        <v>-22.228032528430699</v>
      </c>
      <c r="L225" s="71">
        <v>0</v>
      </c>
      <c r="M225" s="71">
        <v>1</v>
      </c>
      <c r="N225" s="71">
        <v>1</v>
      </c>
      <c r="O225" s="73">
        <v>1</v>
      </c>
      <c r="P225" s="17" t="s">
        <v>37</v>
      </c>
      <c r="Q225" t="str">
        <f>LEFT(B225,3)</f>
        <v>CTA</v>
      </c>
    </row>
    <row r="226" spans="1:17">
      <c r="A226" s="17" t="s">
        <v>2699</v>
      </c>
      <c r="B226" s="17" t="s">
        <v>500</v>
      </c>
      <c r="C226" s="13" t="s">
        <v>501</v>
      </c>
      <c r="D226" s="13" t="s">
        <v>502</v>
      </c>
      <c r="E226" s="17" t="s">
        <v>351</v>
      </c>
      <c r="F226" s="17" t="s">
        <v>129</v>
      </c>
      <c r="G226" s="17" t="s">
        <v>129</v>
      </c>
      <c r="H226" s="7">
        <v>617054</v>
      </c>
      <c r="I226" s="7">
        <v>293263</v>
      </c>
      <c r="J226" s="80">
        <v>168.095674</v>
      </c>
      <c r="K226" s="80">
        <v>-21.547709999999999</v>
      </c>
      <c r="L226" s="71">
        <v>0</v>
      </c>
      <c r="M226" s="73">
        <v>1</v>
      </c>
      <c r="N226" s="73">
        <v>1</v>
      </c>
      <c r="O226" s="73">
        <v>0</v>
      </c>
      <c r="P226" s="17" t="s">
        <v>47</v>
      </c>
      <c r="Q226" t="str">
        <f>LEFT(B226,3)</f>
        <v>CUA</v>
      </c>
    </row>
    <row r="227" spans="1:17">
      <c r="A227" s="17" t="s">
        <v>2700</v>
      </c>
      <c r="B227" s="17" t="s">
        <v>507</v>
      </c>
      <c r="C227" s="13" t="s">
        <v>508</v>
      </c>
      <c r="D227" s="13" t="s">
        <v>508</v>
      </c>
      <c r="E227" s="17" t="s">
        <v>224</v>
      </c>
      <c r="F227" s="17" t="s">
        <v>68</v>
      </c>
      <c r="G227" s="17" t="s">
        <v>68</v>
      </c>
      <c r="H227" s="7">
        <v>251369</v>
      </c>
      <c r="I227" s="7">
        <v>404887</v>
      </c>
      <c r="J227" s="80">
        <v>164.57473621201299</v>
      </c>
      <c r="K227" s="80">
        <v>-20.5464835805383</v>
      </c>
      <c r="L227" s="71">
        <v>96</v>
      </c>
      <c r="M227" s="71">
        <v>1</v>
      </c>
      <c r="N227" s="71">
        <v>1</v>
      </c>
      <c r="O227" s="73">
        <v>1</v>
      </c>
      <c r="P227" s="17" t="s">
        <v>47</v>
      </c>
      <c r="Q227" t="str">
        <f>LEFT(B227,3)</f>
        <v>CWA</v>
      </c>
    </row>
    <row r="228" spans="1:17">
      <c r="A228" s="17" t="s">
        <v>2701</v>
      </c>
      <c r="B228" s="17" t="s">
        <v>507</v>
      </c>
      <c r="C228" s="13" t="s">
        <v>508</v>
      </c>
      <c r="D228" s="13" t="s">
        <v>508</v>
      </c>
      <c r="E228" s="17" t="s">
        <v>224</v>
      </c>
      <c r="F228" s="17" t="s">
        <v>68</v>
      </c>
      <c r="G228" s="17" t="s">
        <v>68</v>
      </c>
      <c r="H228" s="7">
        <v>251369</v>
      </c>
      <c r="I228" s="7">
        <v>404887</v>
      </c>
      <c r="J228" s="80">
        <v>164.57473621201299</v>
      </c>
      <c r="K228" s="80">
        <v>-20.5464835805383</v>
      </c>
      <c r="L228" s="71">
        <v>318</v>
      </c>
      <c r="M228" s="71">
        <v>1</v>
      </c>
      <c r="N228" s="71">
        <v>1</v>
      </c>
      <c r="O228" s="73">
        <v>1</v>
      </c>
      <c r="P228" s="17" t="s">
        <v>47</v>
      </c>
      <c r="Q228" t="str">
        <f>LEFT(B228,3)</f>
        <v>CWA</v>
      </c>
    </row>
    <row r="229" spans="1:17">
      <c r="A229" s="17" t="s">
        <v>2702</v>
      </c>
      <c r="B229" s="17" t="s">
        <v>512</v>
      </c>
      <c r="C229" s="17" t="s">
        <v>514</v>
      </c>
      <c r="D229" s="17" t="s">
        <v>514</v>
      </c>
      <c r="E229" s="17" t="s">
        <v>29</v>
      </c>
      <c r="F229" s="17" t="s">
        <v>43</v>
      </c>
      <c r="G229" s="17" t="s">
        <v>30</v>
      </c>
      <c r="H229" s="22">
        <v>447716</v>
      </c>
      <c r="I229" s="22">
        <v>213860</v>
      </c>
      <c r="J229" s="80">
        <v>166.46299878299999</v>
      </c>
      <c r="K229" s="83">
        <v>-22.277356746999999</v>
      </c>
      <c r="L229" s="72">
        <v>120</v>
      </c>
      <c r="M229" s="72">
        <v>2</v>
      </c>
      <c r="N229" s="73">
        <v>3</v>
      </c>
      <c r="O229" s="73">
        <v>0</v>
      </c>
      <c r="P229" s="17" t="s">
        <v>37</v>
      </c>
      <c r="Q229" t="str">
        <f>LEFT(B229,3)</f>
        <v>CYI</v>
      </c>
    </row>
    <row r="230" spans="1:17">
      <c r="A230" s="17" t="s">
        <v>2703</v>
      </c>
      <c r="B230" s="17" t="s">
        <v>512</v>
      </c>
      <c r="C230" s="17" t="s">
        <v>514</v>
      </c>
      <c r="D230" s="17" t="s">
        <v>514</v>
      </c>
      <c r="E230" s="17" t="s">
        <v>29</v>
      </c>
      <c r="F230" s="17" t="s">
        <v>43</v>
      </c>
      <c r="G230" s="17" t="s">
        <v>30</v>
      </c>
      <c r="H230" s="22">
        <v>447716</v>
      </c>
      <c r="I230" s="22">
        <v>213860</v>
      </c>
      <c r="J230" s="80">
        <v>166.46299878299999</v>
      </c>
      <c r="K230" s="83">
        <v>-22.277356746999999</v>
      </c>
      <c r="L230" s="72">
        <v>220</v>
      </c>
      <c r="M230" s="72">
        <v>2</v>
      </c>
      <c r="N230" s="73">
        <v>3</v>
      </c>
      <c r="O230" s="73">
        <v>0</v>
      </c>
      <c r="P230" s="17" t="s">
        <v>37</v>
      </c>
      <c r="Q230" t="str">
        <f>LEFT(B230,3)</f>
        <v>CYI</v>
      </c>
    </row>
    <row r="231" spans="1:17">
      <c r="A231" s="17" t="s">
        <v>2704</v>
      </c>
      <c r="B231" s="17" t="s">
        <v>512</v>
      </c>
      <c r="C231" s="17" t="s">
        <v>514</v>
      </c>
      <c r="D231" s="17" t="s">
        <v>514</v>
      </c>
      <c r="E231" s="17" t="s">
        <v>29</v>
      </c>
      <c r="F231" s="17" t="s">
        <v>43</v>
      </c>
      <c r="G231" s="17" t="s">
        <v>30</v>
      </c>
      <c r="H231" s="22">
        <v>447716</v>
      </c>
      <c r="I231" s="22">
        <v>213860</v>
      </c>
      <c r="J231" s="80">
        <v>166.46299878299999</v>
      </c>
      <c r="K231" s="83">
        <v>-22.277356746999999</v>
      </c>
      <c r="L231" s="72">
        <v>330</v>
      </c>
      <c r="M231" s="72">
        <v>2</v>
      </c>
      <c r="N231" s="73">
        <v>3</v>
      </c>
      <c r="O231" s="73">
        <v>0</v>
      </c>
      <c r="P231" s="17" t="s">
        <v>37</v>
      </c>
      <c r="Q231" t="str">
        <f>LEFT(B231,3)</f>
        <v>CYI</v>
      </c>
    </row>
    <row r="232" spans="1:17">
      <c r="A232" s="17" t="s">
        <v>2705</v>
      </c>
      <c r="B232" s="17" t="s">
        <v>516</v>
      </c>
      <c r="C232" s="6" t="s">
        <v>517</v>
      </c>
      <c r="D232" s="6" t="s">
        <v>517</v>
      </c>
      <c r="E232" s="17" t="s">
        <v>49</v>
      </c>
      <c r="F232" s="17" t="s">
        <v>43</v>
      </c>
      <c r="G232" s="17" t="s">
        <v>50</v>
      </c>
      <c r="H232" s="7">
        <v>444954</v>
      </c>
      <c r="I232" s="7">
        <v>224410</v>
      </c>
      <c r="J232" s="79">
        <v>166.435913</v>
      </c>
      <c r="K232" s="79">
        <v>-22.182153</v>
      </c>
      <c r="L232" s="71">
        <v>83</v>
      </c>
      <c r="M232" s="71">
        <v>1</v>
      </c>
      <c r="N232" s="71">
        <v>2</v>
      </c>
      <c r="O232" s="73">
        <v>0</v>
      </c>
      <c r="P232" s="17" t="s">
        <v>37</v>
      </c>
      <c r="Q232" t="str">
        <f>LEFT(B232,3)</f>
        <v>CZP</v>
      </c>
    </row>
    <row r="233" spans="1:17">
      <c r="A233" s="17" t="s">
        <v>2706</v>
      </c>
      <c r="B233" s="17" t="s">
        <v>516</v>
      </c>
      <c r="C233" s="6" t="s">
        <v>517</v>
      </c>
      <c r="D233" s="6" t="s">
        <v>517</v>
      </c>
      <c r="E233" s="17" t="s">
        <v>49</v>
      </c>
      <c r="F233" s="17" t="s">
        <v>43</v>
      </c>
      <c r="G233" s="17" t="s">
        <v>50</v>
      </c>
      <c r="H233" s="7">
        <v>444954</v>
      </c>
      <c r="I233" s="7">
        <v>224410</v>
      </c>
      <c r="J233" s="79">
        <v>166.435913</v>
      </c>
      <c r="K233" s="79">
        <v>-22.182153</v>
      </c>
      <c r="L233" s="71">
        <v>147</v>
      </c>
      <c r="M233" s="71">
        <v>1</v>
      </c>
      <c r="N233" s="71">
        <v>2</v>
      </c>
      <c r="O233" s="73">
        <v>0</v>
      </c>
      <c r="P233" s="17" t="s">
        <v>37</v>
      </c>
      <c r="Q233" t="str">
        <f>LEFT(B233,3)</f>
        <v>CZP</v>
      </c>
    </row>
    <row r="234" spans="1:17">
      <c r="A234" s="17" t="s">
        <v>2707</v>
      </c>
      <c r="B234" s="17" t="s">
        <v>516</v>
      </c>
      <c r="C234" s="6" t="s">
        <v>517</v>
      </c>
      <c r="D234" s="6" t="s">
        <v>517</v>
      </c>
      <c r="E234" s="17" t="s">
        <v>49</v>
      </c>
      <c r="F234" s="17" t="s">
        <v>43</v>
      </c>
      <c r="G234" s="17" t="s">
        <v>50</v>
      </c>
      <c r="H234" s="7">
        <v>444954</v>
      </c>
      <c r="I234" s="7">
        <v>224410</v>
      </c>
      <c r="J234" s="79">
        <v>166.435913</v>
      </c>
      <c r="K234" s="79">
        <v>-22.182153</v>
      </c>
      <c r="L234" s="71">
        <v>339</v>
      </c>
      <c r="M234" s="71">
        <v>1</v>
      </c>
      <c r="N234" s="71">
        <v>2</v>
      </c>
      <c r="O234" s="73">
        <v>0</v>
      </c>
      <c r="P234" s="17" t="s">
        <v>37</v>
      </c>
      <c r="Q234" t="str">
        <f>LEFT(B234,3)</f>
        <v>CZP</v>
      </c>
    </row>
    <row r="235" spans="1:17">
      <c r="A235" s="17" t="s">
        <v>2708</v>
      </c>
      <c r="B235" s="17" t="s">
        <v>519</v>
      </c>
      <c r="C235" s="13" t="s">
        <v>520</v>
      </c>
      <c r="D235" s="13" t="s">
        <v>120</v>
      </c>
      <c r="E235" s="17" t="s">
        <v>49</v>
      </c>
      <c r="F235" s="17" t="s">
        <v>43</v>
      </c>
      <c r="G235" s="17" t="s">
        <v>50</v>
      </c>
      <c r="H235" s="7">
        <v>446562</v>
      </c>
      <c r="I235" s="7">
        <v>221991</v>
      </c>
      <c r="J235" s="80">
        <v>166.451573</v>
      </c>
      <c r="K235" s="80">
        <v>-22.203956999999999</v>
      </c>
      <c r="L235" s="71">
        <v>0</v>
      </c>
      <c r="M235" s="71">
        <v>1</v>
      </c>
      <c r="N235" s="71">
        <v>1</v>
      </c>
      <c r="O235" s="73">
        <v>0</v>
      </c>
      <c r="P235" s="17" t="s">
        <v>37</v>
      </c>
      <c r="Q235" t="str">
        <f>LEFT(B235,3)</f>
        <v>DBM</v>
      </c>
    </row>
    <row r="236" spans="1:17">
      <c r="A236" s="17" t="s">
        <v>2709</v>
      </c>
      <c r="B236" s="17" t="s">
        <v>523</v>
      </c>
      <c r="C236" s="13" t="s">
        <v>524</v>
      </c>
      <c r="D236" s="13" t="s">
        <v>524</v>
      </c>
      <c r="E236" s="17" t="s">
        <v>29</v>
      </c>
      <c r="F236" s="17" t="s">
        <v>43</v>
      </c>
      <c r="G236" s="17" t="s">
        <v>30</v>
      </c>
      <c r="H236" s="7">
        <v>446021.95555000001</v>
      </c>
      <c r="I236" s="7">
        <v>216572.07446999999</v>
      </c>
      <c r="J236" s="80">
        <v>166.44648646297901</v>
      </c>
      <c r="K236" s="80">
        <v>-22.252909795133402</v>
      </c>
      <c r="L236" s="71">
        <v>237</v>
      </c>
      <c r="M236" s="71">
        <v>2</v>
      </c>
      <c r="N236" s="71">
        <v>2</v>
      </c>
      <c r="O236" s="73">
        <v>1</v>
      </c>
      <c r="P236" s="17" t="s">
        <v>37</v>
      </c>
      <c r="Q236" t="str">
        <f>LEFT(B236,3)</f>
        <v>DBO</v>
      </c>
    </row>
    <row r="237" spans="1:17">
      <c r="A237" s="17" t="s">
        <v>2710</v>
      </c>
      <c r="B237" s="17" t="s">
        <v>523</v>
      </c>
      <c r="C237" s="13" t="s">
        <v>524</v>
      </c>
      <c r="D237" s="13" t="s">
        <v>524</v>
      </c>
      <c r="E237" s="17" t="s">
        <v>29</v>
      </c>
      <c r="F237" s="17" t="s">
        <v>43</v>
      </c>
      <c r="G237" s="17" t="s">
        <v>30</v>
      </c>
      <c r="H237" s="7">
        <v>446021.95555000001</v>
      </c>
      <c r="I237" s="7">
        <v>216572.07446999999</v>
      </c>
      <c r="J237" s="80">
        <v>166.44648646297901</v>
      </c>
      <c r="K237" s="80">
        <v>-22.252909795133402</v>
      </c>
      <c r="L237" s="71">
        <v>330</v>
      </c>
      <c r="M237" s="71">
        <v>2</v>
      </c>
      <c r="N237" s="71">
        <v>2</v>
      </c>
      <c r="O237" s="73">
        <v>1</v>
      </c>
      <c r="P237" s="17" t="s">
        <v>37</v>
      </c>
      <c r="Q237" t="str">
        <f>LEFT(B237,3)</f>
        <v>DBO</v>
      </c>
    </row>
    <row r="238" spans="1:17">
      <c r="A238" s="17" t="s">
        <v>2711</v>
      </c>
      <c r="B238" s="17" t="s">
        <v>527</v>
      </c>
      <c r="C238" s="13" t="s">
        <v>528</v>
      </c>
      <c r="D238" s="13" t="s">
        <v>529</v>
      </c>
      <c r="E238" s="17" t="s">
        <v>29</v>
      </c>
      <c r="F238" s="17" t="s">
        <v>43</v>
      </c>
      <c r="G238" s="17" t="s">
        <v>30</v>
      </c>
      <c r="H238" s="7">
        <v>446173</v>
      </c>
      <c r="I238" s="7">
        <v>218431</v>
      </c>
      <c r="J238" s="80">
        <v>166.44789972091201</v>
      </c>
      <c r="K238" s="80">
        <v>-22.2361175650109</v>
      </c>
      <c r="L238" s="71">
        <v>240</v>
      </c>
      <c r="M238" s="71">
        <v>1</v>
      </c>
      <c r="N238" s="71">
        <v>4</v>
      </c>
      <c r="O238" s="73">
        <v>1</v>
      </c>
      <c r="P238" s="17" t="s">
        <v>37</v>
      </c>
      <c r="Q238" t="str">
        <f>LEFT(B238,3)</f>
        <v>DCE</v>
      </c>
    </row>
    <row r="239" spans="1:17">
      <c r="A239" s="17" t="s">
        <v>2712</v>
      </c>
      <c r="B239" s="17" t="s">
        <v>527</v>
      </c>
      <c r="C239" s="13" t="s">
        <v>528</v>
      </c>
      <c r="D239" s="13" t="s">
        <v>529</v>
      </c>
      <c r="E239" s="17" t="s">
        <v>29</v>
      </c>
      <c r="F239" s="17" t="s">
        <v>43</v>
      </c>
      <c r="G239" s="17" t="s">
        <v>30</v>
      </c>
      <c r="H239" s="7">
        <v>446173</v>
      </c>
      <c r="I239" s="7">
        <v>218431</v>
      </c>
      <c r="J239" s="80">
        <v>166.44789972091201</v>
      </c>
      <c r="K239" s="80">
        <v>-22.2361175650109</v>
      </c>
      <c r="L239" s="71">
        <v>344</v>
      </c>
      <c r="M239" s="71">
        <v>1</v>
      </c>
      <c r="N239" s="71">
        <v>4</v>
      </c>
      <c r="O239" s="73">
        <v>1</v>
      </c>
      <c r="P239" s="17" t="s">
        <v>37</v>
      </c>
      <c r="Q239" t="str">
        <f>LEFT(B239,3)</f>
        <v>DCE</v>
      </c>
    </row>
    <row r="240" spans="1:17">
      <c r="A240" s="17" t="s">
        <v>2713</v>
      </c>
      <c r="B240" s="17" t="s">
        <v>531</v>
      </c>
      <c r="C240" s="13" t="s">
        <v>534</v>
      </c>
      <c r="D240" s="13" t="s">
        <v>534</v>
      </c>
      <c r="E240" s="17" t="s">
        <v>331</v>
      </c>
      <c r="F240" s="17" t="s">
        <v>43</v>
      </c>
      <c r="G240" s="17" t="s">
        <v>43</v>
      </c>
      <c r="H240" s="7">
        <v>553700.30730999995</v>
      </c>
      <c r="I240" s="7">
        <v>178639.73553999999</v>
      </c>
      <c r="J240" s="80">
        <v>167.49461103785899</v>
      </c>
      <c r="K240" s="80">
        <v>-22.589404156368499</v>
      </c>
      <c r="L240" s="71">
        <v>75</v>
      </c>
      <c r="M240" s="71">
        <v>1</v>
      </c>
      <c r="N240" s="71">
        <v>1</v>
      </c>
      <c r="O240" s="73">
        <v>1</v>
      </c>
      <c r="P240" s="17" t="s">
        <v>47</v>
      </c>
      <c r="Q240" t="str">
        <f>LEFT(B240,3)</f>
        <v>DET</v>
      </c>
    </row>
    <row r="241" spans="1:17">
      <c r="A241" s="17" t="s">
        <v>2714</v>
      </c>
      <c r="B241" s="17" t="s">
        <v>531</v>
      </c>
      <c r="C241" s="13" t="s">
        <v>534</v>
      </c>
      <c r="D241" s="13" t="s">
        <v>534</v>
      </c>
      <c r="E241" s="17" t="s">
        <v>331</v>
      </c>
      <c r="F241" s="17" t="s">
        <v>43</v>
      </c>
      <c r="G241" s="17" t="s">
        <v>43</v>
      </c>
      <c r="H241" s="7">
        <v>553700.30730999995</v>
      </c>
      <c r="I241" s="7">
        <v>178639.73553999999</v>
      </c>
      <c r="J241" s="80">
        <v>167.49461103785899</v>
      </c>
      <c r="K241" s="80">
        <v>-22.589404156368499</v>
      </c>
      <c r="L241" s="71">
        <v>250</v>
      </c>
      <c r="M241" s="71">
        <v>1</v>
      </c>
      <c r="N241" s="71">
        <v>1</v>
      </c>
      <c r="O241" s="73">
        <v>0</v>
      </c>
      <c r="P241" s="17" t="s">
        <v>47</v>
      </c>
      <c r="Q241" t="str">
        <f>LEFT(B241,3)</f>
        <v>DET</v>
      </c>
    </row>
    <row r="242" spans="1:17">
      <c r="A242" s="17" t="s">
        <v>2715</v>
      </c>
      <c r="B242" s="17" t="s">
        <v>536</v>
      </c>
      <c r="C242" s="17" t="s">
        <v>537</v>
      </c>
      <c r="D242" s="17" t="s">
        <v>537</v>
      </c>
      <c r="E242" s="17" t="s">
        <v>29</v>
      </c>
      <c r="F242" s="17" t="s">
        <v>43</v>
      </c>
      <c r="G242" s="17" t="s">
        <v>30</v>
      </c>
      <c r="H242" s="19">
        <v>444437</v>
      </c>
      <c r="I242" s="19">
        <v>218806</v>
      </c>
      <c r="J242" s="80">
        <v>166.43105</v>
      </c>
      <c r="K242" s="80">
        <v>-22.232780000000002</v>
      </c>
      <c r="L242" s="71">
        <v>60</v>
      </c>
      <c r="M242" s="73">
        <v>1</v>
      </c>
      <c r="N242" s="73">
        <v>1</v>
      </c>
      <c r="O242" s="73">
        <v>0</v>
      </c>
      <c r="P242" s="17" t="s">
        <v>37</v>
      </c>
      <c r="Q242" t="str">
        <f>LEFT(B242,3)</f>
        <v>DKM</v>
      </c>
    </row>
    <row r="243" spans="1:17">
      <c r="A243" s="17" t="s">
        <v>2716</v>
      </c>
      <c r="B243" s="17" t="s">
        <v>540</v>
      </c>
      <c r="C243" s="13" t="s">
        <v>541</v>
      </c>
      <c r="D243" s="13" t="s">
        <v>542</v>
      </c>
      <c r="E243" s="17" t="s">
        <v>49</v>
      </c>
      <c r="F243" s="17" t="s">
        <v>43</v>
      </c>
      <c r="G243" s="17" t="s">
        <v>50</v>
      </c>
      <c r="H243" s="7">
        <v>448202</v>
      </c>
      <c r="I243" s="7">
        <v>221482</v>
      </c>
      <c r="J243" s="80">
        <v>166.46749334899999</v>
      </c>
      <c r="K243" s="80">
        <v>-22.208510620999999</v>
      </c>
      <c r="L243" s="71">
        <v>40</v>
      </c>
      <c r="M243" s="71">
        <v>2</v>
      </c>
      <c r="N243" s="71">
        <v>3</v>
      </c>
      <c r="O243" s="73">
        <v>0</v>
      </c>
      <c r="P243" s="17" t="s">
        <v>37</v>
      </c>
      <c r="Q243" t="str">
        <f>LEFT(B243,3)</f>
        <v>DMA</v>
      </c>
    </row>
    <row r="244" spans="1:17">
      <c r="A244" s="17" t="s">
        <v>2717</v>
      </c>
      <c r="B244" s="17" t="s">
        <v>540</v>
      </c>
      <c r="C244" s="13" t="s">
        <v>541</v>
      </c>
      <c r="D244" s="13" t="s">
        <v>542</v>
      </c>
      <c r="E244" s="17" t="s">
        <v>49</v>
      </c>
      <c r="F244" s="17" t="s">
        <v>43</v>
      </c>
      <c r="G244" s="17" t="s">
        <v>50</v>
      </c>
      <c r="H244" s="7">
        <v>448202</v>
      </c>
      <c r="I244" s="7">
        <v>221482</v>
      </c>
      <c r="J244" s="80">
        <v>166.46749334899999</v>
      </c>
      <c r="K244" s="80">
        <v>-22.208510620999999</v>
      </c>
      <c r="L244" s="71">
        <v>160</v>
      </c>
      <c r="M244" s="71">
        <v>2</v>
      </c>
      <c r="N244" s="71">
        <v>3</v>
      </c>
      <c r="O244" s="73">
        <v>0</v>
      </c>
      <c r="P244" s="17" t="s">
        <v>37</v>
      </c>
      <c r="Q244" t="str">
        <f>LEFT(B244,3)</f>
        <v>DMA</v>
      </c>
    </row>
    <row r="245" spans="1:17">
      <c r="A245" s="17" t="s">
        <v>2718</v>
      </c>
      <c r="B245" s="17" t="s">
        <v>540</v>
      </c>
      <c r="C245" s="13" t="s">
        <v>541</v>
      </c>
      <c r="D245" s="13" t="s">
        <v>542</v>
      </c>
      <c r="E245" s="17" t="s">
        <v>49</v>
      </c>
      <c r="F245" s="17" t="s">
        <v>43</v>
      </c>
      <c r="G245" s="17" t="s">
        <v>50</v>
      </c>
      <c r="H245" s="7">
        <v>448202</v>
      </c>
      <c r="I245" s="7">
        <v>221482</v>
      </c>
      <c r="J245" s="80">
        <v>166.46749334899999</v>
      </c>
      <c r="K245" s="80">
        <v>-22.208510620999999</v>
      </c>
      <c r="L245" s="71">
        <v>300</v>
      </c>
      <c r="M245" s="71">
        <v>2</v>
      </c>
      <c r="N245" s="71">
        <v>3</v>
      </c>
      <c r="O245" s="73">
        <v>0</v>
      </c>
      <c r="P245" s="17" t="s">
        <v>37</v>
      </c>
      <c r="Q245" t="str">
        <f>LEFT(B245,3)</f>
        <v>DMA</v>
      </c>
    </row>
    <row r="246" spans="1:17">
      <c r="A246" s="17" t="s">
        <v>2719</v>
      </c>
      <c r="B246" s="17" t="s">
        <v>544</v>
      </c>
      <c r="C246" s="13" t="s">
        <v>545</v>
      </c>
      <c r="D246" s="13" t="s">
        <v>90</v>
      </c>
      <c r="E246" s="17" t="s">
        <v>29</v>
      </c>
      <c r="F246" s="17" t="s">
        <v>43</v>
      </c>
      <c r="G246" s="17" t="s">
        <v>30</v>
      </c>
      <c r="H246" s="7">
        <v>442152</v>
      </c>
      <c r="I246" s="7">
        <v>218622</v>
      </c>
      <c r="J246" s="80">
        <v>166.40888899999999</v>
      </c>
      <c r="K246" s="80">
        <v>-22.234491999999999</v>
      </c>
      <c r="L246" s="71">
        <v>0</v>
      </c>
      <c r="M246" s="71">
        <v>1</v>
      </c>
      <c r="N246" s="71">
        <v>1</v>
      </c>
      <c r="O246" s="73">
        <v>0</v>
      </c>
      <c r="P246" s="17" t="s">
        <v>37</v>
      </c>
      <c r="Q246" t="str">
        <f>LEFT(B246,3)</f>
        <v>DNU</v>
      </c>
    </row>
    <row r="247" spans="1:17">
      <c r="A247" s="17" t="s">
        <v>2720</v>
      </c>
      <c r="B247" s="17" t="s">
        <v>548</v>
      </c>
      <c r="C247" s="13" t="s">
        <v>549</v>
      </c>
      <c r="D247" s="13" t="s">
        <v>549</v>
      </c>
      <c r="E247" s="17" t="s">
        <v>93</v>
      </c>
      <c r="F247" s="17" t="s">
        <v>43</v>
      </c>
      <c r="G247" s="17" t="s">
        <v>50</v>
      </c>
      <c r="H247" s="7">
        <v>459355.22431999998</v>
      </c>
      <c r="I247" s="7">
        <v>213694.93582000001</v>
      </c>
      <c r="J247" s="80">
        <v>166.57593952262999</v>
      </c>
      <c r="K247" s="80">
        <v>-22.278497540578499</v>
      </c>
      <c r="L247" s="71">
        <v>20</v>
      </c>
      <c r="M247" s="71">
        <v>2</v>
      </c>
      <c r="N247" s="71">
        <v>2</v>
      </c>
      <c r="O247" s="73">
        <v>1</v>
      </c>
      <c r="P247" s="17" t="s">
        <v>37</v>
      </c>
      <c r="Q247" t="str">
        <f>LEFT(B247,3)</f>
        <v>DOR</v>
      </c>
    </row>
    <row r="248" spans="1:17">
      <c r="A248" s="17" t="s">
        <v>2721</v>
      </c>
      <c r="B248" s="17" t="s">
        <v>548</v>
      </c>
      <c r="C248" s="13" t="s">
        <v>549</v>
      </c>
      <c r="D248" s="13" t="s">
        <v>549</v>
      </c>
      <c r="E248" s="17" t="s">
        <v>93</v>
      </c>
      <c r="F248" s="17" t="s">
        <v>43</v>
      </c>
      <c r="G248" s="17" t="s">
        <v>50</v>
      </c>
      <c r="H248" s="7">
        <v>459355.22431999998</v>
      </c>
      <c r="I248" s="7">
        <v>213694.93582000001</v>
      </c>
      <c r="J248" s="80">
        <v>166.57593952262999</v>
      </c>
      <c r="K248" s="80">
        <v>-22.278497540578499</v>
      </c>
      <c r="L248" s="71">
        <v>120</v>
      </c>
      <c r="M248" s="71">
        <v>2</v>
      </c>
      <c r="N248" s="71">
        <v>2</v>
      </c>
      <c r="O248" s="73">
        <v>1</v>
      </c>
      <c r="P248" s="17" t="s">
        <v>37</v>
      </c>
      <c r="Q248" t="str">
        <f>LEFT(B248,3)</f>
        <v>DOR</v>
      </c>
    </row>
    <row r="249" spans="1:17">
      <c r="A249" s="17" t="s">
        <v>2722</v>
      </c>
      <c r="B249" s="17" t="s">
        <v>548</v>
      </c>
      <c r="C249" s="13" t="s">
        <v>549</v>
      </c>
      <c r="D249" s="13" t="s">
        <v>549</v>
      </c>
      <c r="E249" s="17" t="s">
        <v>93</v>
      </c>
      <c r="F249" s="17" t="s">
        <v>43</v>
      </c>
      <c r="G249" s="17" t="s">
        <v>50</v>
      </c>
      <c r="H249" s="7">
        <v>459355.22431999998</v>
      </c>
      <c r="I249" s="7">
        <v>213694.93582000001</v>
      </c>
      <c r="J249" s="80">
        <v>166.57593952262999</v>
      </c>
      <c r="K249" s="80">
        <v>-22.278497540578499</v>
      </c>
      <c r="L249" s="71">
        <v>290</v>
      </c>
      <c r="M249" s="71">
        <v>2</v>
      </c>
      <c r="N249" s="71">
        <v>2</v>
      </c>
      <c r="O249" s="73">
        <v>1</v>
      </c>
      <c r="P249" s="17" t="s">
        <v>37</v>
      </c>
      <c r="Q249" t="str">
        <f>LEFT(B249,3)</f>
        <v>DOR</v>
      </c>
    </row>
    <row r="250" spans="1:17">
      <c r="A250" s="17" t="s">
        <v>2723</v>
      </c>
      <c r="B250" s="17" t="s">
        <v>552</v>
      </c>
      <c r="C250" s="13" t="s">
        <v>554</v>
      </c>
      <c r="D250" s="13" t="s">
        <v>554</v>
      </c>
      <c r="E250" s="17" t="s">
        <v>373</v>
      </c>
      <c r="F250" s="17" t="s">
        <v>129</v>
      </c>
      <c r="G250" s="17" t="s">
        <v>129</v>
      </c>
      <c r="H250" s="7">
        <v>530796.01679999998</v>
      </c>
      <c r="I250" s="7">
        <v>364903.81426000001</v>
      </c>
      <c r="J250" s="80">
        <v>167.25733058057199</v>
      </c>
      <c r="K250" s="80">
        <v>-20.9089965836821</v>
      </c>
      <c r="L250" s="71">
        <v>154</v>
      </c>
      <c r="M250" s="71">
        <v>1</v>
      </c>
      <c r="N250" s="71">
        <v>1</v>
      </c>
      <c r="O250" s="73">
        <v>1</v>
      </c>
      <c r="P250" s="17" t="s">
        <v>47</v>
      </c>
      <c r="Q250" t="str">
        <f>LEFT(B250,3)</f>
        <v>DRE</v>
      </c>
    </row>
    <row r="251" spans="1:17">
      <c r="A251" s="17" t="s">
        <v>2724</v>
      </c>
      <c r="B251" s="17" t="s">
        <v>557</v>
      </c>
      <c r="C251" s="13" t="s">
        <v>558</v>
      </c>
      <c r="D251" s="13" t="s">
        <v>559</v>
      </c>
      <c r="E251" s="17" t="s">
        <v>373</v>
      </c>
      <c r="F251" s="17" t="s">
        <v>129</v>
      </c>
      <c r="G251" s="17" t="s">
        <v>129</v>
      </c>
      <c r="H251" s="7">
        <v>513280.08671</v>
      </c>
      <c r="I251" s="7">
        <v>363060.93080999999</v>
      </c>
      <c r="J251" s="80">
        <v>167.08908008814601</v>
      </c>
      <c r="K251" s="80">
        <v>-20.926830583252102</v>
      </c>
      <c r="L251" s="71">
        <v>79</v>
      </c>
      <c r="M251" s="71">
        <v>1</v>
      </c>
      <c r="N251" s="71">
        <v>2</v>
      </c>
      <c r="O251" s="73">
        <v>1</v>
      </c>
      <c r="P251" s="17" t="s">
        <v>47</v>
      </c>
      <c r="Q251" t="str">
        <f>LEFT(B251,3)</f>
        <v>DRU</v>
      </c>
    </row>
    <row r="252" spans="1:17">
      <c r="A252" s="17" t="s">
        <v>2725</v>
      </c>
      <c r="B252" s="17" t="s">
        <v>557</v>
      </c>
      <c r="C252" s="13" t="s">
        <v>558</v>
      </c>
      <c r="D252" s="13" t="s">
        <v>559</v>
      </c>
      <c r="E252" s="17" t="s">
        <v>373</v>
      </c>
      <c r="F252" s="17" t="s">
        <v>129</v>
      </c>
      <c r="G252" s="17" t="s">
        <v>129</v>
      </c>
      <c r="H252" s="7">
        <v>513280.08671</v>
      </c>
      <c r="I252" s="7">
        <v>363060.93080999999</v>
      </c>
      <c r="J252" s="80">
        <v>167.08908008814601</v>
      </c>
      <c r="K252" s="80">
        <v>-20.926830583252102</v>
      </c>
      <c r="L252" s="71">
        <v>179</v>
      </c>
      <c r="M252" s="71">
        <v>1</v>
      </c>
      <c r="N252" s="71">
        <v>2</v>
      </c>
      <c r="O252" s="73">
        <v>1</v>
      </c>
      <c r="P252" s="17" t="s">
        <v>47</v>
      </c>
      <c r="Q252" t="str">
        <f>LEFT(B252,3)</f>
        <v>DRU</v>
      </c>
    </row>
    <row r="253" spans="1:17">
      <c r="A253" s="17" t="s">
        <v>2726</v>
      </c>
      <c r="B253" s="17" t="s">
        <v>557</v>
      </c>
      <c r="C253" s="13" t="s">
        <v>558</v>
      </c>
      <c r="D253" s="13" t="s">
        <v>559</v>
      </c>
      <c r="E253" s="17" t="s">
        <v>373</v>
      </c>
      <c r="F253" s="17" t="s">
        <v>129</v>
      </c>
      <c r="G253" s="17" t="s">
        <v>129</v>
      </c>
      <c r="H253" s="7">
        <v>513280.08671</v>
      </c>
      <c r="I253" s="7">
        <v>363060.93080999999</v>
      </c>
      <c r="J253" s="80">
        <v>167.08908008814601</v>
      </c>
      <c r="K253" s="80">
        <v>-20.926830583252102</v>
      </c>
      <c r="L253" s="71">
        <v>309</v>
      </c>
      <c r="M253" s="71">
        <v>1</v>
      </c>
      <c r="N253" s="71">
        <v>2</v>
      </c>
      <c r="O253" s="73">
        <v>1</v>
      </c>
      <c r="P253" s="17" t="s">
        <v>47</v>
      </c>
      <c r="Q253" t="str">
        <f>LEFT(B253,3)</f>
        <v>DRU</v>
      </c>
    </row>
    <row r="254" spans="1:17">
      <c r="A254" s="6" t="s">
        <v>2727</v>
      </c>
      <c r="B254" s="6" t="s">
        <v>561</v>
      </c>
      <c r="C254" s="13" t="s">
        <v>2728</v>
      </c>
      <c r="D254" s="13" t="s">
        <v>564</v>
      </c>
      <c r="E254" s="17" t="s">
        <v>562</v>
      </c>
      <c r="F254" s="17" t="s">
        <v>43</v>
      </c>
      <c r="G254" s="17" t="s">
        <v>43</v>
      </c>
      <c r="H254" s="7">
        <v>434126</v>
      </c>
      <c r="I254" s="7">
        <v>283473</v>
      </c>
      <c r="J254" s="80">
        <v>166.32970800000001</v>
      </c>
      <c r="K254" s="80">
        <v>-21.648952999999999</v>
      </c>
      <c r="L254" s="71">
        <v>35</v>
      </c>
      <c r="M254" s="71">
        <v>1</v>
      </c>
      <c r="N254" s="71">
        <v>1</v>
      </c>
      <c r="O254" s="73">
        <v>1</v>
      </c>
      <c r="P254" s="17" t="s">
        <v>47</v>
      </c>
      <c r="Q254" t="str">
        <f>LEFT(B254,3)</f>
        <v>DSR</v>
      </c>
    </row>
    <row r="255" spans="1:17">
      <c r="A255" s="6" t="s">
        <v>2729</v>
      </c>
      <c r="B255" s="6" t="s">
        <v>561</v>
      </c>
      <c r="C255" s="13" t="s">
        <v>2728</v>
      </c>
      <c r="D255" s="13" t="s">
        <v>564</v>
      </c>
      <c r="E255" s="17" t="s">
        <v>562</v>
      </c>
      <c r="F255" s="17" t="s">
        <v>43</v>
      </c>
      <c r="G255" s="17" t="s">
        <v>43</v>
      </c>
      <c r="H255" s="7">
        <v>434126</v>
      </c>
      <c r="I255" s="7">
        <v>283473</v>
      </c>
      <c r="J255" s="80">
        <v>166.32970800000001</v>
      </c>
      <c r="K255" s="80">
        <v>-21.648952999999999</v>
      </c>
      <c r="L255" s="71">
        <v>150</v>
      </c>
      <c r="M255" s="71">
        <v>1</v>
      </c>
      <c r="N255" s="71">
        <v>1</v>
      </c>
      <c r="O255" s="73">
        <v>0</v>
      </c>
      <c r="P255" s="17" t="s">
        <v>47</v>
      </c>
      <c r="Q255" t="str">
        <f>LEFT(B255,3)</f>
        <v>DSR</v>
      </c>
    </row>
    <row r="256" spans="1:17">
      <c r="A256" s="6" t="s">
        <v>2730</v>
      </c>
      <c r="B256" s="6" t="s">
        <v>561</v>
      </c>
      <c r="C256" s="13" t="s">
        <v>2728</v>
      </c>
      <c r="D256" s="13" t="s">
        <v>564</v>
      </c>
      <c r="E256" s="17" t="s">
        <v>562</v>
      </c>
      <c r="F256" s="17" t="s">
        <v>43</v>
      </c>
      <c r="G256" s="17" t="s">
        <v>43</v>
      </c>
      <c r="H256" s="7">
        <v>434126</v>
      </c>
      <c r="I256" s="7">
        <v>283473</v>
      </c>
      <c r="J256" s="80">
        <v>166.32970800000001</v>
      </c>
      <c r="K256" s="80">
        <v>-21.648952999999999</v>
      </c>
      <c r="L256" s="71">
        <v>280</v>
      </c>
      <c r="M256" s="71">
        <v>1</v>
      </c>
      <c r="N256" s="71">
        <v>1</v>
      </c>
      <c r="O256" s="73">
        <v>1</v>
      </c>
      <c r="P256" s="17" t="s">
        <v>47</v>
      </c>
      <c r="Q256" t="str">
        <f>LEFT(B256,3)</f>
        <v>DSR</v>
      </c>
    </row>
    <row r="257" spans="1:17">
      <c r="A257" s="17" t="s">
        <v>2731</v>
      </c>
      <c r="B257" s="17" t="s">
        <v>566</v>
      </c>
      <c r="C257" s="13" t="s">
        <v>568</v>
      </c>
      <c r="D257" s="13" t="s">
        <v>568</v>
      </c>
      <c r="E257" s="17" t="s">
        <v>29</v>
      </c>
      <c r="F257" s="17" t="s">
        <v>43</v>
      </c>
      <c r="G257" s="17" t="s">
        <v>30</v>
      </c>
      <c r="H257" s="7">
        <v>449023.59587999998</v>
      </c>
      <c r="I257" s="7">
        <v>213693.86421</v>
      </c>
      <c r="J257" s="80">
        <v>166.475695417575</v>
      </c>
      <c r="K257" s="80">
        <v>-22.278820383375699</v>
      </c>
      <c r="L257" s="71">
        <v>38</v>
      </c>
      <c r="M257" s="71">
        <v>3</v>
      </c>
      <c r="N257" s="71">
        <v>3</v>
      </c>
      <c r="O257" s="73">
        <v>1</v>
      </c>
      <c r="P257" s="17" t="s">
        <v>37</v>
      </c>
      <c r="Q257" t="str">
        <f>LEFT(B257,3)</f>
        <v>DTS</v>
      </c>
    </row>
    <row r="258" spans="1:17">
      <c r="A258" s="17" t="s">
        <v>2732</v>
      </c>
      <c r="B258" s="17" t="s">
        <v>566</v>
      </c>
      <c r="C258" s="13" t="s">
        <v>568</v>
      </c>
      <c r="D258" s="13" t="s">
        <v>568</v>
      </c>
      <c r="E258" s="17" t="s">
        <v>29</v>
      </c>
      <c r="F258" s="17" t="s">
        <v>43</v>
      </c>
      <c r="G258" s="17" t="s">
        <v>30</v>
      </c>
      <c r="H258" s="7">
        <v>449023.59587999998</v>
      </c>
      <c r="I258" s="7">
        <v>213693.86421</v>
      </c>
      <c r="J258" s="80">
        <v>166.475695417575</v>
      </c>
      <c r="K258" s="80">
        <v>-22.278820383375699</v>
      </c>
      <c r="L258" s="71">
        <v>140</v>
      </c>
      <c r="M258" s="71">
        <v>3</v>
      </c>
      <c r="N258" s="71">
        <v>3</v>
      </c>
      <c r="O258" s="73">
        <v>0</v>
      </c>
      <c r="P258" s="17" t="s">
        <v>37</v>
      </c>
      <c r="Q258" t="str">
        <f>LEFT(B258,3)</f>
        <v>DTS</v>
      </c>
    </row>
    <row r="259" spans="1:17">
      <c r="A259" s="17" t="s">
        <v>2733</v>
      </c>
      <c r="B259" s="17" t="s">
        <v>566</v>
      </c>
      <c r="C259" s="13" t="s">
        <v>568</v>
      </c>
      <c r="D259" s="13" t="s">
        <v>568</v>
      </c>
      <c r="E259" s="17" t="s">
        <v>29</v>
      </c>
      <c r="F259" s="17" t="s">
        <v>43</v>
      </c>
      <c r="G259" s="17" t="s">
        <v>30</v>
      </c>
      <c r="H259" s="7">
        <v>449023.59587999998</v>
      </c>
      <c r="I259" s="7">
        <v>213693.86421</v>
      </c>
      <c r="J259" s="80">
        <v>166.475695417575</v>
      </c>
      <c r="K259" s="80">
        <v>-22.278820383375699</v>
      </c>
      <c r="L259" s="71">
        <v>242</v>
      </c>
      <c r="M259" s="71">
        <v>3</v>
      </c>
      <c r="N259" s="71">
        <v>3</v>
      </c>
      <c r="O259" s="73">
        <v>1</v>
      </c>
      <c r="P259" s="17" t="s">
        <v>37</v>
      </c>
      <c r="Q259" t="str">
        <f>LEFT(B259,3)</f>
        <v>DTS</v>
      </c>
    </row>
    <row r="260" spans="1:17">
      <c r="A260" s="17" t="s">
        <v>2734</v>
      </c>
      <c r="B260" s="17" t="s">
        <v>566</v>
      </c>
      <c r="C260" s="13" t="s">
        <v>568</v>
      </c>
      <c r="D260" s="13" t="s">
        <v>568</v>
      </c>
      <c r="E260" s="17" t="s">
        <v>29</v>
      </c>
      <c r="F260" s="17" t="s">
        <v>43</v>
      </c>
      <c r="G260" s="17" t="s">
        <v>30</v>
      </c>
      <c r="H260" s="7">
        <v>449023.59587999998</v>
      </c>
      <c r="I260" s="7">
        <v>213693.86421</v>
      </c>
      <c r="J260" s="80">
        <v>166.475695417575</v>
      </c>
      <c r="K260" s="80">
        <v>-22.278820383375699</v>
      </c>
      <c r="L260" s="71">
        <v>300</v>
      </c>
      <c r="M260" s="71">
        <v>3</v>
      </c>
      <c r="N260" s="71">
        <v>3</v>
      </c>
      <c r="O260" s="73">
        <v>1</v>
      </c>
      <c r="P260" s="17" t="s">
        <v>37</v>
      </c>
      <c r="Q260" t="str">
        <f>LEFT(B260,3)</f>
        <v>DTS</v>
      </c>
    </row>
    <row r="261" spans="1:17">
      <c r="A261" s="17" t="s">
        <v>2735</v>
      </c>
      <c r="B261" s="17" t="s">
        <v>570</v>
      </c>
      <c r="C261" s="13" t="s">
        <v>571</v>
      </c>
      <c r="D261" s="13" t="s">
        <v>571</v>
      </c>
      <c r="E261" s="17" t="s">
        <v>29</v>
      </c>
      <c r="F261" s="17" t="s">
        <v>43</v>
      </c>
      <c r="G261" s="17" t="s">
        <v>30</v>
      </c>
      <c r="H261" s="7">
        <v>445814.92891000002</v>
      </c>
      <c r="I261" s="7">
        <v>218567.94039</v>
      </c>
      <c r="J261" s="80">
        <v>166.44442319392701</v>
      </c>
      <c r="K261" s="80">
        <v>-22.234889563496399</v>
      </c>
      <c r="L261" s="71">
        <v>70</v>
      </c>
      <c r="M261" s="71">
        <v>2</v>
      </c>
      <c r="N261" s="71">
        <v>2</v>
      </c>
      <c r="O261" s="73">
        <v>1</v>
      </c>
      <c r="P261" s="17" t="s">
        <v>37</v>
      </c>
      <c r="Q261" t="str">
        <f>LEFT(B261,3)</f>
        <v>DUC</v>
      </c>
    </row>
    <row r="262" spans="1:17">
      <c r="A262" s="17" t="s">
        <v>2736</v>
      </c>
      <c r="B262" s="17" t="s">
        <v>570</v>
      </c>
      <c r="C262" s="13" t="s">
        <v>571</v>
      </c>
      <c r="D262" s="13" t="s">
        <v>571</v>
      </c>
      <c r="E262" s="17" t="s">
        <v>29</v>
      </c>
      <c r="F262" s="17" t="s">
        <v>43</v>
      </c>
      <c r="G262" s="17" t="s">
        <v>30</v>
      </c>
      <c r="H262" s="7">
        <v>445814.92891000002</v>
      </c>
      <c r="I262" s="7">
        <v>218567.94039</v>
      </c>
      <c r="J262" s="80">
        <v>166.44442319392701</v>
      </c>
      <c r="K262" s="80">
        <v>-22.234889563496399</v>
      </c>
      <c r="L262" s="71">
        <v>210</v>
      </c>
      <c r="M262" s="71">
        <v>2</v>
      </c>
      <c r="N262" s="71">
        <v>2</v>
      </c>
      <c r="O262" s="73">
        <v>1</v>
      </c>
      <c r="P262" s="17" t="s">
        <v>37</v>
      </c>
      <c r="Q262" t="str">
        <f>LEFT(B262,3)</f>
        <v>DUC</v>
      </c>
    </row>
    <row r="263" spans="1:17">
      <c r="A263" s="17" t="s">
        <v>2737</v>
      </c>
      <c r="B263" s="17" t="s">
        <v>574</v>
      </c>
      <c r="C263" s="13" t="s">
        <v>576</v>
      </c>
      <c r="D263" s="13" t="s">
        <v>576</v>
      </c>
      <c r="E263" s="17" t="s">
        <v>49</v>
      </c>
      <c r="F263" s="17" t="s">
        <v>43</v>
      </c>
      <c r="G263" s="17" t="s">
        <v>50</v>
      </c>
      <c r="H263" s="7">
        <v>447191.72752999997</v>
      </c>
      <c r="I263" s="7">
        <v>225998.00117</v>
      </c>
      <c r="J263" s="80">
        <v>166.457569589494</v>
      </c>
      <c r="K263" s="80">
        <v>-22.167753572046099</v>
      </c>
      <c r="L263" s="71">
        <v>120</v>
      </c>
      <c r="M263" s="71">
        <v>1</v>
      </c>
      <c r="N263" s="71">
        <v>1</v>
      </c>
      <c r="O263" s="73">
        <v>1</v>
      </c>
      <c r="P263" s="17" t="s">
        <v>37</v>
      </c>
      <c r="Q263" t="str">
        <f>LEFT(B263,3)</f>
        <v>DUM</v>
      </c>
    </row>
    <row r="264" spans="1:17">
      <c r="A264" s="17" t="s">
        <v>2738</v>
      </c>
      <c r="B264" s="17" t="s">
        <v>574</v>
      </c>
      <c r="C264" s="13" t="s">
        <v>576</v>
      </c>
      <c r="D264" s="13" t="s">
        <v>576</v>
      </c>
      <c r="E264" s="17" t="s">
        <v>49</v>
      </c>
      <c r="F264" s="17" t="s">
        <v>43</v>
      </c>
      <c r="G264" s="17" t="s">
        <v>50</v>
      </c>
      <c r="H264" s="7">
        <v>447191.72752999997</v>
      </c>
      <c r="I264" s="7">
        <v>225998.00117</v>
      </c>
      <c r="J264" s="80">
        <v>166.457569589494</v>
      </c>
      <c r="K264" s="80">
        <v>-22.167753572046099</v>
      </c>
      <c r="L264" s="71">
        <v>330</v>
      </c>
      <c r="M264" s="71">
        <v>1</v>
      </c>
      <c r="N264" s="71">
        <v>1</v>
      </c>
      <c r="O264" s="73">
        <v>1</v>
      </c>
      <c r="P264" s="17" t="s">
        <v>37</v>
      </c>
      <c r="Q264" t="str">
        <f>LEFT(B264,3)</f>
        <v>DUM</v>
      </c>
    </row>
    <row r="265" spans="1:17">
      <c r="A265" s="17" t="s">
        <v>2739</v>
      </c>
      <c r="B265" s="17" t="s">
        <v>579</v>
      </c>
      <c r="C265" s="13" t="s">
        <v>580</v>
      </c>
      <c r="D265" s="13" t="s">
        <v>581</v>
      </c>
      <c r="E265" s="17" t="s">
        <v>93</v>
      </c>
      <c r="F265" s="17" t="s">
        <v>43</v>
      </c>
      <c r="G265" s="17" t="s">
        <v>50</v>
      </c>
      <c r="H265" s="7">
        <v>474444</v>
      </c>
      <c r="I265" s="7">
        <v>222766</v>
      </c>
      <c r="J265" s="79">
        <v>166.72194400000001</v>
      </c>
      <c r="K265" s="79">
        <v>-22.196013000000001</v>
      </c>
      <c r="L265" s="71">
        <v>50</v>
      </c>
      <c r="M265" s="71">
        <v>1</v>
      </c>
      <c r="N265" s="71">
        <v>1</v>
      </c>
      <c r="O265" s="73">
        <v>0</v>
      </c>
      <c r="P265" s="17" t="s">
        <v>47</v>
      </c>
      <c r="Q265" t="str">
        <f>LEFT(B265,3)</f>
        <v>DUN</v>
      </c>
    </row>
    <row r="266" spans="1:17">
      <c r="A266" s="17" t="s">
        <v>2740</v>
      </c>
      <c r="B266" s="17" t="s">
        <v>579</v>
      </c>
      <c r="C266" s="13" t="s">
        <v>580</v>
      </c>
      <c r="D266" s="13" t="s">
        <v>581</v>
      </c>
      <c r="E266" s="17" t="s">
        <v>93</v>
      </c>
      <c r="F266" s="17" t="s">
        <v>43</v>
      </c>
      <c r="G266" s="17" t="s">
        <v>50</v>
      </c>
      <c r="H266" s="7">
        <v>474444</v>
      </c>
      <c r="I266" s="7">
        <v>222766</v>
      </c>
      <c r="J266" s="79">
        <v>166.72194400000001</v>
      </c>
      <c r="K266" s="79">
        <v>-22.196013000000001</v>
      </c>
      <c r="L266" s="71">
        <v>230</v>
      </c>
      <c r="M266" s="71">
        <v>1</v>
      </c>
      <c r="N266" s="71">
        <v>1</v>
      </c>
      <c r="O266" s="73">
        <v>0</v>
      </c>
      <c r="P266" s="17" t="s">
        <v>47</v>
      </c>
      <c r="Q266" t="str">
        <f>LEFT(B266,3)</f>
        <v>DUN</v>
      </c>
    </row>
    <row r="267" spans="1:17">
      <c r="A267" s="17" t="s">
        <v>2741</v>
      </c>
      <c r="B267" s="17" t="s">
        <v>579</v>
      </c>
      <c r="C267" s="13" t="s">
        <v>580</v>
      </c>
      <c r="D267" s="13" t="s">
        <v>581</v>
      </c>
      <c r="E267" s="17" t="s">
        <v>93</v>
      </c>
      <c r="F267" s="17" t="s">
        <v>43</v>
      </c>
      <c r="G267" s="17" t="s">
        <v>50</v>
      </c>
      <c r="H267" s="7">
        <v>474444</v>
      </c>
      <c r="I267" s="7">
        <v>222766</v>
      </c>
      <c r="J267" s="79">
        <v>166.72194400000001</v>
      </c>
      <c r="K267" s="79">
        <v>-22.196013000000001</v>
      </c>
      <c r="L267" s="71">
        <v>320</v>
      </c>
      <c r="M267" s="71">
        <v>1</v>
      </c>
      <c r="N267" s="71">
        <v>1</v>
      </c>
      <c r="O267" s="73">
        <v>0</v>
      </c>
      <c r="P267" s="17" t="s">
        <v>47</v>
      </c>
      <c r="Q267" t="str">
        <f>LEFT(B267,3)</f>
        <v>DUN</v>
      </c>
    </row>
    <row r="268" spans="1:17">
      <c r="A268" s="13" t="s">
        <v>2742</v>
      </c>
      <c r="B268" s="13" t="s">
        <v>583</v>
      </c>
      <c r="C268" s="13" t="s">
        <v>584</v>
      </c>
      <c r="D268" s="13" t="s">
        <v>584</v>
      </c>
      <c r="E268" s="17" t="s">
        <v>49</v>
      </c>
      <c r="F268" s="17" t="s">
        <v>43</v>
      </c>
      <c r="G268" s="17" t="s">
        <v>50</v>
      </c>
      <c r="H268" s="7">
        <v>447734</v>
      </c>
      <c r="I268" s="7">
        <v>231626</v>
      </c>
      <c r="J268" s="79">
        <v>166.46315799999999</v>
      </c>
      <c r="K268" s="79">
        <v>-22.116911000000002</v>
      </c>
      <c r="L268" s="71">
        <v>120</v>
      </c>
      <c r="M268" s="71">
        <v>2</v>
      </c>
      <c r="N268" s="71">
        <v>3</v>
      </c>
      <c r="O268" s="73">
        <v>1</v>
      </c>
      <c r="P268" s="17" t="s">
        <v>47</v>
      </c>
      <c r="Q268" t="str">
        <f>LEFT(B268,3)</f>
        <v>DZU</v>
      </c>
    </row>
    <row r="269" spans="1:17">
      <c r="A269" s="13" t="s">
        <v>2743</v>
      </c>
      <c r="B269" s="13" t="s">
        <v>583</v>
      </c>
      <c r="C269" s="13" t="s">
        <v>584</v>
      </c>
      <c r="D269" s="13" t="s">
        <v>584</v>
      </c>
      <c r="E269" s="17" t="s">
        <v>49</v>
      </c>
      <c r="F269" s="17" t="s">
        <v>43</v>
      </c>
      <c r="G269" s="17" t="s">
        <v>50</v>
      </c>
      <c r="H269" s="7">
        <v>447734</v>
      </c>
      <c r="I269" s="7">
        <v>231626</v>
      </c>
      <c r="J269" s="79">
        <v>166.46315799999999</v>
      </c>
      <c r="K269" s="79">
        <v>-22.116911000000002</v>
      </c>
      <c r="L269" s="71">
        <v>180</v>
      </c>
      <c r="M269" s="71">
        <v>2</v>
      </c>
      <c r="N269" s="71">
        <v>3</v>
      </c>
      <c r="O269" s="73">
        <v>1</v>
      </c>
      <c r="P269" s="17" t="s">
        <v>47</v>
      </c>
      <c r="Q269" t="str">
        <f>LEFT(B269,3)</f>
        <v>DZU</v>
      </c>
    </row>
    <row r="270" spans="1:17">
      <c r="A270" s="13" t="s">
        <v>2744</v>
      </c>
      <c r="B270" s="13" t="s">
        <v>583</v>
      </c>
      <c r="C270" s="13" t="s">
        <v>584</v>
      </c>
      <c r="D270" s="13" t="s">
        <v>584</v>
      </c>
      <c r="E270" s="17" t="s">
        <v>49</v>
      </c>
      <c r="F270" s="17" t="s">
        <v>43</v>
      </c>
      <c r="G270" s="17" t="s">
        <v>50</v>
      </c>
      <c r="H270" s="7">
        <v>447734</v>
      </c>
      <c r="I270" s="7">
        <v>231626</v>
      </c>
      <c r="J270" s="79">
        <v>166.46315799999999</v>
      </c>
      <c r="K270" s="79">
        <v>-22.116911000000002</v>
      </c>
      <c r="L270" s="71">
        <v>250</v>
      </c>
      <c r="M270" s="71">
        <v>2</v>
      </c>
      <c r="N270" s="71">
        <v>3</v>
      </c>
      <c r="O270" s="73">
        <v>0</v>
      </c>
      <c r="P270" s="17" t="s">
        <v>47</v>
      </c>
      <c r="Q270" t="str">
        <f>LEFT(B270,3)</f>
        <v>DZU</v>
      </c>
    </row>
    <row r="271" spans="1:17">
      <c r="A271" s="13" t="s">
        <v>2745</v>
      </c>
      <c r="B271" s="13" t="s">
        <v>589</v>
      </c>
      <c r="C271" s="13" t="s">
        <v>590</v>
      </c>
      <c r="D271" s="13" t="s">
        <v>590</v>
      </c>
      <c r="E271" s="17" t="s">
        <v>191</v>
      </c>
      <c r="F271" s="13" t="s">
        <v>43</v>
      </c>
      <c r="G271" s="17" t="s">
        <v>43</v>
      </c>
      <c r="H271" s="19">
        <v>347970</v>
      </c>
      <c r="I271" s="19">
        <v>290429</v>
      </c>
      <c r="J271" s="80">
        <v>165.49753000000001</v>
      </c>
      <c r="K271" s="80">
        <v>-21.585694</v>
      </c>
      <c r="L271" s="71">
        <v>90</v>
      </c>
      <c r="M271" s="71">
        <v>1</v>
      </c>
      <c r="N271" s="71">
        <v>1</v>
      </c>
      <c r="O271" s="73">
        <v>0</v>
      </c>
      <c r="P271" s="17" t="s">
        <v>47</v>
      </c>
      <c r="Q271" t="str">
        <f>LEFT(B271,3)</f>
        <v>EBR</v>
      </c>
    </row>
    <row r="272" spans="1:17">
      <c r="A272" s="13" t="s">
        <v>2746</v>
      </c>
      <c r="B272" s="13" t="s">
        <v>589</v>
      </c>
      <c r="C272" s="13" t="s">
        <v>590</v>
      </c>
      <c r="D272" s="13" t="s">
        <v>590</v>
      </c>
      <c r="E272" s="17" t="s">
        <v>191</v>
      </c>
      <c r="F272" s="13" t="s">
        <v>43</v>
      </c>
      <c r="G272" s="17" t="s">
        <v>43</v>
      </c>
      <c r="H272" s="19">
        <v>347970</v>
      </c>
      <c r="I272" s="19">
        <v>290429</v>
      </c>
      <c r="J272" s="80">
        <v>165.49753000000001</v>
      </c>
      <c r="K272" s="80">
        <v>-21.585694</v>
      </c>
      <c r="L272" s="71">
        <v>240</v>
      </c>
      <c r="M272" s="71">
        <v>1</v>
      </c>
      <c r="N272" s="71">
        <v>1</v>
      </c>
      <c r="O272" s="73">
        <v>0</v>
      </c>
      <c r="P272" s="17" t="s">
        <v>47</v>
      </c>
      <c r="Q272" t="str">
        <f>LEFT(B272,3)</f>
        <v>EBR</v>
      </c>
    </row>
    <row r="273" spans="1:17">
      <c r="A273" s="13" t="s">
        <v>2747</v>
      </c>
      <c r="B273" s="13" t="s">
        <v>589</v>
      </c>
      <c r="C273" s="13" t="s">
        <v>590</v>
      </c>
      <c r="D273" s="13" t="s">
        <v>590</v>
      </c>
      <c r="E273" s="17" t="s">
        <v>191</v>
      </c>
      <c r="F273" s="13" t="s">
        <v>43</v>
      </c>
      <c r="G273" s="17" t="s">
        <v>43</v>
      </c>
      <c r="H273" s="19">
        <v>347970</v>
      </c>
      <c r="I273" s="19">
        <v>290429</v>
      </c>
      <c r="J273" s="80">
        <v>165.49753000000001</v>
      </c>
      <c r="K273" s="80">
        <v>-21.585694</v>
      </c>
      <c r="L273" s="71">
        <v>340</v>
      </c>
      <c r="M273" s="71">
        <v>1</v>
      </c>
      <c r="N273" s="71">
        <v>1</v>
      </c>
      <c r="O273" s="73">
        <v>0</v>
      </c>
      <c r="P273" s="17" t="s">
        <v>47</v>
      </c>
      <c r="Q273" t="str">
        <f>LEFT(B273,3)</f>
        <v>EBR</v>
      </c>
    </row>
    <row r="274" spans="1:17">
      <c r="A274" s="13" t="s">
        <v>2748</v>
      </c>
      <c r="B274" s="13" t="s">
        <v>592</v>
      </c>
      <c r="C274" s="13" t="s">
        <v>593</v>
      </c>
      <c r="D274" s="13" t="s">
        <v>593</v>
      </c>
      <c r="E274" s="17" t="s">
        <v>191</v>
      </c>
      <c r="F274" s="13" t="s">
        <v>43</v>
      </c>
      <c r="G274" s="17" t="s">
        <v>43</v>
      </c>
      <c r="H274" s="19">
        <v>337907</v>
      </c>
      <c r="I274" s="19">
        <v>288810</v>
      </c>
      <c r="J274" s="80">
        <v>165.400289202312</v>
      </c>
      <c r="K274" s="80">
        <v>-21.5999966629014</v>
      </c>
      <c r="L274" s="71">
        <v>80</v>
      </c>
      <c r="M274" s="71">
        <v>1</v>
      </c>
      <c r="N274" s="71">
        <v>1</v>
      </c>
      <c r="O274" s="73">
        <v>1</v>
      </c>
      <c r="P274" s="17" t="s">
        <v>47</v>
      </c>
      <c r="Q274" t="str">
        <f>LEFT(B274,3)</f>
        <v>EGO</v>
      </c>
    </row>
    <row r="275" spans="1:17">
      <c r="A275" s="13" t="s">
        <v>2749</v>
      </c>
      <c r="B275" s="13" t="s">
        <v>592</v>
      </c>
      <c r="C275" s="13" t="s">
        <v>593</v>
      </c>
      <c r="D275" s="13" t="s">
        <v>593</v>
      </c>
      <c r="E275" s="17" t="s">
        <v>191</v>
      </c>
      <c r="F275" s="13" t="s">
        <v>43</v>
      </c>
      <c r="G275" s="17" t="s">
        <v>43</v>
      </c>
      <c r="H275" s="19">
        <v>337907</v>
      </c>
      <c r="I275" s="19">
        <v>288810</v>
      </c>
      <c r="J275" s="80">
        <v>165.400289202312</v>
      </c>
      <c r="K275" s="80">
        <v>-21.5999966629014</v>
      </c>
      <c r="L275" s="71">
        <v>230</v>
      </c>
      <c r="M275" s="71">
        <v>1</v>
      </c>
      <c r="N275" s="71">
        <v>1</v>
      </c>
      <c r="O275" s="73">
        <v>1</v>
      </c>
      <c r="P275" s="17" t="s">
        <v>47</v>
      </c>
      <c r="Q275" t="str">
        <f>LEFT(B275,3)</f>
        <v>EGO</v>
      </c>
    </row>
    <row r="276" spans="1:17">
      <c r="A276" s="17" t="s">
        <v>2750</v>
      </c>
      <c r="B276" s="17" t="s">
        <v>597</v>
      </c>
      <c r="C276" s="13" t="s">
        <v>598</v>
      </c>
      <c r="D276" s="13" t="s">
        <v>599</v>
      </c>
      <c r="E276" s="17" t="s">
        <v>29</v>
      </c>
      <c r="F276" s="17" t="s">
        <v>43</v>
      </c>
      <c r="G276" s="17" t="s">
        <v>30</v>
      </c>
      <c r="H276" s="7">
        <v>445623.21120999998</v>
      </c>
      <c r="I276" s="7">
        <v>218718.17527000001</v>
      </c>
      <c r="J276" s="80">
        <v>166.442556610515</v>
      </c>
      <c r="K276" s="80">
        <v>-22.2335398518331</v>
      </c>
      <c r="L276" s="71">
        <v>0</v>
      </c>
      <c r="M276" s="71">
        <v>3</v>
      </c>
      <c r="N276" s="71">
        <v>3</v>
      </c>
      <c r="O276" s="73">
        <v>1</v>
      </c>
      <c r="P276" s="17" t="s">
        <v>37</v>
      </c>
      <c r="Q276" t="str">
        <f>LEFT(B276,3)</f>
        <v>EIN</v>
      </c>
    </row>
    <row r="277" spans="1:17">
      <c r="A277" s="17" t="s">
        <v>2751</v>
      </c>
      <c r="B277" s="17" t="s">
        <v>597</v>
      </c>
      <c r="C277" s="13" t="s">
        <v>598</v>
      </c>
      <c r="D277" s="13" t="s">
        <v>599</v>
      </c>
      <c r="E277" s="17" t="s">
        <v>29</v>
      </c>
      <c r="F277" s="17" t="s">
        <v>43</v>
      </c>
      <c r="G277" s="17" t="s">
        <v>30</v>
      </c>
      <c r="H277" s="7">
        <v>445623.21120999998</v>
      </c>
      <c r="I277" s="7">
        <v>218718.17527000001</v>
      </c>
      <c r="J277" s="80">
        <v>166.442556610515</v>
      </c>
      <c r="K277" s="80">
        <v>-22.2335398518331</v>
      </c>
      <c r="L277" s="71">
        <v>242</v>
      </c>
      <c r="M277" s="71">
        <v>3</v>
      </c>
      <c r="N277" s="71">
        <v>3</v>
      </c>
      <c r="O277" s="73">
        <v>1</v>
      </c>
      <c r="P277" s="17" t="s">
        <v>37</v>
      </c>
      <c r="Q277" t="str">
        <f>LEFT(B277,3)</f>
        <v>EIN</v>
      </c>
    </row>
    <row r="278" spans="1:17">
      <c r="A278" s="17" t="s">
        <v>2752</v>
      </c>
      <c r="B278" s="17" t="s">
        <v>597</v>
      </c>
      <c r="C278" s="13" t="s">
        <v>598</v>
      </c>
      <c r="D278" s="13" t="s">
        <v>599</v>
      </c>
      <c r="E278" s="17" t="s">
        <v>29</v>
      </c>
      <c r="F278" s="17" t="s">
        <v>43</v>
      </c>
      <c r="G278" s="17" t="s">
        <v>30</v>
      </c>
      <c r="H278" s="7">
        <v>445623.21120999998</v>
      </c>
      <c r="I278" s="7">
        <v>218718.17527000001</v>
      </c>
      <c r="J278" s="80">
        <v>166.442556610515</v>
      </c>
      <c r="K278" s="80">
        <v>-22.2335398518331</v>
      </c>
      <c r="L278" s="71">
        <v>302</v>
      </c>
      <c r="M278" s="71">
        <v>3</v>
      </c>
      <c r="N278" s="71">
        <v>3</v>
      </c>
      <c r="O278" s="73">
        <v>1</v>
      </c>
      <c r="P278" s="17" t="s">
        <v>37</v>
      </c>
      <c r="Q278" t="str">
        <f>LEFT(B278,3)</f>
        <v>EIN</v>
      </c>
    </row>
    <row r="279" spans="1:17">
      <c r="A279" s="17" t="s">
        <v>2753</v>
      </c>
      <c r="B279" s="17" t="s">
        <v>601</v>
      </c>
      <c r="C279" s="13" t="s">
        <v>604</v>
      </c>
      <c r="D279" s="13" t="s">
        <v>604</v>
      </c>
      <c r="E279" s="17" t="s">
        <v>602</v>
      </c>
      <c r="F279" s="17" t="s">
        <v>43</v>
      </c>
      <c r="G279" s="17" t="s">
        <v>43</v>
      </c>
      <c r="H279" s="7">
        <v>394505.99575</v>
      </c>
      <c r="I279" s="7">
        <v>283860.12585999997</v>
      </c>
      <c r="J279" s="80">
        <v>165.946920987667</v>
      </c>
      <c r="K279" s="80">
        <v>-21.645773875675498</v>
      </c>
      <c r="L279" s="71">
        <v>100</v>
      </c>
      <c r="M279" s="71">
        <v>1</v>
      </c>
      <c r="N279" s="71">
        <v>1</v>
      </c>
      <c r="O279" s="73">
        <v>1</v>
      </c>
      <c r="P279" s="17" t="s">
        <v>47</v>
      </c>
      <c r="Q279" t="str">
        <f>LEFT(B279,3)</f>
        <v>EKO</v>
      </c>
    </row>
    <row r="280" spans="1:17">
      <c r="A280" s="17" t="s">
        <v>2754</v>
      </c>
      <c r="B280" s="17" t="s">
        <v>601</v>
      </c>
      <c r="C280" s="13" t="s">
        <v>604</v>
      </c>
      <c r="D280" s="13" t="s">
        <v>604</v>
      </c>
      <c r="E280" s="17" t="s">
        <v>602</v>
      </c>
      <c r="F280" s="17" t="s">
        <v>43</v>
      </c>
      <c r="G280" s="17" t="s">
        <v>43</v>
      </c>
      <c r="H280" s="7">
        <v>394505.99575</v>
      </c>
      <c r="I280" s="7">
        <v>283860.12585999997</v>
      </c>
      <c r="J280" s="80">
        <v>165.946920987667</v>
      </c>
      <c r="K280" s="80">
        <v>-21.645773875675498</v>
      </c>
      <c r="L280" s="71">
        <v>245</v>
      </c>
      <c r="M280" s="71">
        <v>1</v>
      </c>
      <c r="N280" s="71">
        <v>1</v>
      </c>
      <c r="O280" s="73">
        <v>1</v>
      </c>
      <c r="P280" s="17" t="s">
        <v>47</v>
      </c>
      <c r="Q280" t="str">
        <f>LEFT(B280,3)</f>
        <v>EKO</v>
      </c>
    </row>
    <row r="281" spans="1:17">
      <c r="A281" s="17" t="s">
        <v>2755</v>
      </c>
      <c r="B281" s="17" t="s">
        <v>608</v>
      </c>
      <c r="C281" s="13" t="s">
        <v>610</v>
      </c>
      <c r="D281" s="13" t="s">
        <v>611</v>
      </c>
      <c r="E281" s="17" t="s">
        <v>609</v>
      </c>
      <c r="F281" s="17" t="s">
        <v>68</v>
      </c>
      <c r="G281" s="17" t="s">
        <v>68</v>
      </c>
      <c r="H281" s="7">
        <v>377615</v>
      </c>
      <c r="I281" s="7">
        <v>301011</v>
      </c>
      <c r="J281" s="80">
        <v>165.783962</v>
      </c>
      <c r="K281" s="80">
        <v>-21.490728000000001</v>
      </c>
      <c r="L281" s="71">
        <v>35</v>
      </c>
      <c r="M281" s="71">
        <v>1</v>
      </c>
      <c r="N281" s="71">
        <v>1</v>
      </c>
      <c r="O281" s="73">
        <v>0</v>
      </c>
      <c r="P281" s="17" t="s">
        <v>47</v>
      </c>
      <c r="Q281" t="str">
        <f>LEFT(B281,3)</f>
        <v>FAN</v>
      </c>
    </row>
    <row r="282" spans="1:17">
      <c r="A282" s="17" t="s">
        <v>2756</v>
      </c>
      <c r="B282" s="17" t="s">
        <v>608</v>
      </c>
      <c r="C282" s="13" t="s">
        <v>610</v>
      </c>
      <c r="D282" s="13" t="s">
        <v>611</v>
      </c>
      <c r="E282" s="17" t="s">
        <v>609</v>
      </c>
      <c r="F282" s="17" t="s">
        <v>68</v>
      </c>
      <c r="G282" s="17" t="s">
        <v>68</v>
      </c>
      <c r="H282" s="7">
        <v>377615</v>
      </c>
      <c r="I282" s="7">
        <v>301011</v>
      </c>
      <c r="J282" s="80">
        <v>165.783962</v>
      </c>
      <c r="K282" s="80">
        <v>-21.490728000000001</v>
      </c>
      <c r="L282" s="71">
        <v>275</v>
      </c>
      <c r="M282" s="71">
        <v>1</v>
      </c>
      <c r="N282" s="71">
        <v>1</v>
      </c>
      <c r="O282" s="73">
        <v>0</v>
      </c>
      <c r="P282" s="17" t="s">
        <v>47</v>
      </c>
      <c r="Q282" t="str">
        <f>LEFT(B282,3)</f>
        <v>FAN</v>
      </c>
    </row>
    <row r="283" spans="1:17">
      <c r="A283" s="17" t="s">
        <v>2757</v>
      </c>
      <c r="B283" s="17" t="s">
        <v>608</v>
      </c>
      <c r="C283" s="13" t="s">
        <v>610</v>
      </c>
      <c r="D283" s="13" t="s">
        <v>611</v>
      </c>
      <c r="E283" s="17" t="s">
        <v>609</v>
      </c>
      <c r="F283" s="17" t="s">
        <v>68</v>
      </c>
      <c r="G283" s="17" t="s">
        <v>68</v>
      </c>
      <c r="H283" s="7">
        <v>377615</v>
      </c>
      <c r="I283" s="7">
        <v>301011</v>
      </c>
      <c r="J283" s="80">
        <v>165.783962</v>
      </c>
      <c r="K283" s="80">
        <v>-21.490728000000001</v>
      </c>
      <c r="L283" s="71">
        <v>335</v>
      </c>
      <c r="M283" s="71">
        <v>1</v>
      </c>
      <c r="N283" s="71">
        <v>1</v>
      </c>
      <c r="O283" s="73">
        <v>0</v>
      </c>
      <c r="P283" s="17" t="s">
        <v>47</v>
      </c>
      <c r="Q283" t="str">
        <f>LEFT(B283,3)</f>
        <v>FAN</v>
      </c>
    </row>
    <row r="284" spans="1:17">
      <c r="A284" s="17" t="s">
        <v>2758</v>
      </c>
      <c r="B284" s="17" t="s">
        <v>613</v>
      </c>
      <c r="C284" s="13" t="s">
        <v>614</v>
      </c>
      <c r="D284" s="13" t="s">
        <v>614</v>
      </c>
      <c r="E284" s="17" t="s">
        <v>614</v>
      </c>
      <c r="F284" s="17" t="s">
        <v>43</v>
      </c>
      <c r="G284" s="17" t="s">
        <v>43</v>
      </c>
      <c r="H284" s="7">
        <v>376707.70556999999</v>
      </c>
      <c r="I284" s="7">
        <v>281429.07740000001</v>
      </c>
      <c r="J284" s="80">
        <v>165.77493605362099</v>
      </c>
      <c r="K284" s="80">
        <v>-21.667588247873802</v>
      </c>
      <c r="L284" s="71">
        <v>120</v>
      </c>
      <c r="M284" s="71">
        <v>1</v>
      </c>
      <c r="N284" s="71">
        <v>1</v>
      </c>
      <c r="O284" s="73">
        <v>1</v>
      </c>
      <c r="P284" s="17" t="s">
        <v>47</v>
      </c>
      <c r="Q284" t="str">
        <f>LEFT(B284,3)</f>
        <v>FAR</v>
      </c>
    </row>
    <row r="285" spans="1:17">
      <c r="A285" s="17" t="s">
        <v>2759</v>
      </c>
      <c r="B285" s="17" t="s">
        <v>613</v>
      </c>
      <c r="C285" s="13" t="s">
        <v>614</v>
      </c>
      <c r="D285" s="13" t="s">
        <v>614</v>
      </c>
      <c r="E285" s="17" t="s">
        <v>614</v>
      </c>
      <c r="F285" s="17" t="s">
        <v>43</v>
      </c>
      <c r="G285" s="17" t="s">
        <v>43</v>
      </c>
      <c r="H285" s="7">
        <v>376707.70556999999</v>
      </c>
      <c r="I285" s="7">
        <v>281429.07740000001</v>
      </c>
      <c r="J285" s="80">
        <v>165.77493605362099</v>
      </c>
      <c r="K285" s="80">
        <v>-21.667588247873802</v>
      </c>
      <c r="L285" s="71">
        <v>340</v>
      </c>
      <c r="M285" s="71">
        <v>1</v>
      </c>
      <c r="N285" s="71">
        <v>1</v>
      </c>
      <c r="O285" s="73">
        <v>1</v>
      </c>
      <c r="P285" s="17" t="s">
        <v>47</v>
      </c>
      <c r="Q285" t="str">
        <f>LEFT(B285,3)</f>
        <v>FAR</v>
      </c>
    </row>
    <row r="286" spans="1:17">
      <c r="A286" s="17" t="s">
        <v>2760</v>
      </c>
      <c r="B286" s="17" t="s">
        <v>617</v>
      </c>
      <c r="C286" s="13" t="s">
        <v>619</v>
      </c>
      <c r="D286" s="13" t="s">
        <v>619</v>
      </c>
      <c r="E286" s="17" t="s">
        <v>49</v>
      </c>
      <c r="F286" s="17" t="s">
        <v>43</v>
      </c>
      <c r="G286" s="17" t="s">
        <v>50</v>
      </c>
      <c r="H286" s="7">
        <v>449183.23982999998</v>
      </c>
      <c r="I286" s="7">
        <v>228762.0582</v>
      </c>
      <c r="J286" s="80">
        <v>166.47679229978601</v>
      </c>
      <c r="K286" s="80">
        <v>-22.142737860574101</v>
      </c>
      <c r="L286" s="71">
        <v>52</v>
      </c>
      <c r="M286" s="71">
        <v>1</v>
      </c>
      <c r="N286" s="71">
        <v>2</v>
      </c>
      <c r="O286" s="73">
        <v>1</v>
      </c>
      <c r="P286" s="17" t="s">
        <v>37</v>
      </c>
      <c r="Q286" t="str">
        <f>LEFT(B286,3)</f>
        <v>FAY</v>
      </c>
    </row>
    <row r="287" spans="1:17">
      <c r="A287" s="17" t="s">
        <v>2761</v>
      </c>
      <c r="B287" s="17" t="s">
        <v>617</v>
      </c>
      <c r="C287" s="13" t="s">
        <v>619</v>
      </c>
      <c r="D287" s="13" t="s">
        <v>619</v>
      </c>
      <c r="E287" s="17" t="s">
        <v>49</v>
      </c>
      <c r="F287" s="17" t="s">
        <v>43</v>
      </c>
      <c r="G287" s="17" t="s">
        <v>50</v>
      </c>
      <c r="H287" s="7">
        <v>449183.23982999998</v>
      </c>
      <c r="I287" s="7">
        <v>228762.0582</v>
      </c>
      <c r="J287" s="80">
        <v>166.47679229978601</v>
      </c>
      <c r="K287" s="80">
        <v>-22.142737860574101</v>
      </c>
      <c r="L287" s="71">
        <v>230</v>
      </c>
      <c r="M287" s="71">
        <v>1</v>
      </c>
      <c r="N287" s="71">
        <v>2</v>
      </c>
      <c r="O287" s="73">
        <v>1</v>
      </c>
      <c r="P287" s="17" t="s">
        <v>37</v>
      </c>
      <c r="Q287" t="str">
        <f>LEFT(B287,3)</f>
        <v>FAY</v>
      </c>
    </row>
    <row r="288" spans="1:17">
      <c r="A288" s="17" t="s">
        <v>2762</v>
      </c>
      <c r="B288" s="17" t="s">
        <v>617</v>
      </c>
      <c r="C288" s="13" t="s">
        <v>619</v>
      </c>
      <c r="D288" s="13" t="s">
        <v>619</v>
      </c>
      <c r="E288" s="17" t="s">
        <v>49</v>
      </c>
      <c r="F288" s="17" t="s">
        <v>43</v>
      </c>
      <c r="G288" s="17" t="s">
        <v>50</v>
      </c>
      <c r="H288" s="7">
        <v>449183.23982999998</v>
      </c>
      <c r="I288" s="7">
        <v>228762.0582</v>
      </c>
      <c r="J288" s="80">
        <v>166.47679229978601</v>
      </c>
      <c r="K288" s="80">
        <v>-22.142737860574101</v>
      </c>
      <c r="L288" s="71">
        <v>320</v>
      </c>
      <c r="M288" s="71">
        <v>1</v>
      </c>
      <c r="N288" s="71">
        <v>2</v>
      </c>
      <c r="O288" s="73">
        <v>1</v>
      </c>
      <c r="P288" s="17" t="s">
        <v>37</v>
      </c>
      <c r="Q288" t="str">
        <f>LEFT(B288,3)</f>
        <v>FAY</v>
      </c>
    </row>
    <row r="289" spans="1:17">
      <c r="A289" s="13" t="s">
        <v>2763</v>
      </c>
      <c r="B289" s="13" t="s">
        <v>622</v>
      </c>
      <c r="C289" s="13" t="s">
        <v>624</v>
      </c>
      <c r="D289" s="13" t="s">
        <v>624</v>
      </c>
      <c r="E289" s="17" t="s">
        <v>602</v>
      </c>
      <c r="F289" s="13" t="s">
        <v>43</v>
      </c>
      <c r="G289" s="17" t="s">
        <v>43</v>
      </c>
      <c r="H289" s="19">
        <v>377020</v>
      </c>
      <c r="I289" s="19">
        <v>278544</v>
      </c>
      <c r="J289" s="80">
        <v>165.777911212399</v>
      </c>
      <c r="K289" s="80">
        <v>-21.693650174251101</v>
      </c>
      <c r="L289" s="71">
        <v>16</v>
      </c>
      <c r="M289" s="73">
        <v>1</v>
      </c>
      <c r="N289" s="73">
        <v>2</v>
      </c>
      <c r="O289" s="73">
        <v>1</v>
      </c>
      <c r="P289" s="17" t="s">
        <v>47</v>
      </c>
      <c r="Q289" t="str">
        <f>LEFT(B289,3)</f>
        <v>FLA</v>
      </c>
    </row>
    <row r="290" spans="1:17">
      <c r="A290" s="13" t="s">
        <v>2764</v>
      </c>
      <c r="B290" s="13" t="s">
        <v>622</v>
      </c>
      <c r="C290" s="13" t="s">
        <v>624</v>
      </c>
      <c r="D290" s="13" t="s">
        <v>624</v>
      </c>
      <c r="E290" s="17" t="s">
        <v>602</v>
      </c>
      <c r="F290" s="13" t="s">
        <v>43</v>
      </c>
      <c r="G290" s="17" t="s">
        <v>43</v>
      </c>
      <c r="H290" s="19">
        <v>377020</v>
      </c>
      <c r="I290" s="19">
        <v>278544</v>
      </c>
      <c r="J290" s="80">
        <v>165.777911212399</v>
      </c>
      <c r="K290" s="80">
        <v>-21.693650174251101</v>
      </c>
      <c r="L290" s="71">
        <v>74</v>
      </c>
      <c r="M290" s="73">
        <v>1</v>
      </c>
      <c r="N290" s="73">
        <v>2</v>
      </c>
      <c r="O290" s="73">
        <v>1</v>
      </c>
      <c r="P290" s="17" t="s">
        <v>47</v>
      </c>
      <c r="Q290" t="str">
        <f>LEFT(B290,3)</f>
        <v>FLA</v>
      </c>
    </row>
    <row r="291" spans="1:17">
      <c r="A291" s="13" t="s">
        <v>2765</v>
      </c>
      <c r="B291" s="13" t="s">
        <v>622</v>
      </c>
      <c r="C291" s="13" t="s">
        <v>624</v>
      </c>
      <c r="D291" s="13" t="s">
        <v>624</v>
      </c>
      <c r="E291" s="17" t="s">
        <v>602</v>
      </c>
      <c r="F291" s="13" t="s">
        <v>43</v>
      </c>
      <c r="G291" s="17" t="s">
        <v>43</v>
      </c>
      <c r="H291" s="19">
        <v>377020</v>
      </c>
      <c r="I291" s="19">
        <v>278544</v>
      </c>
      <c r="J291" s="80">
        <v>165.777911212399</v>
      </c>
      <c r="K291" s="80">
        <v>-21.693650174251101</v>
      </c>
      <c r="L291" s="71">
        <v>289</v>
      </c>
      <c r="M291" s="73">
        <v>1</v>
      </c>
      <c r="N291" s="73">
        <v>2</v>
      </c>
      <c r="O291" s="73">
        <v>1</v>
      </c>
      <c r="P291" s="17" t="s">
        <v>47</v>
      </c>
      <c r="Q291" t="str">
        <f>LEFT(B291,3)</f>
        <v>FLA</v>
      </c>
    </row>
    <row r="292" spans="1:17">
      <c r="A292" s="17" t="s">
        <v>2766</v>
      </c>
      <c r="B292" s="17" t="s">
        <v>626</v>
      </c>
      <c r="C292" s="13" t="s">
        <v>627</v>
      </c>
      <c r="D292" s="13" t="s">
        <v>628</v>
      </c>
      <c r="E292" s="17" t="s">
        <v>602</v>
      </c>
      <c r="F292" s="17" t="s">
        <v>43</v>
      </c>
      <c r="G292" s="17" t="s">
        <v>43</v>
      </c>
      <c r="H292" s="7">
        <v>384833</v>
      </c>
      <c r="I292" s="7">
        <v>268851</v>
      </c>
      <c r="J292" s="80">
        <v>165.85333199999999</v>
      </c>
      <c r="K292" s="80">
        <v>-21.781282000000001</v>
      </c>
      <c r="L292" s="71">
        <v>40</v>
      </c>
      <c r="M292" s="73">
        <v>2</v>
      </c>
      <c r="N292" s="73">
        <v>1</v>
      </c>
      <c r="O292" s="73">
        <v>1</v>
      </c>
      <c r="P292" s="17" t="s">
        <v>37</v>
      </c>
      <c r="Q292" t="str">
        <f>LEFT(B292,3)</f>
        <v>FNO</v>
      </c>
    </row>
    <row r="293" spans="1:17">
      <c r="A293" s="17" t="s">
        <v>2767</v>
      </c>
      <c r="B293" s="17" t="s">
        <v>626</v>
      </c>
      <c r="C293" s="13" t="s">
        <v>627</v>
      </c>
      <c r="D293" s="13" t="s">
        <v>628</v>
      </c>
      <c r="E293" s="17" t="s">
        <v>602</v>
      </c>
      <c r="F293" s="17" t="s">
        <v>43</v>
      </c>
      <c r="G293" s="17" t="s">
        <v>43</v>
      </c>
      <c r="H293" s="7">
        <v>384833</v>
      </c>
      <c r="I293" s="7">
        <v>268851</v>
      </c>
      <c r="J293" s="80">
        <v>165.85333199999999</v>
      </c>
      <c r="K293" s="80">
        <v>-21.781282000000001</v>
      </c>
      <c r="L293" s="71">
        <v>160</v>
      </c>
      <c r="M293" s="73">
        <v>2</v>
      </c>
      <c r="N293" s="73">
        <v>1</v>
      </c>
      <c r="O293" s="73">
        <v>1</v>
      </c>
      <c r="P293" s="17" t="s">
        <v>37</v>
      </c>
      <c r="Q293" t="str">
        <f>LEFT(B293,3)</f>
        <v>FNO</v>
      </c>
    </row>
    <row r="294" spans="1:17">
      <c r="A294" s="17" t="s">
        <v>2768</v>
      </c>
      <c r="B294" s="17" t="s">
        <v>626</v>
      </c>
      <c r="C294" s="13" t="s">
        <v>627</v>
      </c>
      <c r="D294" s="13" t="s">
        <v>628</v>
      </c>
      <c r="E294" s="17" t="s">
        <v>602</v>
      </c>
      <c r="F294" s="17" t="s">
        <v>43</v>
      </c>
      <c r="G294" s="17" t="s">
        <v>43</v>
      </c>
      <c r="H294" s="7">
        <v>384833</v>
      </c>
      <c r="I294" s="7">
        <v>268851</v>
      </c>
      <c r="J294" s="80">
        <v>165.85333199999999</v>
      </c>
      <c r="K294" s="80">
        <v>-21.781282000000001</v>
      </c>
      <c r="L294" s="71">
        <v>221</v>
      </c>
      <c r="M294" s="73">
        <v>2</v>
      </c>
      <c r="N294" s="73">
        <v>1</v>
      </c>
      <c r="O294" s="73">
        <v>1</v>
      </c>
      <c r="P294" s="17" t="s">
        <v>37</v>
      </c>
      <c r="Q294" t="str">
        <f>LEFT(B294,3)</f>
        <v>FNO</v>
      </c>
    </row>
    <row r="295" spans="1:17">
      <c r="A295" s="17" t="s">
        <v>2769</v>
      </c>
      <c r="B295" s="17" t="s">
        <v>631</v>
      </c>
      <c r="C295" s="13" t="s">
        <v>632</v>
      </c>
      <c r="D295" s="13" t="s">
        <v>632</v>
      </c>
      <c r="E295" s="17" t="s">
        <v>602</v>
      </c>
      <c r="F295" s="17" t="s">
        <v>43</v>
      </c>
      <c r="G295" s="17" t="s">
        <v>43</v>
      </c>
      <c r="H295" s="7">
        <v>382314.41081999999</v>
      </c>
      <c r="I295" s="7">
        <v>276603.53849000001</v>
      </c>
      <c r="J295" s="80">
        <v>165.829054198412</v>
      </c>
      <c r="K295" s="80">
        <v>-21.711232687626101</v>
      </c>
      <c r="L295" s="71">
        <v>60</v>
      </c>
      <c r="M295" s="73">
        <v>2</v>
      </c>
      <c r="N295" s="73">
        <v>1</v>
      </c>
      <c r="O295" s="73">
        <v>1</v>
      </c>
      <c r="P295" s="17" t="s">
        <v>37</v>
      </c>
      <c r="Q295" t="str">
        <f>LEFT(B295,3)</f>
        <v>FOA</v>
      </c>
    </row>
    <row r="296" spans="1:17">
      <c r="A296" s="17" t="s">
        <v>2770</v>
      </c>
      <c r="B296" s="17" t="s">
        <v>631</v>
      </c>
      <c r="C296" s="13" t="s">
        <v>632</v>
      </c>
      <c r="D296" s="13" t="s">
        <v>632</v>
      </c>
      <c r="E296" s="17" t="s">
        <v>602</v>
      </c>
      <c r="F296" s="17" t="s">
        <v>43</v>
      </c>
      <c r="G296" s="17" t="s">
        <v>43</v>
      </c>
      <c r="H296" s="7">
        <v>382314.41081999999</v>
      </c>
      <c r="I296" s="7">
        <v>276603.53849000001</v>
      </c>
      <c r="J296" s="80">
        <v>165.829054198412</v>
      </c>
      <c r="K296" s="80">
        <v>-21.711232687626101</v>
      </c>
      <c r="L296" s="71">
        <v>190</v>
      </c>
      <c r="M296" s="73">
        <v>2</v>
      </c>
      <c r="N296" s="73">
        <v>1</v>
      </c>
      <c r="O296" s="73">
        <v>1</v>
      </c>
      <c r="P296" s="17" t="s">
        <v>37</v>
      </c>
      <c r="Q296" t="str">
        <f>LEFT(B296,3)</f>
        <v>FOA</v>
      </c>
    </row>
    <row r="297" spans="1:17">
      <c r="A297" s="17" t="s">
        <v>2771</v>
      </c>
      <c r="B297" s="17" t="s">
        <v>631</v>
      </c>
      <c r="C297" s="13" t="s">
        <v>632</v>
      </c>
      <c r="D297" s="13" t="s">
        <v>632</v>
      </c>
      <c r="E297" s="17" t="s">
        <v>602</v>
      </c>
      <c r="F297" s="17" t="s">
        <v>43</v>
      </c>
      <c r="G297" s="17" t="s">
        <v>43</v>
      </c>
      <c r="H297" s="7">
        <v>382314.41081999999</v>
      </c>
      <c r="I297" s="7">
        <v>276603.53849000001</v>
      </c>
      <c r="J297" s="80">
        <v>165.829054198412</v>
      </c>
      <c r="K297" s="80">
        <v>-21.711232687626101</v>
      </c>
      <c r="L297" s="71">
        <v>270</v>
      </c>
      <c r="M297" s="73">
        <v>2</v>
      </c>
      <c r="N297" s="73">
        <v>1</v>
      </c>
      <c r="O297" s="73">
        <v>1</v>
      </c>
      <c r="P297" s="17" t="s">
        <v>37</v>
      </c>
      <c r="Q297" t="str">
        <f>LEFT(B297,3)</f>
        <v>FOA</v>
      </c>
    </row>
    <row r="298" spans="1:17">
      <c r="A298" s="17" t="s">
        <v>2772</v>
      </c>
      <c r="B298" s="17" t="s">
        <v>635</v>
      </c>
      <c r="C298" s="13" t="s">
        <v>636</v>
      </c>
      <c r="D298" s="13" t="s">
        <v>637</v>
      </c>
      <c r="E298" s="17" t="s">
        <v>29</v>
      </c>
      <c r="F298" s="17" t="s">
        <v>43</v>
      </c>
      <c r="G298" s="17" t="s">
        <v>30</v>
      </c>
      <c r="H298" s="7">
        <v>445651.53019999998</v>
      </c>
      <c r="I298" s="7">
        <v>213266.14931000001</v>
      </c>
      <c r="J298" s="80">
        <v>166.442987782486</v>
      </c>
      <c r="K298" s="80">
        <v>-22.2827750096478</v>
      </c>
      <c r="L298" s="71">
        <v>40</v>
      </c>
      <c r="M298" s="73">
        <v>3</v>
      </c>
      <c r="N298" s="73">
        <v>3</v>
      </c>
      <c r="O298" s="73">
        <v>1</v>
      </c>
      <c r="P298" s="17" t="s">
        <v>2773</v>
      </c>
      <c r="Q298" t="str">
        <f>LEFT(B298,3)</f>
        <v>FOC</v>
      </c>
    </row>
    <row r="299" spans="1:17">
      <c r="A299" s="17" t="s">
        <v>2774</v>
      </c>
      <c r="B299" s="17" t="s">
        <v>635</v>
      </c>
      <c r="C299" s="13" t="s">
        <v>636</v>
      </c>
      <c r="D299" s="13" t="s">
        <v>637</v>
      </c>
      <c r="E299" s="17" t="s">
        <v>29</v>
      </c>
      <c r="F299" s="17" t="s">
        <v>43</v>
      </c>
      <c r="G299" s="17" t="s">
        <v>30</v>
      </c>
      <c r="H299" s="7">
        <v>445651.53019999998</v>
      </c>
      <c r="I299" s="7">
        <v>213266.14931000001</v>
      </c>
      <c r="J299" s="80">
        <v>166.442987782486</v>
      </c>
      <c r="K299" s="80">
        <v>-22.2827750096478</v>
      </c>
      <c r="L299" s="71">
        <v>100</v>
      </c>
      <c r="M299" s="73">
        <v>3</v>
      </c>
      <c r="N299" s="73">
        <v>3</v>
      </c>
      <c r="O299" s="73">
        <v>1</v>
      </c>
      <c r="P299" s="17" t="s">
        <v>37</v>
      </c>
      <c r="Q299" t="str">
        <f>LEFT(B299,3)</f>
        <v>FOC</v>
      </c>
    </row>
    <row r="300" spans="1:17">
      <c r="A300" s="17" t="s">
        <v>2775</v>
      </c>
      <c r="B300" s="17" t="s">
        <v>635</v>
      </c>
      <c r="C300" s="13" t="s">
        <v>636</v>
      </c>
      <c r="D300" s="13" t="s">
        <v>637</v>
      </c>
      <c r="E300" s="17" t="s">
        <v>29</v>
      </c>
      <c r="F300" s="17" t="s">
        <v>43</v>
      </c>
      <c r="G300" s="17" t="s">
        <v>30</v>
      </c>
      <c r="H300" s="7">
        <v>445651.53019999998</v>
      </c>
      <c r="I300" s="7">
        <v>213266.14931000001</v>
      </c>
      <c r="J300" s="80">
        <v>166.442987782486</v>
      </c>
      <c r="K300" s="80">
        <v>-22.2827750096478</v>
      </c>
      <c r="L300" s="71">
        <v>260</v>
      </c>
      <c r="M300" s="73">
        <v>3</v>
      </c>
      <c r="N300" s="73">
        <v>3</v>
      </c>
      <c r="O300" s="73">
        <v>1</v>
      </c>
      <c r="P300" s="17" t="s">
        <v>37</v>
      </c>
      <c r="Q300" t="str">
        <f>LEFT(B300,3)</f>
        <v>FOC</v>
      </c>
    </row>
    <row r="301" spans="1:17">
      <c r="A301" s="13" t="s">
        <v>2776</v>
      </c>
      <c r="B301" s="13" t="s">
        <v>639</v>
      </c>
      <c r="C301" s="13" t="s">
        <v>2777</v>
      </c>
      <c r="D301" s="13" t="s">
        <v>640</v>
      </c>
      <c r="E301" s="17" t="s">
        <v>602</v>
      </c>
      <c r="F301" s="17" t="s">
        <v>43</v>
      </c>
      <c r="G301" s="17" t="s">
        <v>43</v>
      </c>
      <c r="H301" s="7">
        <v>378798</v>
      </c>
      <c r="I301" s="7">
        <v>279857</v>
      </c>
      <c r="J301" s="80">
        <v>165.79511119420201</v>
      </c>
      <c r="K301" s="80">
        <v>-21.681812841285801</v>
      </c>
      <c r="L301" s="71">
        <v>35</v>
      </c>
      <c r="M301" s="73">
        <v>1</v>
      </c>
      <c r="N301" s="73">
        <v>1</v>
      </c>
      <c r="O301" s="73">
        <v>1</v>
      </c>
      <c r="P301" s="17" t="s">
        <v>47</v>
      </c>
      <c r="Q301" t="str">
        <f>LEFT(B301,3)</f>
        <v>FON</v>
      </c>
    </row>
    <row r="302" spans="1:17">
      <c r="A302" s="13" t="s">
        <v>2778</v>
      </c>
      <c r="B302" s="13" t="s">
        <v>639</v>
      </c>
      <c r="C302" s="13" t="s">
        <v>2777</v>
      </c>
      <c r="D302" s="13" t="s">
        <v>640</v>
      </c>
      <c r="E302" s="17" t="s">
        <v>602</v>
      </c>
      <c r="F302" s="17" t="s">
        <v>43</v>
      </c>
      <c r="G302" s="17" t="s">
        <v>43</v>
      </c>
      <c r="H302" s="7">
        <v>378798</v>
      </c>
      <c r="I302" s="7">
        <v>279857</v>
      </c>
      <c r="J302" s="80">
        <v>165.79511119420201</v>
      </c>
      <c r="K302" s="80">
        <v>-21.681812841285801</v>
      </c>
      <c r="L302" s="71">
        <v>215</v>
      </c>
      <c r="M302" s="73">
        <v>1</v>
      </c>
      <c r="N302" s="73">
        <v>1</v>
      </c>
      <c r="O302" s="73">
        <v>1</v>
      </c>
      <c r="P302" s="17" t="s">
        <v>47</v>
      </c>
      <c r="Q302" t="str">
        <f>LEFT(B302,3)</f>
        <v>FON</v>
      </c>
    </row>
    <row r="303" spans="1:17">
      <c r="A303" s="13" t="s">
        <v>2779</v>
      </c>
      <c r="B303" s="13" t="s">
        <v>644</v>
      </c>
      <c r="C303" s="13" t="s">
        <v>645</v>
      </c>
      <c r="D303" s="13" t="s">
        <v>645</v>
      </c>
      <c r="E303" s="17" t="s">
        <v>49</v>
      </c>
      <c r="F303" s="17" t="s">
        <v>43</v>
      </c>
      <c r="G303" s="17" t="s">
        <v>50</v>
      </c>
      <c r="H303" s="22">
        <v>446822</v>
      </c>
      <c r="I303" s="22">
        <v>221794</v>
      </c>
      <c r="J303" s="83">
        <v>166.45410000000001</v>
      </c>
      <c r="K303" s="83">
        <v>-22.205729999999999</v>
      </c>
      <c r="L303" s="71">
        <v>120</v>
      </c>
      <c r="M303" s="73">
        <v>2</v>
      </c>
      <c r="N303" s="73">
        <v>1</v>
      </c>
      <c r="O303" s="73">
        <v>1</v>
      </c>
      <c r="P303" s="17" t="s">
        <v>37</v>
      </c>
      <c r="Q303" t="str">
        <f>LEFT(B303,3)</f>
        <v>FOR</v>
      </c>
    </row>
    <row r="304" spans="1:17">
      <c r="A304" s="13" t="s">
        <v>2780</v>
      </c>
      <c r="B304" s="13" t="s">
        <v>644</v>
      </c>
      <c r="C304" s="13" t="s">
        <v>645</v>
      </c>
      <c r="D304" s="13" t="s">
        <v>645</v>
      </c>
      <c r="E304" s="17" t="s">
        <v>49</v>
      </c>
      <c r="F304" s="17" t="s">
        <v>43</v>
      </c>
      <c r="G304" s="17" t="s">
        <v>50</v>
      </c>
      <c r="H304" s="22">
        <v>446822</v>
      </c>
      <c r="I304" s="22">
        <v>221794</v>
      </c>
      <c r="J304" s="83">
        <v>166.45410000000001</v>
      </c>
      <c r="K304" s="83">
        <v>-22.205729999999999</v>
      </c>
      <c r="L304" s="71">
        <v>210</v>
      </c>
      <c r="M304" s="73">
        <v>2</v>
      </c>
      <c r="N304" s="73">
        <v>1</v>
      </c>
      <c r="O304" s="73">
        <v>1</v>
      </c>
      <c r="P304" s="17" t="s">
        <v>37</v>
      </c>
      <c r="Q304" t="str">
        <f>LEFT(B304,3)</f>
        <v>FOR</v>
      </c>
    </row>
    <row r="305" spans="1:17">
      <c r="A305" s="17" t="s">
        <v>2781</v>
      </c>
      <c r="B305" s="17" t="s">
        <v>649</v>
      </c>
      <c r="C305" s="13" t="s">
        <v>650</v>
      </c>
      <c r="D305" s="13" t="s">
        <v>650</v>
      </c>
      <c r="E305" s="17" t="s">
        <v>56</v>
      </c>
      <c r="F305" s="17" t="s">
        <v>43</v>
      </c>
      <c r="G305" s="17" t="s">
        <v>50</v>
      </c>
      <c r="H305" s="7">
        <v>443338.92843999999</v>
      </c>
      <c r="I305" s="7">
        <v>230032.77311000001</v>
      </c>
      <c r="J305" s="80">
        <v>166.420106281649</v>
      </c>
      <c r="K305" s="80">
        <v>-22.131410658765802</v>
      </c>
      <c r="L305" s="71">
        <v>130</v>
      </c>
      <c r="M305" s="73">
        <v>2</v>
      </c>
      <c r="N305" s="73">
        <v>1</v>
      </c>
      <c r="O305" s="73">
        <v>1</v>
      </c>
      <c r="P305" s="17" t="s">
        <v>37</v>
      </c>
      <c r="Q305" t="str">
        <f>LEFT(B305,3)</f>
        <v>FOU</v>
      </c>
    </row>
    <row r="306" spans="1:17">
      <c r="A306" s="17" t="s">
        <v>2782</v>
      </c>
      <c r="B306" s="17" t="s">
        <v>649</v>
      </c>
      <c r="C306" s="13" t="s">
        <v>650</v>
      </c>
      <c r="D306" s="13" t="s">
        <v>650</v>
      </c>
      <c r="E306" s="17" t="s">
        <v>56</v>
      </c>
      <c r="F306" s="17" t="s">
        <v>43</v>
      </c>
      <c r="G306" s="17" t="s">
        <v>50</v>
      </c>
      <c r="H306" s="7">
        <v>443338.92843999999</v>
      </c>
      <c r="I306" s="7">
        <v>230032.77311000001</v>
      </c>
      <c r="J306" s="80">
        <v>166.420106281649</v>
      </c>
      <c r="K306" s="80">
        <v>-22.131410658765802</v>
      </c>
      <c r="L306" s="71">
        <v>220</v>
      </c>
      <c r="M306" s="73">
        <v>2</v>
      </c>
      <c r="N306" s="73">
        <v>1</v>
      </c>
      <c r="O306" s="73">
        <v>1</v>
      </c>
      <c r="P306" s="17" t="s">
        <v>37</v>
      </c>
      <c r="Q306" t="str">
        <f>LEFT(B306,3)</f>
        <v>FOU</v>
      </c>
    </row>
    <row r="307" spans="1:17">
      <c r="A307" s="17" t="s">
        <v>2783</v>
      </c>
      <c r="B307" s="17" t="s">
        <v>653</v>
      </c>
      <c r="C307" s="13" t="s">
        <v>2784</v>
      </c>
      <c r="D307" s="13" t="s">
        <v>655</v>
      </c>
      <c r="E307" s="17" t="s">
        <v>29</v>
      </c>
      <c r="F307" s="17" t="s">
        <v>43</v>
      </c>
      <c r="G307" s="17" t="s">
        <v>30</v>
      </c>
      <c r="H307" s="22">
        <v>448538</v>
      </c>
      <c r="I307" s="22">
        <v>216765</v>
      </c>
      <c r="J307" s="80">
        <v>166.47089</v>
      </c>
      <c r="K307" s="83">
        <v>-22.251100000000001</v>
      </c>
      <c r="L307" s="71">
        <v>75</v>
      </c>
      <c r="M307" s="73">
        <v>2</v>
      </c>
      <c r="N307" s="73">
        <v>2</v>
      </c>
      <c r="O307" s="73">
        <v>1</v>
      </c>
      <c r="P307" s="17" t="s">
        <v>37</v>
      </c>
      <c r="Q307" t="str">
        <f>LEFT(B307,3)</f>
        <v>FOY</v>
      </c>
    </row>
    <row r="308" spans="1:17">
      <c r="A308" s="17" t="s">
        <v>2785</v>
      </c>
      <c r="B308" s="17" t="s">
        <v>653</v>
      </c>
      <c r="C308" s="13" t="s">
        <v>2784</v>
      </c>
      <c r="D308" s="13" t="s">
        <v>655</v>
      </c>
      <c r="E308" s="17" t="s">
        <v>29</v>
      </c>
      <c r="F308" s="17" t="s">
        <v>43</v>
      </c>
      <c r="G308" s="17" t="s">
        <v>30</v>
      </c>
      <c r="H308" s="22">
        <v>448538</v>
      </c>
      <c r="I308" s="22">
        <v>216765</v>
      </c>
      <c r="J308" s="80">
        <v>166.47089</v>
      </c>
      <c r="K308" s="83">
        <v>-22.251100000000001</v>
      </c>
      <c r="L308" s="71">
        <v>190</v>
      </c>
      <c r="M308" s="73">
        <v>2</v>
      </c>
      <c r="N308" s="73">
        <v>2</v>
      </c>
      <c r="O308" s="73">
        <v>1</v>
      </c>
      <c r="P308" s="17" t="s">
        <v>37</v>
      </c>
      <c r="Q308" t="str">
        <f>LEFT(B308,3)</f>
        <v>FOY</v>
      </c>
    </row>
    <row r="309" spans="1:17">
      <c r="A309" s="17" t="s">
        <v>2786</v>
      </c>
      <c r="B309" s="17" t="s">
        <v>653</v>
      </c>
      <c r="C309" s="13" t="s">
        <v>2784</v>
      </c>
      <c r="D309" s="13" t="s">
        <v>655</v>
      </c>
      <c r="E309" s="17" t="s">
        <v>29</v>
      </c>
      <c r="F309" s="17" t="s">
        <v>43</v>
      </c>
      <c r="G309" s="17" t="s">
        <v>30</v>
      </c>
      <c r="H309" s="22">
        <v>448538</v>
      </c>
      <c r="I309" s="22">
        <v>216765</v>
      </c>
      <c r="J309" s="80">
        <v>166.47089</v>
      </c>
      <c r="K309" s="83">
        <v>-22.251100000000001</v>
      </c>
      <c r="L309" s="71">
        <v>320</v>
      </c>
      <c r="M309" s="73">
        <v>2</v>
      </c>
      <c r="N309" s="73">
        <v>2</v>
      </c>
      <c r="O309" s="73">
        <v>1</v>
      </c>
      <c r="P309" s="17" t="s">
        <v>37</v>
      </c>
      <c r="Q309" t="str">
        <f>LEFT(B309,3)</f>
        <v>FOY</v>
      </c>
    </row>
    <row r="310" spans="1:17">
      <c r="A310" s="13" t="s">
        <v>2787</v>
      </c>
      <c r="B310" s="13" t="s">
        <v>657</v>
      </c>
      <c r="C310" s="13" t="s">
        <v>658</v>
      </c>
      <c r="D310" s="13" t="s">
        <v>658</v>
      </c>
      <c r="E310" s="17" t="s">
        <v>29</v>
      </c>
      <c r="F310" s="17" t="s">
        <v>43</v>
      </c>
      <c r="G310" s="17" t="s">
        <v>30</v>
      </c>
      <c r="H310" s="7">
        <v>447785</v>
      </c>
      <c r="I310" s="7">
        <v>217149</v>
      </c>
      <c r="J310" s="79">
        <v>166.46357399999999</v>
      </c>
      <c r="K310" s="79">
        <v>-22.247653</v>
      </c>
      <c r="L310" s="71">
        <v>86</v>
      </c>
      <c r="M310" s="73">
        <v>2</v>
      </c>
      <c r="N310" s="73">
        <v>1</v>
      </c>
      <c r="O310" s="73">
        <v>1</v>
      </c>
      <c r="P310" s="17" t="s">
        <v>37</v>
      </c>
      <c r="Q310" t="str">
        <f>LEFT(B310,3)</f>
        <v>FP4</v>
      </c>
    </row>
    <row r="311" spans="1:17">
      <c r="A311" s="13" t="s">
        <v>2788</v>
      </c>
      <c r="B311" s="13" t="s">
        <v>657</v>
      </c>
      <c r="C311" s="13" t="s">
        <v>658</v>
      </c>
      <c r="D311" s="13" t="s">
        <v>658</v>
      </c>
      <c r="E311" s="17" t="s">
        <v>29</v>
      </c>
      <c r="F311" s="17" t="s">
        <v>43</v>
      </c>
      <c r="G311" s="17" t="s">
        <v>30</v>
      </c>
      <c r="H311" s="7">
        <v>447785</v>
      </c>
      <c r="I311" s="7">
        <v>217149</v>
      </c>
      <c r="J311" s="79">
        <v>166.46357399999999</v>
      </c>
      <c r="K311" s="79">
        <v>-22.247653</v>
      </c>
      <c r="L311" s="71">
        <v>168</v>
      </c>
      <c r="M311" s="73">
        <v>2</v>
      </c>
      <c r="N311" s="73">
        <v>1</v>
      </c>
      <c r="O311" s="73">
        <v>1</v>
      </c>
      <c r="P311" s="17" t="s">
        <v>37</v>
      </c>
      <c r="Q311" t="str">
        <f>LEFT(B311,3)</f>
        <v>FP4</v>
      </c>
    </row>
    <row r="312" spans="1:17">
      <c r="A312" s="13" t="s">
        <v>2789</v>
      </c>
      <c r="B312" s="13" t="s">
        <v>657</v>
      </c>
      <c r="C312" s="13" t="s">
        <v>658</v>
      </c>
      <c r="D312" s="13" t="s">
        <v>658</v>
      </c>
      <c r="E312" s="17" t="s">
        <v>29</v>
      </c>
      <c r="F312" s="17" t="s">
        <v>43</v>
      </c>
      <c r="G312" s="17" t="s">
        <v>30</v>
      </c>
      <c r="H312" s="7">
        <v>447785</v>
      </c>
      <c r="I312" s="7">
        <v>217149</v>
      </c>
      <c r="J312" s="79">
        <v>166.46357399999999</v>
      </c>
      <c r="K312" s="79">
        <v>-22.247653</v>
      </c>
      <c r="L312" s="71">
        <v>330</v>
      </c>
      <c r="M312" s="73">
        <v>2</v>
      </c>
      <c r="N312" s="73">
        <v>1</v>
      </c>
      <c r="O312" s="73">
        <v>1</v>
      </c>
      <c r="P312" s="17" t="s">
        <v>37</v>
      </c>
      <c r="Q312" t="str">
        <f>LEFT(B312,3)</f>
        <v>FP4</v>
      </c>
    </row>
    <row r="313" spans="1:17">
      <c r="A313" s="17" t="s">
        <v>2790</v>
      </c>
      <c r="B313" s="17" t="s">
        <v>661</v>
      </c>
      <c r="C313" s="13" t="s">
        <v>663</v>
      </c>
      <c r="D313" s="13" t="s">
        <v>663</v>
      </c>
      <c r="E313" s="17" t="s">
        <v>56</v>
      </c>
      <c r="F313" s="17" t="s">
        <v>43</v>
      </c>
      <c r="G313" s="17" t="s">
        <v>50</v>
      </c>
      <c r="H313" s="7">
        <v>438851</v>
      </c>
      <c r="I313" s="7">
        <v>229213</v>
      </c>
      <c r="J313" s="80">
        <v>166.37662121420999</v>
      </c>
      <c r="K313" s="80">
        <v>-22.138919508764001</v>
      </c>
      <c r="L313" s="71">
        <v>70</v>
      </c>
      <c r="M313" s="73">
        <v>2</v>
      </c>
      <c r="N313" s="73">
        <v>1</v>
      </c>
      <c r="O313" s="73">
        <v>1</v>
      </c>
      <c r="P313" s="17" t="s">
        <v>37</v>
      </c>
      <c r="Q313" t="str">
        <f>LEFT(B313,3)</f>
        <v>FPT</v>
      </c>
    </row>
    <row r="314" spans="1:17">
      <c r="A314" s="17" t="s">
        <v>2791</v>
      </c>
      <c r="B314" s="17" t="s">
        <v>661</v>
      </c>
      <c r="C314" s="13" t="s">
        <v>663</v>
      </c>
      <c r="D314" s="13" t="s">
        <v>663</v>
      </c>
      <c r="E314" s="17" t="s">
        <v>56</v>
      </c>
      <c r="F314" s="17" t="s">
        <v>43</v>
      </c>
      <c r="G314" s="17" t="s">
        <v>50</v>
      </c>
      <c r="H314" s="7">
        <v>438851</v>
      </c>
      <c r="I314" s="7">
        <v>229213</v>
      </c>
      <c r="J314" s="80">
        <v>166.37662121420999</v>
      </c>
      <c r="K314" s="80">
        <v>-22.138919508764001</v>
      </c>
      <c r="L314" s="71">
        <v>190</v>
      </c>
      <c r="M314" s="73">
        <v>1</v>
      </c>
      <c r="N314" s="73">
        <v>1</v>
      </c>
      <c r="O314" s="73">
        <v>1</v>
      </c>
      <c r="P314" s="17" t="s">
        <v>37</v>
      </c>
      <c r="Q314" t="str">
        <f>LEFT(B314,3)</f>
        <v>FPT</v>
      </c>
    </row>
    <row r="315" spans="1:17">
      <c r="A315" s="17" t="s">
        <v>2792</v>
      </c>
      <c r="B315" s="17" t="s">
        <v>661</v>
      </c>
      <c r="C315" s="13" t="s">
        <v>663</v>
      </c>
      <c r="D315" s="13" t="s">
        <v>663</v>
      </c>
      <c r="E315" s="17" t="s">
        <v>56</v>
      </c>
      <c r="F315" s="17" t="s">
        <v>43</v>
      </c>
      <c r="G315" s="17" t="s">
        <v>50</v>
      </c>
      <c r="H315" s="7">
        <v>438851</v>
      </c>
      <c r="I315" s="7">
        <v>229213</v>
      </c>
      <c r="J315" s="80">
        <v>166.37662121420999</v>
      </c>
      <c r="K315" s="80">
        <v>-22.138919508764001</v>
      </c>
      <c r="L315" s="71">
        <v>315</v>
      </c>
      <c r="M315" s="73">
        <v>1</v>
      </c>
      <c r="N315" s="73">
        <v>1</v>
      </c>
      <c r="O315" s="73">
        <v>1</v>
      </c>
      <c r="P315" s="17" t="s">
        <v>37</v>
      </c>
      <c r="Q315" t="str">
        <f>LEFT(B315,3)</f>
        <v>FPT</v>
      </c>
    </row>
    <row r="316" spans="1:17">
      <c r="A316" s="17" t="s">
        <v>2793</v>
      </c>
      <c r="B316" s="17" t="s">
        <v>666</v>
      </c>
      <c r="C316" s="13" t="s">
        <v>667</v>
      </c>
      <c r="D316" s="13" t="s">
        <v>668</v>
      </c>
      <c r="E316" s="17" t="s">
        <v>128</v>
      </c>
      <c r="F316" s="17" t="s">
        <v>129</v>
      </c>
      <c r="G316" s="17" t="s">
        <v>129</v>
      </c>
      <c r="H316" s="7">
        <v>455739.75091</v>
      </c>
      <c r="I316" s="7">
        <v>393788.38244000002</v>
      </c>
      <c r="J316" s="80">
        <v>166.53488318318301</v>
      </c>
      <c r="K316" s="80">
        <v>-20.651991605426801</v>
      </c>
      <c r="L316" s="71">
        <v>30</v>
      </c>
      <c r="M316" s="73">
        <v>2</v>
      </c>
      <c r="N316" s="73">
        <v>2</v>
      </c>
      <c r="O316" s="73">
        <v>1</v>
      </c>
      <c r="P316" s="17" t="s">
        <v>47</v>
      </c>
      <c r="Q316" t="str">
        <f>LEFT(B316,3)</f>
        <v>FYE</v>
      </c>
    </row>
    <row r="317" spans="1:17">
      <c r="A317" s="17" t="s">
        <v>2794</v>
      </c>
      <c r="B317" s="17" t="s">
        <v>666</v>
      </c>
      <c r="C317" s="13" t="s">
        <v>667</v>
      </c>
      <c r="D317" s="13" t="s">
        <v>668</v>
      </c>
      <c r="E317" s="17" t="s">
        <v>128</v>
      </c>
      <c r="F317" s="17" t="s">
        <v>129</v>
      </c>
      <c r="G317" s="17" t="s">
        <v>129</v>
      </c>
      <c r="H317" s="7">
        <v>455739.75091</v>
      </c>
      <c r="I317" s="7">
        <v>393788.38244000002</v>
      </c>
      <c r="J317" s="80">
        <v>166.53488318318301</v>
      </c>
      <c r="K317" s="80">
        <v>-20.651991605426801</v>
      </c>
      <c r="L317" s="71">
        <v>135</v>
      </c>
      <c r="M317" s="73">
        <v>2</v>
      </c>
      <c r="N317" s="73">
        <v>2</v>
      </c>
      <c r="O317" s="73">
        <v>1</v>
      </c>
      <c r="P317" s="17" t="s">
        <v>47</v>
      </c>
      <c r="Q317" t="str">
        <f>LEFT(B317,3)</f>
        <v>FYE</v>
      </c>
    </row>
    <row r="318" spans="1:17">
      <c r="A318" s="17" t="s">
        <v>2795</v>
      </c>
      <c r="B318" s="17" t="s">
        <v>666</v>
      </c>
      <c r="C318" s="13" t="s">
        <v>667</v>
      </c>
      <c r="D318" s="13" t="s">
        <v>668</v>
      </c>
      <c r="E318" s="17" t="s">
        <v>128</v>
      </c>
      <c r="F318" s="17" t="s">
        <v>129</v>
      </c>
      <c r="G318" s="17" t="s">
        <v>129</v>
      </c>
      <c r="H318" s="7">
        <v>455739.75091</v>
      </c>
      <c r="I318" s="7">
        <v>393788.38244000002</v>
      </c>
      <c r="J318" s="80">
        <v>166.53488318318301</v>
      </c>
      <c r="K318" s="80">
        <v>-20.651991605426801</v>
      </c>
      <c r="L318" s="71">
        <v>210</v>
      </c>
      <c r="M318" s="73">
        <v>2</v>
      </c>
      <c r="N318" s="73">
        <v>2</v>
      </c>
      <c r="O318" s="73">
        <v>1</v>
      </c>
      <c r="P318" s="17" t="s">
        <v>47</v>
      </c>
      <c r="Q318" t="str">
        <f>LEFT(B318,3)</f>
        <v>FYE</v>
      </c>
    </row>
    <row r="319" spans="1:17">
      <c r="A319" s="17" t="s">
        <v>2796</v>
      </c>
      <c r="B319" s="17" t="s">
        <v>670</v>
      </c>
      <c r="C319" s="13" t="s">
        <v>671</v>
      </c>
      <c r="D319" s="13" t="s">
        <v>671</v>
      </c>
      <c r="E319" s="17" t="s">
        <v>331</v>
      </c>
      <c r="F319" s="17" t="s">
        <v>43</v>
      </c>
      <c r="G319" s="17" t="s">
        <v>43</v>
      </c>
      <c r="H319" s="7">
        <v>547226.53219000006</v>
      </c>
      <c r="I319" s="7">
        <v>181654.01697999999</v>
      </c>
      <c r="J319" s="80">
        <v>167.431401465893</v>
      </c>
      <c r="K319" s="80">
        <v>-22.562736896840001</v>
      </c>
      <c r="L319" s="71">
        <v>180</v>
      </c>
      <c r="M319" s="73">
        <v>1</v>
      </c>
      <c r="N319" s="73">
        <v>1</v>
      </c>
      <c r="O319" s="73">
        <v>1</v>
      </c>
      <c r="P319" s="17" t="s">
        <v>47</v>
      </c>
      <c r="Q319" t="str">
        <f>LEFT(B319,3)</f>
        <v>GAD</v>
      </c>
    </row>
    <row r="320" spans="1:17">
      <c r="A320" s="17" t="s">
        <v>2797</v>
      </c>
      <c r="B320" s="17" t="s">
        <v>670</v>
      </c>
      <c r="C320" s="13" t="s">
        <v>671</v>
      </c>
      <c r="D320" s="13" t="s">
        <v>671</v>
      </c>
      <c r="E320" s="17" t="s">
        <v>331</v>
      </c>
      <c r="F320" s="17" t="s">
        <v>43</v>
      </c>
      <c r="G320" s="17" t="s">
        <v>43</v>
      </c>
      <c r="H320" s="7">
        <v>547226.53219000006</v>
      </c>
      <c r="I320" s="7">
        <v>181654.01697999999</v>
      </c>
      <c r="J320" s="80">
        <v>167.431401465893</v>
      </c>
      <c r="K320" s="80">
        <v>-22.562736896840001</v>
      </c>
      <c r="L320" s="71">
        <v>340</v>
      </c>
      <c r="M320" s="73">
        <v>1</v>
      </c>
      <c r="N320" s="73">
        <v>1</v>
      </c>
      <c r="O320" s="73">
        <v>1</v>
      </c>
      <c r="P320" s="17" t="s">
        <v>47</v>
      </c>
      <c r="Q320" t="str">
        <f>LEFT(B320,3)</f>
        <v>GAD</v>
      </c>
    </row>
    <row r="321" spans="1:17">
      <c r="A321" s="17" t="s">
        <v>2798</v>
      </c>
      <c r="B321" s="17" t="s">
        <v>674</v>
      </c>
      <c r="C321" s="13" t="s">
        <v>675</v>
      </c>
      <c r="D321" s="13" t="s">
        <v>675</v>
      </c>
      <c r="E321" s="17" t="s">
        <v>29</v>
      </c>
      <c r="F321" s="17" t="s">
        <v>43</v>
      </c>
      <c r="G321" s="17" t="s">
        <v>30</v>
      </c>
      <c r="H321" s="7">
        <v>445271.05339999998</v>
      </c>
      <c r="I321" s="7">
        <v>214679.28745</v>
      </c>
      <c r="J321" s="80">
        <v>166.43925221235</v>
      </c>
      <c r="K321" s="80">
        <v>-22.270024286022501</v>
      </c>
      <c r="L321" s="71">
        <v>20</v>
      </c>
      <c r="M321" s="73">
        <v>2</v>
      </c>
      <c r="N321" s="73">
        <v>2</v>
      </c>
      <c r="O321" s="73">
        <v>1</v>
      </c>
      <c r="P321" s="17" t="s">
        <v>37</v>
      </c>
      <c r="Q321" t="str">
        <f>LEFT(B321,3)</f>
        <v>GAL</v>
      </c>
    </row>
    <row r="322" spans="1:17">
      <c r="A322" s="17" t="s">
        <v>2799</v>
      </c>
      <c r="B322" s="17" t="s">
        <v>674</v>
      </c>
      <c r="C322" s="13" t="s">
        <v>675</v>
      </c>
      <c r="D322" s="13" t="s">
        <v>675</v>
      </c>
      <c r="E322" s="17" t="s">
        <v>29</v>
      </c>
      <c r="F322" s="17" t="s">
        <v>43</v>
      </c>
      <c r="G322" s="17" t="s">
        <v>30</v>
      </c>
      <c r="H322" s="7">
        <v>445271.05339999998</v>
      </c>
      <c r="I322" s="7">
        <v>214679.28745</v>
      </c>
      <c r="J322" s="80">
        <v>166.43925221235</v>
      </c>
      <c r="K322" s="80">
        <v>-22.270024286022501</v>
      </c>
      <c r="L322" s="71">
        <v>96</v>
      </c>
      <c r="M322" s="73">
        <v>2</v>
      </c>
      <c r="N322" s="73">
        <v>2</v>
      </c>
      <c r="O322" s="73">
        <v>1</v>
      </c>
      <c r="P322" s="17" t="s">
        <v>37</v>
      </c>
      <c r="Q322" t="str">
        <f>LEFT(B322,3)</f>
        <v>GAL</v>
      </c>
    </row>
    <row r="323" spans="1:17">
      <c r="A323" s="17" t="s">
        <v>2800</v>
      </c>
      <c r="B323" s="17" t="s">
        <v>674</v>
      </c>
      <c r="C323" s="13" t="s">
        <v>675</v>
      </c>
      <c r="D323" s="13" t="s">
        <v>675</v>
      </c>
      <c r="E323" s="17" t="s">
        <v>29</v>
      </c>
      <c r="F323" s="17" t="s">
        <v>43</v>
      </c>
      <c r="G323" s="17" t="s">
        <v>30</v>
      </c>
      <c r="H323" s="7">
        <v>445271.05339999998</v>
      </c>
      <c r="I323" s="7">
        <v>214679.28745</v>
      </c>
      <c r="J323" s="80">
        <v>166.43925221235</v>
      </c>
      <c r="K323" s="80">
        <v>-22.270024286022501</v>
      </c>
      <c r="L323" s="71">
        <v>160</v>
      </c>
      <c r="M323" s="73">
        <v>2</v>
      </c>
      <c r="N323" s="73">
        <v>2</v>
      </c>
      <c r="O323" s="73">
        <v>1</v>
      </c>
      <c r="P323" s="17" t="s">
        <v>37</v>
      </c>
      <c r="Q323" t="str">
        <f>LEFT(B323,3)</f>
        <v>GAL</v>
      </c>
    </row>
    <row r="324" spans="1:17">
      <c r="A324" s="17" t="s">
        <v>2801</v>
      </c>
      <c r="B324" s="17" t="s">
        <v>678</v>
      </c>
      <c r="C324" s="13" t="s">
        <v>680</v>
      </c>
      <c r="D324" s="13" t="s">
        <v>680</v>
      </c>
      <c r="E324" s="17" t="s">
        <v>437</v>
      </c>
      <c r="F324" s="17" t="s">
        <v>68</v>
      </c>
      <c r="G324" s="17" t="s">
        <v>68</v>
      </c>
      <c r="H324" s="7">
        <v>236399.24322</v>
      </c>
      <c r="I324" s="7">
        <v>388259.07407999999</v>
      </c>
      <c r="J324" s="80">
        <v>164.42959220533501</v>
      </c>
      <c r="K324" s="80">
        <v>-20.695370653607501</v>
      </c>
      <c r="L324" s="71">
        <v>31</v>
      </c>
      <c r="M324" s="73">
        <v>2</v>
      </c>
      <c r="N324" s="73">
        <v>2</v>
      </c>
      <c r="O324" s="73">
        <v>1</v>
      </c>
      <c r="P324" s="17" t="s">
        <v>47</v>
      </c>
      <c r="Q324" t="str">
        <f>LEFT(B324,3)</f>
        <v>GAM</v>
      </c>
    </row>
    <row r="325" spans="1:17">
      <c r="A325" s="17" t="s">
        <v>2802</v>
      </c>
      <c r="B325" s="17" t="s">
        <v>678</v>
      </c>
      <c r="C325" s="13" t="s">
        <v>680</v>
      </c>
      <c r="D325" s="13" t="s">
        <v>680</v>
      </c>
      <c r="E325" s="17" t="s">
        <v>437</v>
      </c>
      <c r="F325" s="17" t="s">
        <v>68</v>
      </c>
      <c r="G325" s="17" t="s">
        <v>68</v>
      </c>
      <c r="H325" s="7">
        <v>236399.24322</v>
      </c>
      <c r="I325" s="7">
        <v>388259.07407999999</v>
      </c>
      <c r="J325" s="80">
        <v>164.42959220533501</v>
      </c>
      <c r="K325" s="80">
        <v>-20.695370653607501</v>
      </c>
      <c r="L325" s="71">
        <v>170</v>
      </c>
      <c r="M325" s="73">
        <v>2</v>
      </c>
      <c r="N325" s="73">
        <v>2</v>
      </c>
      <c r="O325" s="73">
        <v>1</v>
      </c>
      <c r="P325" s="17" t="s">
        <v>47</v>
      </c>
      <c r="Q325" t="str">
        <f>LEFT(B325,3)</f>
        <v>GAM</v>
      </c>
    </row>
    <row r="326" spans="1:17">
      <c r="A326" s="17" t="s">
        <v>2803</v>
      </c>
      <c r="B326" s="17" t="s">
        <v>678</v>
      </c>
      <c r="C326" s="13" t="s">
        <v>680</v>
      </c>
      <c r="D326" s="13" t="s">
        <v>680</v>
      </c>
      <c r="E326" s="17" t="s">
        <v>437</v>
      </c>
      <c r="F326" s="17" t="s">
        <v>68</v>
      </c>
      <c r="G326" s="17" t="s">
        <v>68</v>
      </c>
      <c r="H326" s="7">
        <v>236399.24322</v>
      </c>
      <c r="I326" s="7">
        <v>388259.07407999999</v>
      </c>
      <c r="J326" s="80">
        <v>164.42959220533501</v>
      </c>
      <c r="K326" s="80">
        <v>-20.695370653607501</v>
      </c>
      <c r="L326" s="71">
        <v>307</v>
      </c>
      <c r="M326" s="73">
        <v>2</v>
      </c>
      <c r="N326" s="73">
        <v>2</v>
      </c>
      <c r="O326" s="73">
        <v>1</v>
      </c>
      <c r="P326" s="17" t="s">
        <v>47</v>
      </c>
      <c r="Q326" t="str">
        <f>LEFT(B326,3)</f>
        <v>GAM</v>
      </c>
    </row>
    <row r="327" spans="1:17">
      <c r="A327" s="17" t="s">
        <v>2804</v>
      </c>
      <c r="B327" s="17" t="s">
        <v>683</v>
      </c>
      <c r="C327" s="13" t="s">
        <v>686</v>
      </c>
      <c r="D327" s="13" t="s">
        <v>685</v>
      </c>
      <c r="E327" s="17" t="s">
        <v>684</v>
      </c>
      <c r="F327" s="17" t="s">
        <v>68</v>
      </c>
      <c r="G327" s="17" t="s">
        <v>68</v>
      </c>
      <c r="H327" s="7">
        <v>266400.89197</v>
      </c>
      <c r="I327" s="7">
        <v>393236.87222000002</v>
      </c>
      <c r="J327" s="80">
        <v>164.71795923561501</v>
      </c>
      <c r="K327" s="80">
        <v>-20.652881560199599</v>
      </c>
      <c r="L327" s="71">
        <v>45</v>
      </c>
      <c r="M327" s="73">
        <v>1</v>
      </c>
      <c r="N327" s="73">
        <v>1</v>
      </c>
      <c r="O327" s="73">
        <v>1</v>
      </c>
      <c r="P327" s="17" t="s">
        <v>47</v>
      </c>
      <c r="Q327" t="str">
        <f>LEFT(B327,3)</f>
        <v>GAR</v>
      </c>
    </row>
    <row r="328" spans="1:17">
      <c r="A328" s="17" t="s">
        <v>2805</v>
      </c>
      <c r="B328" s="17" t="s">
        <v>683</v>
      </c>
      <c r="C328" s="13" t="s">
        <v>686</v>
      </c>
      <c r="D328" s="13" t="s">
        <v>685</v>
      </c>
      <c r="E328" s="17" t="s">
        <v>684</v>
      </c>
      <c r="F328" s="17" t="s">
        <v>68</v>
      </c>
      <c r="G328" s="17" t="s">
        <v>68</v>
      </c>
      <c r="H328" s="7">
        <v>266400.89197</v>
      </c>
      <c r="I328" s="7">
        <v>393236.87222000002</v>
      </c>
      <c r="J328" s="80">
        <v>164.71795923561501</v>
      </c>
      <c r="K328" s="80">
        <v>-20.652881560199599</v>
      </c>
      <c r="L328" s="71">
        <v>260</v>
      </c>
      <c r="M328" s="73">
        <v>1</v>
      </c>
      <c r="N328" s="73">
        <v>1</v>
      </c>
      <c r="O328" s="73">
        <v>1</v>
      </c>
      <c r="P328" s="17" t="s">
        <v>47</v>
      </c>
      <c r="Q328" t="str">
        <f>LEFT(B328,3)</f>
        <v>GAR</v>
      </c>
    </row>
    <row r="329" spans="1:17">
      <c r="A329" s="17" t="s">
        <v>2806</v>
      </c>
      <c r="B329" s="17" t="s">
        <v>689</v>
      </c>
      <c r="C329" s="13" t="s">
        <v>690</v>
      </c>
      <c r="D329" s="13" t="s">
        <v>690</v>
      </c>
      <c r="E329" s="17" t="s">
        <v>249</v>
      </c>
      <c r="F329" s="17" t="s">
        <v>68</v>
      </c>
      <c r="G329" s="17" t="s">
        <v>68</v>
      </c>
      <c r="H329" s="7">
        <v>261708.85316999999</v>
      </c>
      <c r="I329" s="7">
        <v>358311.44157999998</v>
      </c>
      <c r="J329" s="80">
        <v>164.67008485359801</v>
      </c>
      <c r="K329" s="80">
        <v>-20.967986373287498</v>
      </c>
      <c r="L329" s="71">
        <v>1</v>
      </c>
      <c r="M329" s="73">
        <v>1</v>
      </c>
      <c r="N329" s="73">
        <v>1</v>
      </c>
      <c r="O329" s="73">
        <v>1</v>
      </c>
      <c r="P329" s="17" t="s">
        <v>47</v>
      </c>
      <c r="Q329" t="str">
        <f>LEFT(B329,3)</f>
        <v>GAT</v>
      </c>
    </row>
    <row r="330" spans="1:17">
      <c r="A330" s="17" t="s">
        <v>2807</v>
      </c>
      <c r="B330" s="17" t="s">
        <v>689</v>
      </c>
      <c r="C330" s="13" t="s">
        <v>690</v>
      </c>
      <c r="D330" s="13" t="s">
        <v>690</v>
      </c>
      <c r="E330" s="17" t="s">
        <v>249</v>
      </c>
      <c r="F330" s="17" t="s">
        <v>68</v>
      </c>
      <c r="G330" s="17" t="s">
        <v>68</v>
      </c>
      <c r="H330" s="7">
        <v>261708.85316999999</v>
      </c>
      <c r="I330" s="7">
        <v>358311.44157999998</v>
      </c>
      <c r="J330" s="80">
        <v>164.67008485359801</v>
      </c>
      <c r="K330" s="80">
        <v>-20.967986373287498</v>
      </c>
      <c r="L330" s="71">
        <v>270</v>
      </c>
      <c r="M330" s="73">
        <v>1</v>
      </c>
      <c r="N330" s="73">
        <v>1</v>
      </c>
      <c r="O330" s="73">
        <v>1</v>
      </c>
      <c r="P330" s="17" t="s">
        <v>47</v>
      </c>
      <c r="Q330" t="str">
        <f>LEFT(B330,3)</f>
        <v>GAT</v>
      </c>
    </row>
    <row r="331" spans="1:17">
      <c r="A331" s="17" t="s">
        <v>2808</v>
      </c>
      <c r="B331" s="17" t="s">
        <v>693</v>
      </c>
      <c r="C331" s="13" t="s">
        <v>694</v>
      </c>
      <c r="D331" s="13" t="s">
        <v>694</v>
      </c>
      <c r="E331" s="17" t="s">
        <v>684</v>
      </c>
      <c r="F331" s="17" t="s">
        <v>68</v>
      </c>
      <c r="G331" s="17" t="s">
        <v>68</v>
      </c>
      <c r="H331" s="7">
        <v>291921.75190999999</v>
      </c>
      <c r="I331" s="7">
        <v>387826.28265000001</v>
      </c>
      <c r="J331" s="80">
        <v>164.96251083871701</v>
      </c>
      <c r="K331" s="80">
        <v>-20.703464696631698</v>
      </c>
      <c r="L331" s="71">
        <v>105</v>
      </c>
      <c r="M331" s="73">
        <v>1</v>
      </c>
      <c r="N331" s="73">
        <v>2</v>
      </c>
      <c r="O331" s="73">
        <v>1</v>
      </c>
      <c r="P331" s="17" t="s">
        <v>47</v>
      </c>
      <c r="Q331" t="str">
        <f>LEFT(B331,3)</f>
        <v>GAU</v>
      </c>
    </row>
    <row r="332" spans="1:17">
      <c r="A332" s="17" t="s">
        <v>2809</v>
      </c>
      <c r="B332" s="17" t="s">
        <v>693</v>
      </c>
      <c r="C332" s="13" t="s">
        <v>694</v>
      </c>
      <c r="D332" s="13" t="s">
        <v>694</v>
      </c>
      <c r="E332" s="17" t="s">
        <v>684</v>
      </c>
      <c r="F332" s="17" t="s">
        <v>68</v>
      </c>
      <c r="G332" s="17" t="s">
        <v>68</v>
      </c>
      <c r="H332" s="7">
        <v>291921.75190999999</v>
      </c>
      <c r="I332" s="7">
        <v>387826.28265000001</v>
      </c>
      <c r="J332" s="80">
        <v>164.96251083871701</v>
      </c>
      <c r="K332" s="80">
        <v>-20.703464696631698</v>
      </c>
      <c r="L332" s="71">
        <v>230</v>
      </c>
      <c r="M332" s="73">
        <v>1</v>
      </c>
      <c r="N332" s="73">
        <v>2</v>
      </c>
      <c r="O332" s="73">
        <v>1</v>
      </c>
      <c r="P332" s="17" t="s">
        <v>47</v>
      </c>
      <c r="Q332" t="str">
        <f>LEFT(B332,3)</f>
        <v>GAU</v>
      </c>
    </row>
    <row r="333" spans="1:17">
      <c r="A333" s="17" t="s">
        <v>2810</v>
      </c>
      <c r="B333" s="17" t="s">
        <v>693</v>
      </c>
      <c r="C333" s="13" t="s">
        <v>694</v>
      </c>
      <c r="D333" s="13" t="s">
        <v>694</v>
      </c>
      <c r="E333" s="17" t="s">
        <v>684</v>
      </c>
      <c r="F333" s="17" t="s">
        <v>68</v>
      </c>
      <c r="G333" s="17" t="s">
        <v>68</v>
      </c>
      <c r="H333" s="7">
        <v>291921.75190999999</v>
      </c>
      <c r="I333" s="7">
        <v>387826.28265000001</v>
      </c>
      <c r="J333" s="80">
        <v>164.96251083871701</v>
      </c>
      <c r="K333" s="80">
        <v>-20.703464696631698</v>
      </c>
      <c r="L333" s="71">
        <v>340</v>
      </c>
      <c r="M333" s="73">
        <v>1</v>
      </c>
      <c r="N333" s="73">
        <v>2</v>
      </c>
      <c r="O333" s="73">
        <v>1</v>
      </c>
      <c r="P333" s="17" t="s">
        <v>47</v>
      </c>
      <c r="Q333" t="str">
        <f>LEFT(B333,3)</f>
        <v>GAU</v>
      </c>
    </row>
    <row r="334" spans="1:17">
      <c r="A334" s="17" t="s">
        <v>2811</v>
      </c>
      <c r="B334" s="17" t="s">
        <v>697</v>
      </c>
      <c r="C334" s="13" t="s">
        <v>698</v>
      </c>
      <c r="D334" s="13" t="s">
        <v>698</v>
      </c>
      <c r="E334" s="17" t="s">
        <v>142</v>
      </c>
      <c r="F334" s="17" t="s">
        <v>43</v>
      </c>
      <c r="G334" s="17" t="s">
        <v>43</v>
      </c>
      <c r="H334" s="7">
        <v>496774.45392</v>
      </c>
      <c r="I334" s="7">
        <v>224660.32305000001</v>
      </c>
      <c r="J334" s="80">
        <v>166.93838169819401</v>
      </c>
      <c r="K334" s="80">
        <v>-22.177837796616501</v>
      </c>
      <c r="L334" s="71">
        <v>16</v>
      </c>
      <c r="M334" s="73">
        <v>1</v>
      </c>
      <c r="N334" s="73">
        <v>1</v>
      </c>
      <c r="O334" s="73">
        <v>1</v>
      </c>
      <c r="P334" s="17" t="s">
        <v>47</v>
      </c>
      <c r="Q334" t="str">
        <f>LEFT(B334,3)</f>
        <v>GBA</v>
      </c>
    </row>
    <row r="335" spans="1:17">
      <c r="A335" s="17" t="s">
        <v>2812</v>
      </c>
      <c r="B335" s="17" t="s">
        <v>697</v>
      </c>
      <c r="C335" s="13" t="s">
        <v>698</v>
      </c>
      <c r="D335" s="13" t="s">
        <v>698</v>
      </c>
      <c r="E335" s="17" t="s">
        <v>142</v>
      </c>
      <c r="F335" s="17" t="s">
        <v>43</v>
      </c>
      <c r="G335" s="17" t="s">
        <v>43</v>
      </c>
      <c r="H335" s="7">
        <v>496774.45392</v>
      </c>
      <c r="I335" s="7">
        <v>224660.32305000001</v>
      </c>
      <c r="J335" s="80">
        <v>166.93838169819401</v>
      </c>
      <c r="K335" s="80">
        <v>-22.177837796616501</v>
      </c>
      <c r="L335" s="71">
        <v>94</v>
      </c>
      <c r="M335" s="73">
        <v>1</v>
      </c>
      <c r="N335" s="73">
        <v>1</v>
      </c>
      <c r="O335" s="73">
        <v>1</v>
      </c>
      <c r="P335" s="17" t="s">
        <v>47</v>
      </c>
      <c r="Q335" t="str">
        <f>LEFT(B335,3)</f>
        <v>GBA</v>
      </c>
    </row>
    <row r="336" spans="1:17">
      <c r="A336" s="17" t="s">
        <v>2813</v>
      </c>
      <c r="B336" s="17" t="s">
        <v>701</v>
      </c>
      <c r="C336" s="13" t="s">
        <v>702</v>
      </c>
      <c r="D336" s="13" t="s">
        <v>703</v>
      </c>
      <c r="E336" s="17" t="s">
        <v>128</v>
      </c>
      <c r="F336" s="17" t="s">
        <v>129</v>
      </c>
      <c r="G336" s="17" t="s">
        <v>129</v>
      </c>
      <c r="H336" s="7">
        <v>457512</v>
      </c>
      <c r="I336" s="7">
        <v>396773</v>
      </c>
      <c r="J336" s="80">
        <v>166.55178599999999</v>
      </c>
      <c r="K336" s="8">
        <v>-20.624974999999999</v>
      </c>
      <c r="L336" s="71">
        <v>20</v>
      </c>
      <c r="M336" s="73">
        <v>1</v>
      </c>
      <c r="N336" s="73">
        <v>1</v>
      </c>
      <c r="O336" s="73">
        <v>0</v>
      </c>
      <c r="P336" s="17" t="s">
        <v>47</v>
      </c>
      <c r="Q336" t="str">
        <f>LEFT(B336,3)</f>
        <v>GBP</v>
      </c>
    </row>
    <row r="337" spans="1:17">
      <c r="A337" s="17" t="s">
        <v>2814</v>
      </c>
      <c r="B337" s="17" t="s">
        <v>701</v>
      </c>
      <c r="C337" s="13" t="s">
        <v>702</v>
      </c>
      <c r="D337" s="13" t="s">
        <v>703</v>
      </c>
      <c r="E337" s="17" t="s">
        <v>128</v>
      </c>
      <c r="F337" s="17" t="s">
        <v>129</v>
      </c>
      <c r="G337" s="17" t="s">
        <v>129</v>
      </c>
      <c r="H337" s="7">
        <v>457512</v>
      </c>
      <c r="I337" s="7">
        <v>396773</v>
      </c>
      <c r="J337" s="80">
        <v>166.55178599999999</v>
      </c>
      <c r="K337" s="8">
        <v>-20.624974999999999</v>
      </c>
      <c r="L337" s="71">
        <v>115</v>
      </c>
      <c r="M337" s="73">
        <v>1</v>
      </c>
      <c r="N337" s="73">
        <v>1</v>
      </c>
      <c r="O337" s="73">
        <v>0</v>
      </c>
      <c r="P337" s="17" t="s">
        <v>47</v>
      </c>
      <c r="Q337" t="str">
        <f>LEFT(B337,3)</f>
        <v>GBP</v>
      </c>
    </row>
    <row r="338" spans="1:17">
      <c r="A338" s="17" t="s">
        <v>2815</v>
      </c>
      <c r="B338" s="17" t="s">
        <v>701</v>
      </c>
      <c r="C338" s="13" t="s">
        <v>702</v>
      </c>
      <c r="D338" s="13" t="s">
        <v>703</v>
      </c>
      <c r="E338" s="17" t="s">
        <v>128</v>
      </c>
      <c r="F338" s="17" t="s">
        <v>129</v>
      </c>
      <c r="G338" s="17" t="s">
        <v>129</v>
      </c>
      <c r="H338" s="7">
        <v>457512</v>
      </c>
      <c r="I338" s="7">
        <v>396773</v>
      </c>
      <c r="J338" s="80">
        <v>166.55178599999999</v>
      </c>
      <c r="K338" s="8">
        <v>-20.624974999999999</v>
      </c>
      <c r="L338" s="71">
        <v>210</v>
      </c>
      <c r="M338" s="73">
        <v>1</v>
      </c>
      <c r="N338" s="73">
        <v>1</v>
      </c>
      <c r="O338" s="73">
        <v>0</v>
      </c>
      <c r="P338" s="17" t="s">
        <v>47</v>
      </c>
      <c r="Q338" t="str">
        <f>LEFT(B338,3)</f>
        <v>GBP</v>
      </c>
    </row>
    <row r="339" spans="1:17">
      <c r="A339" s="17" t="s">
        <v>2816</v>
      </c>
      <c r="B339" s="17" t="s">
        <v>706</v>
      </c>
      <c r="C339" s="13" t="s">
        <v>707</v>
      </c>
      <c r="D339" s="13" t="s">
        <v>707</v>
      </c>
      <c r="E339" s="17" t="s">
        <v>142</v>
      </c>
      <c r="F339" s="17" t="s">
        <v>43</v>
      </c>
      <c r="G339" s="17" t="s">
        <v>43</v>
      </c>
      <c r="H339" s="7">
        <v>494137.12514999998</v>
      </c>
      <c r="I339" s="7">
        <v>214158.33621000001</v>
      </c>
      <c r="J339" s="80">
        <v>166.91340727921801</v>
      </c>
      <c r="K339" s="80">
        <v>-22.2728200572747</v>
      </c>
      <c r="L339" s="71">
        <v>45</v>
      </c>
      <c r="M339" s="73">
        <v>1</v>
      </c>
      <c r="N339" s="73">
        <v>1</v>
      </c>
      <c r="O339" s="73">
        <v>1</v>
      </c>
      <c r="P339" s="17" t="s">
        <v>47</v>
      </c>
      <c r="Q339" t="str">
        <f>LEFT(B339,3)</f>
        <v>GLC</v>
      </c>
    </row>
    <row r="340" spans="1:17">
      <c r="A340" s="17" t="s">
        <v>2817</v>
      </c>
      <c r="B340" s="17" t="s">
        <v>706</v>
      </c>
      <c r="C340" s="13" t="s">
        <v>707</v>
      </c>
      <c r="D340" s="13" t="s">
        <v>707</v>
      </c>
      <c r="E340" s="17" t="s">
        <v>142</v>
      </c>
      <c r="F340" s="17" t="s">
        <v>43</v>
      </c>
      <c r="G340" s="17" t="s">
        <v>43</v>
      </c>
      <c r="H340" s="7">
        <v>494137.12514999998</v>
      </c>
      <c r="I340" s="7">
        <v>214158.33621000001</v>
      </c>
      <c r="J340" s="80">
        <v>166.91340727921801</v>
      </c>
      <c r="K340" s="80">
        <v>-22.2728200572747</v>
      </c>
      <c r="L340" s="71">
        <v>310</v>
      </c>
      <c r="M340" s="73">
        <v>1</v>
      </c>
      <c r="N340" s="73">
        <v>1</v>
      </c>
      <c r="O340" s="73">
        <v>1</v>
      </c>
      <c r="P340" s="17" t="s">
        <v>47</v>
      </c>
      <c r="Q340" t="str">
        <f>LEFT(B340,3)</f>
        <v>GLC</v>
      </c>
    </row>
    <row r="341" spans="1:17">
      <c r="A341" s="17" t="s">
        <v>2818</v>
      </c>
      <c r="B341" s="17" t="s">
        <v>710</v>
      </c>
      <c r="C341" s="13" t="s">
        <v>712</v>
      </c>
      <c r="D341" s="13" t="s">
        <v>712</v>
      </c>
      <c r="E341" s="17" t="s">
        <v>609</v>
      </c>
      <c r="F341" s="17" t="s">
        <v>68</v>
      </c>
      <c r="G341" s="17" t="s">
        <v>68</v>
      </c>
      <c r="H341" s="7">
        <v>380747.96607000002</v>
      </c>
      <c r="I341" s="7">
        <v>314055.52964999998</v>
      </c>
      <c r="J341" s="80">
        <v>165.81434778723099</v>
      </c>
      <c r="K341" s="80">
        <v>-21.372935780377698</v>
      </c>
      <c r="L341" s="71">
        <v>149</v>
      </c>
      <c r="M341" s="73">
        <v>2</v>
      </c>
      <c r="N341" s="73">
        <v>1</v>
      </c>
      <c r="O341" s="73">
        <v>1</v>
      </c>
      <c r="P341" s="17" t="s">
        <v>47</v>
      </c>
      <c r="Q341" t="str">
        <f>LEFT(B341,3)</f>
        <v>GND</v>
      </c>
    </row>
    <row r="342" spans="1:17">
      <c r="A342" s="17" t="s">
        <v>2819</v>
      </c>
      <c r="B342" s="17" t="s">
        <v>710</v>
      </c>
      <c r="C342" s="13" t="s">
        <v>712</v>
      </c>
      <c r="D342" s="13" t="s">
        <v>712</v>
      </c>
      <c r="E342" s="17" t="s">
        <v>609</v>
      </c>
      <c r="F342" s="17" t="s">
        <v>68</v>
      </c>
      <c r="G342" s="17" t="s">
        <v>68</v>
      </c>
      <c r="H342" s="7">
        <v>380747.96607000002</v>
      </c>
      <c r="I342" s="7">
        <v>314055.52964999998</v>
      </c>
      <c r="J342" s="80">
        <v>165.81434778723099</v>
      </c>
      <c r="K342" s="80">
        <v>-21.372935780377698</v>
      </c>
      <c r="L342" s="71">
        <v>213</v>
      </c>
      <c r="M342" s="73">
        <v>1</v>
      </c>
      <c r="N342" s="73">
        <v>1</v>
      </c>
      <c r="O342" s="73">
        <v>1</v>
      </c>
      <c r="P342" s="17" t="s">
        <v>47</v>
      </c>
      <c r="Q342" t="str">
        <f>LEFT(B342,3)</f>
        <v>GND</v>
      </c>
    </row>
    <row r="343" spans="1:17">
      <c r="A343" s="17" t="s">
        <v>2820</v>
      </c>
      <c r="B343" s="17" t="s">
        <v>715</v>
      </c>
      <c r="C343" s="13" t="s">
        <v>716</v>
      </c>
      <c r="D343" s="13" t="s">
        <v>413</v>
      </c>
      <c r="E343" s="17" t="s">
        <v>297</v>
      </c>
      <c r="F343" s="17" t="s">
        <v>68</v>
      </c>
      <c r="G343" s="17" t="s">
        <v>68</v>
      </c>
      <c r="H343" s="7">
        <v>271221</v>
      </c>
      <c r="I343" s="7">
        <v>408788</v>
      </c>
      <c r="J343" s="80">
        <v>164.765331</v>
      </c>
      <c r="K343" s="80">
        <v>-20.512892999999998</v>
      </c>
      <c r="L343" s="71">
        <v>0</v>
      </c>
      <c r="M343" s="73">
        <v>1</v>
      </c>
      <c r="N343" s="73">
        <v>1</v>
      </c>
      <c r="O343" s="73">
        <v>0</v>
      </c>
      <c r="P343" s="17" t="s">
        <v>47</v>
      </c>
      <c r="Q343" t="str">
        <f>LEFT(B343,3)</f>
        <v>GNO</v>
      </c>
    </row>
    <row r="344" spans="1:17">
      <c r="A344" s="17" t="s">
        <v>2821</v>
      </c>
      <c r="B344" s="17" t="s">
        <v>720</v>
      </c>
      <c r="C344" s="13" t="s">
        <v>721</v>
      </c>
      <c r="D344" s="13" t="s">
        <v>721</v>
      </c>
      <c r="E344" s="17" t="s">
        <v>148</v>
      </c>
      <c r="F344" s="17" t="s">
        <v>68</v>
      </c>
      <c r="G344" s="17" t="s">
        <v>68</v>
      </c>
      <c r="H344" s="7">
        <v>324327.63990000001</v>
      </c>
      <c r="I344" s="7">
        <v>330158.33977000002</v>
      </c>
      <c r="J344" s="80">
        <v>165.27100360209499</v>
      </c>
      <c r="K344" s="80">
        <v>-21.226002277820299</v>
      </c>
      <c r="L344" s="71">
        <v>120</v>
      </c>
      <c r="M344" s="73">
        <v>1</v>
      </c>
      <c r="N344" s="73">
        <v>1</v>
      </c>
      <c r="O344" s="73">
        <v>1</v>
      </c>
      <c r="P344" s="17" t="s">
        <v>47</v>
      </c>
      <c r="Q344" t="str">
        <f>LEFT(B344,3)</f>
        <v>GOA</v>
      </c>
    </row>
    <row r="345" spans="1:17">
      <c r="A345" s="17" t="s">
        <v>2822</v>
      </c>
      <c r="B345" s="17" t="s">
        <v>720</v>
      </c>
      <c r="C345" s="13" t="s">
        <v>721</v>
      </c>
      <c r="D345" s="13" t="s">
        <v>721</v>
      </c>
      <c r="E345" s="17" t="s">
        <v>148</v>
      </c>
      <c r="F345" s="17" t="s">
        <v>68</v>
      </c>
      <c r="G345" s="17" t="s">
        <v>68</v>
      </c>
      <c r="H345" s="7">
        <v>324327.63990000001</v>
      </c>
      <c r="I345" s="7">
        <v>330158.33977000002</v>
      </c>
      <c r="J345" s="80">
        <v>165.27100360209499</v>
      </c>
      <c r="K345" s="80">
        <v>-21.226002277820299</v>
      </c>
      <c r="L345" s="71">
        <v>335</v>
      </c>
      <c r="M345" s="73">
        <v>1</v>
      </c>
      <c r="N345" s="73">
        <v>1</v>
      </c>
      <c r="O345" s="73">
        <v>1</v>
      </c>
      <c r="P345" s="17" t="s">
        <v>47</v>
      </c>
      <c r="Q345" t="str">
        <f>LEFT(B345,3)</f>
        <v>GOA</v>
      </c>
    </row>
    <row r="346" spans="1:17">
      <c r="A346" s="17" t="s">
        <v>2823</v>
      </c>
      <c r="B346" s="17" t="s">
        <v>725</v>
      </c>
      <c r="C346" s="13" t="s">
        <v>727</v>
      </c>
      <c r="D346" s="13" t="s">
        <v>727</v>
      </c>
      <c r="E346" s="17" t="s">
        <v>207</v>
      </c>
      <c r="F346" s="17" t="s">
        <v>43</v>
      </c>
      <c r="G346" s="17" t="s">
        <v>43</v>
      </c>
      <c r="H346" s="7">
        <v>412267.61894000001</v>
      </c>
      <c r="I346" s="7">
        <v>257515.22717999999</v>
      </c>
      <c r="J346" s="80">
        <v>166.118717723993</v>
      </c>
      <c r="K346" s="80">
        <v>-21.883689838450099</v>
      </c>
      <c r="L346" s="71">
        <v>70</v>
      </c>
      <c r="M346" s="73">
        <v>1</v>
      </c>
      <c r="N346" s="73">
        <v>1</v>
      </c>
      <c r="O346" s="73">
        <v>1</v>
      </c>
      <c r="P346" s="17" t="s">
        <v>47</v>
      </c>
      <c r="Q346" t="str">
        <f>LEFT(B346,3)</f>
        <v>GOE</v>
      </c>
    </row>
    <row r="347" spans="1:17">
      <c r="A347" s="13" t="s">
        <v>2824</v>
      </c>
      <c r="B347" s="13" t="s">
        <v>725</v>
      </c>
      <c r="C347" s="13" t="s">
        <v>727</v>
      </c>
      <c r="D347" s="13" t="s">
        <v>727</v>
      </c>
      <c r="E347" s="17" t="s">
        <v>207</v>
      </c>
      <c r="F347" s="13" t="s">
        <v>43</v>
      </c>
      <c r="G347" s="17" t="s">
        <v>43</v>
      </c>
      <c r="H347" s="7">
        <v>412267.61894000001</v>
      </c>
      <c r="I347" s="7">
        <v>257515.22717999999</v>
      </c>
      <c r="J347" s="80">
        <v>166.118717723993</v>
      </c>
      <c r="K347" s="80">
        <v>-21.883689838450099</v>
      </c>
      <c r="L347" s="71">
        <v>180</v>
      </c>
      <c r="M347" s="73">
        <v>1</v>
      </c>
      <c r="N347" s="73">
        <v>1</v>
      </c>
      <c r="O347" s="73">
        <v>1</v>
      </c>
      <c r="P347" s="17" t="s">
        <v>47</v>
      </c>
      <c r="Q347" t="str">
        <f>LEFT(B347,3)</f>
        <v>GOE</v>
      </c>
    </row>
    <row r="348" spans="1:17">
      <c r="A348" s="17" t="s">
        <v>2825</v>
      </c>
      <c r="B348" s="17" t="s">
        <v>731</v>
      </c>
      <c r="C348" s="13" t="s">
        <v>732</v>
      </c>
      <c r="D348" s="13" t="s">
        <v>732</v>
      </c>
      <c r="E348" s="17" t="s">
        <v>79</v>
      </c>
      <c r="F348" s="17" t="s">
        <v>68</v>
      </c>
      <c r="G348" s="17" t="s">
        <v>68</v>
      </c>
      <c r="H348" s="7">
        <v>338582.97837000003</v>
      </c>
      <c r="I348" s="7">
        <v>344678.13455000002</v>
      </c>
      <c r="J348" s="80">
        <v>165.40885855100399</v>
      </c>
      <c r="K348" s="80">
        <v>-21.095392983087201</v>
      </c>
      <c r="L348" s="71">
        <v>88</v>
      </c>
      <c r="M348" s="73">
        <v>1</v>
      </c>
      <c r="N348" s="73">
        <v>1</v>
      </c>
      <c r="O348" s="73">
        <v>1</v>
      </c>
      <c r="P348" s="17" t="s">
        <v>47</v>
      </c>
      <c r="Q348" t="str">
        <f>LEFT(B348,3)</f>
        <v>GOG</v>
      </c>
    </row>
    <row r="349" spans="1:17">
      <c r="A349" s="17" t="s">
        <v>2826</v>
      </c>
      <c r="B349" s="17" t="s">
        <v>731</v>
      </c>
      <c r="C349" s="13" t="s">
        <v>732</v>
      </c>
      <c r="D349" s="13" t="s">
        <v>732</v>
      </c>
      <c r="E349" s="17" t="s">
        <v>79</v>
      </c>
      <c r="F349" s="17" t="s">
        <v>68</v>
      </c>
      <c r="G349" s="17" t="s">
        <v>68</v>
      </c>
      <c r="H349" s="7">
        <v>338582.97837000003</v>
      </c>
      <c r="I349" s="7">
        <v>344678.13455000002</v>
      </c>
      <c r="J349" s="80">
        <v>165.40885855100399</v>
      </c>
      <c r="K349" s="80">
        <v>-21.095392983087201</v>
      </c>
      <c r="L349" s="71">
        <v>204</v>
      </c>
      <c r="M349" s="73">
        <v>1</v>
      </c>
      <c r="N349" s="73">
        <v>1</v>
      </c>
      <c r="O349" s="73">
        <v>1</v>
      </c>
      <c r="P349" s="17" t="s">
        <v>47</v>
      </c>
      <c r="Q349" t="str">
        <f>LEFT(B349,3)</f>
        <v>GOG</v>
      </c>
    </row>
    <row r="350" spans="1:17">
      <c r="A350" s="17" t="s">
        <v>2827</v>
      </c>
      <c r="B350" s="17" t="s">
        <v>731</v>
      </c>
      <c r="C350" s="13" t="s">
        <v>732</v>
      </c>
      <c r="D350" s="13" t="s">
        <v>732</v>
      </c>
      <c r="E350" s="17" t="s">
        <v>79</v>
      </c>
      <c r="F350" s="17" t="s">
        <v>68</v>
      </c>
      <c r="G350" s="17" t="s">
        <v>68</v>
      </c>
      <c r="H350" s="7">
        <v>338582.97837000003</v>
      </c>
      <c r="I350" s="7">
        <v>344678.13455000002</v>
      </c>
      <c r="J350" s="80">
        <v>165.40885855100399</v>
      </c>
      <c r="K350" s="80">
        <v>-21.095392983087201</v>
      </c>
      <c r="L350" s="71">
        <v>330</v>
      </c>
      <c r="M350" s="73">
        <v>1</v>
      </c>
      <c r="N350" s="73">
        <v>1</v>
      </c>
      <c r="O350" s="73">
        <v>1</v>
      </c>
      <c r="P350" s="17" t="s">
        <v>47</v>
      </c>
      <c r="Q350" t="str">
        <f>LEFT(B350,3)</f>
        <v>GOG</v>
      </c>
    </row>
    <row r="351" spans="1:17">
      <c r="A351" s="2" t="s">
        <v>2828</v>
      </c>
      <c r="B351" s="2" t="s">
        <v>735</v>
      </c>
      <c r="C351" s="2" t="s">
        <v>736</v>
      </c>
      <c r="D351" s="2" t="s">
        <v>736</v>
      </c>
      <c r="E351" s="2" t="s">
        <v>437</v>
      </c>
      <c r="F351" s="2" t="s">
        <v>68</v>
      </c>
      <c r="G351" s="2" t="s">
        <v>68</v>
      </c>
      <c r="H351" s="2">
        <v>232976</v>
      </c>
      <c r="I351" s="2">
        <v>391292</v>
      </c>
      <c r="J351" s="79">
        <v>164.39704</v>
      </c>
      <c r="K351" s="79">
        <v>-20.667660000000001</v>
      </c>
      <c r="L351" s="71">
        <v>0</v>
      </c>
      <c r="M351" s="73">
        <v>1</v>
      </c>
      <c r="N351" s="73">
        <v>1</v>
      </c>
      <c r="O351" s="73">
        <v>0</v>
      </c>
      <c r="P351" s="17" t="s">
        <v>47</v>
      </c>
      <c r="Q351" t="str">
        <f>LEFT(B351,3)</f>
        <v>GOM</v>
      </c>
    </row>
    <row r="352" spans="1:17">
      <c r="A352" s="2" t="s">
        <v>2829</v>
      </c>
      <c r="B352" s="2" t="s">
        <v>735</v>
      </c>
      <c r="C352" s="2" t="s">
        <v>736</v>
      </c>
      <c r="D352" s="2" t="s">
        <v>736</v>
      </c>
      <c r="E352" s="2" t="s">
        <v>437</v>
      </c>
      <c r="F352" s="2" t="s">
        <v>68</v>
      </c>
      <c r="G352" s="2" t="s">
        <v>68</v>
      </c>
      <c r="H352" s="2">
        <v>232976</v>
      </c>
      <c r="I352" s="2">
        <v>391292</v>
      </c>
      <c r="J352" s="79">
        <v>164.39704</v>
      </c>
      <c r="K352" s="79">
        <v>-20.667660000000001</v>
      </c>
      <c r="L352" s="71">
        <v>120</v>
      </c>
      <c r="M352" s="73">
        <v>1</v>
      </c>
      <c r="N352" s="73">
        <v>1</v>
      </c>
      <c r="O352" s="73">
        <v>0</v>
      </c>
      <c r="P352" s="17" t="s">
        <v>47</v>
      </c>
      <c r="Q352" t="str">
        <f>LEFT(B352,3)</f>
        <v>GOM</v>
      </c>
    </row>
    <row r="353" spans="1:17">
      <c r="A353" s="2" t="s">
        <v>2830</v>
      </c>
      <c r="B353" s="2" t="s">
        <v>735</v>
      </c>
      <c r="C353" s="2" t="s">
        <v>736</v>
      </c>
      <c r="D353" s="2" t="s">
        <v>736</v>
      </c>
      <c r="E353" s="2" t="s">
        <v>437</v>
      </c>
      <c r="F353" s="2" t="s">
        <v>68</v>
      </c>
      <c r="G353" s="2" t="s">
        <v>68</v>
      </c>
      <c r="H353" s="2">
        <v>232976</v>
      </c>
      <c r="I353" s="2">
        <v>391292</v>
      </c>
      <c r="J353" s="79">
        <v>164.39704</v>
      </c>
      <c r="K353" s="79">
        <v>-20.667660000000001</v>
      </c>
      <c r="L353" s="71">
        <v>240</v>
      </c>
      <c r="M353" s="73">
        <v>1</v>
      </c>
      <c r="N353" s="73">
        <v>1</v>
      </c>
      <c r="O353" s="73">
        <v>0</v>
      </c>
      <c r="P353" s="17" t="s">
        <v>47</v>
      </c>
      <c r="Q353" t="str">
        <f>LEFT(B353,3)</f>
        <v>GOM</v>
      </c>
    </row>
    <row r="354" spans="1:17">
      <c r="A354" s="17" t="s">
        <v>2831</v>
      </c>
      <c r="B354" s="17" t="s">
        <v>739</v>
      </c>
      <c r="C354" s="13" t="s">
        <v>740</v>
      </c>
      <c r="D354" s="13" t="s">
        <v>740</v>
      </c>
      <c r="E354" s="17" t="s">
        <v>142</v>
      </c>
      <c r="F354" s="17" t="s">
        <v>43</v>
      </c>
      <c r="G354" s="17" t="s">
        <v>43</v>
      </c>
      <c r="H354" s="7">
        <v>504085.03035999998</v>
      </c>
      <c r="I354" s="7">
        <v>209053.37104999999</v>
      </c>
      <c r="J354" s="80">
        <v>167.01024984292701</v>
      </c>
      <c r="K354" s="80">
        <v>-22.318368225896599</v>
      </c>
      <c r="L354" s="71">
        <v>30</v>
      </c>
      <c r="M354" s="73">
        <v>1</v>
      </c>
      <c r="N354" s="73">
        <v>1</v>
      </c>
      <c r="O354" s="73">
        <v>1</v>
      </c>
      <c r="P354" s="17" t="s">
        <v>47</v>
      </c>
      <c r="Q354" t="str">
        <f>LEFT(B354,3)</f>
        <v>GOR</v>
      </c>
    </row>
    <row r="355" spans="1:17">
      <c r="A355" s="17" t="s">
        <v>2832</v>
      </c>
      <c r="B355" s="17" t="s">
        <v>739</v>
      </c>
      <c r="C355" s="13" t="s">
        <v>740</v>
      </c>
      <c r="D355" s="13" t="s">
        <v>740</v>
      </c>
      <c r="E355" s="17" t="s">
        <v>142</v>
      </c>
      <c r="F355" s="17" t="s">
        <v>43</v>
      </c>
      <c r="G355" s="17" t="s">
        <v>43</v>
      </c>
      <c r="H355" s="7">
        <v>504085.03035999998</v>
      </c>
      <c r="I355" s="7">
        <v>209053.37104999999</v>
      </c>
      <c r="J355" s="80">
        <v>167.01024984292701</v>
      </c>
      <c r="K355" s="80">
        <v>-22.318368225896599</v>
      </c>
      <c r="L355" s="71">
        <v>185</v>
      </c>
      <c r="M355" s="73">
        <v>1</v>
      </c>
      <c r="N355" s="73">
        <v>1</v>
      </c>
      <c r="O355" s="73">
        <v>1</v>
      </c>
      <c r="P355" s="17" t="s">
        <v>47</v>
      </c>
      <c r="Q355" t="str">
        <f>LEFT(B355,3)</f>
        <v>GOR</v>
      </c>
    </row>
    <row r="356" spans="1:17">
      <c r="A356" s="17" t="s">
        <v>2833</v>
      </c>
      <c r="B356" s="17" t="s">
        <v>743</v>
      </c>
      <c r="C356" s="13" t="s">
        <v>744</v>
      </c>
      <c r="D356" s="13" t="s">
        <v>744</v>
      </c>
      <c r="E356" s="17" t="s">
        <v>128</v>
      </c>
      <c r="F356" s="17" t="s">
        <v>129</v>
      </c>
      <c r="G356" s="17" t="s">
        <v>129</v>
      </c>
      <c r="H356" s="7">
        <v>464733.83013000002</v>
      </c>
      <c r="I356" s="7">
        <v>415480.58575999999</v>
      </c>
      <c r="J356" s="80">
        <v>166.620363025708</v>
      </c>
      <c r="K356" s="80">
        <v>-20.455756716792301</v>
      </c>
      <c r="L356" s="71">
        <v>0</v>
      </c>
      <c r="M356" s="73">
        <v>1</v>
      </c>
      <c r="N356" s="73">
        <v>1</v>
      </c>
      <c r="O356" s="73">
        <v>1</v>
      </c>
      <c r="P356" s="17" t="s">
        <v>47</v>
      </c>
      <c r="Q356" t="str">
        <f>LEFT(B356,3)</f>
        <v>GOS</v>
      </c>
    </row>
    <row r="357" spans="1:17">
      <c r="A357" s="17" t="s">
        <v>2834</v>
      </c>
      <c r="B357" s="17" t="s">
        <v>743</v>
      </c>
      <c r="C357" s="13" t="s">
        <v>744</v>
      </c>
      <c r="D357" s="13" t="s">
        <v>744</v>
      </c>
      <c r="E357" s="17" t="s">
        <v>128</v>
      </c>
      <c r="F357" s="17" t="s">
        <v>129</v>
      </c>
      <c r="G357" s="17" t="s">
        <v>129</v>
      </c>
      <c r="H357" s="7">
        <v>464733.83013000002</v>
      </c>
      <c r="I357" s="7">
        <v>415480.58575999999</v>
      </c>
      <c r="J357" s="80">
        <v>166.620363025708</v>
      </c>
      <c r="K357" s="80">
        <v>-20.455756716792301</v>
      </c>
      <c r="L357" s="71">
        <v>161</v>
      </c>
      <c r="M357" s="73">
        <v>1</v>
      </c>
      <c r="N357" s="73">
        <v>1</v>
      </c>
      <c r="O357" s="73">
        <v>1</v>
      </c>
      <c r="P357" s="17" t="s">
        <v>47</v>
      </c>
      <c r="Q357" t="str">
        <f>LEFT(B357,3)</f>
        <v>GOS</v>
      </c>
    </row>
    <row r="358" spans="1:17">
      <c r="A358" s="17" t="s">
        <v>2835</v>
      </c>
      <c r="B358" s="17" t="s">
        <v>747</v>
      </c>
      <c r="C358" s="13" t="s">
        <v>748</v>
      </c>
      <c r="D358" s="13" t="s">
        <v>748</v>
      </c>
      <c r="E358" s="17" t="s">
        <v>79</v>
      </c>
      <c r="F358" s="17" t="s">
        <v>68</v>
      </c>
      <c r="G358" s="17" t="s">
        <v>68</v>
      </c>
      <c r="H358" s="7">
        <v>338897</v>
      </c>
      <c r="I358" s="7">
        <v>345188</v>
      </c>
      <c r="J358" s="80">
        <v>165.41189900000001</v>
      </c>
      <c r="K358" s="80">
        <v>-21.090796999999998</v>
      </c>
      <c r="L358" s="71">
        <v>10</v>
      </c>
      <c r="M358" s="73">
        <v>1</v>
      </c>
      <c r="N358" s="73">
        <v>1</v>
      </c>
      <c r="O358" s="73">
        <v>0</v>
      </c>
      <c r="P358" s="17" t="s">
        <v>47</v>
      </c>
      <c r="Q358" t="str">
        <f>LEFT(B358,3)</f>
        <v>GOT</v>
      </c>
    </row>
    <row r="359" spans="1:17">
      <c r="A359" s="17" t="s">
        <v>2836</v>
      </c>
      <c r="B359" s="17" t="s">
        <v>747</v>
      </c>
      <c r="C359" s="13" t="s">
        <v>748</v>
      </c>
      <c r="D359" s="13" t="s">
        <v>748</v>
      </c>
      <c r="E359" s="17" t="s">
        <v>79</v>
      </c>
      <c r="F359" s="17" t="s">
        <v>68</v>
      </c>
      <c r="G359" s="17" t="s">
        <v>68</v>
      </c>
      <c r="H359" s="7">
        <v>338897</v>
      </c>
      <c r="I359" s="7">
        <v>345188</v>
      </c>
      <c r="J359" s="80">
        <v>165.41189900000001</v>
      </c>
      <c r="K359" s="80">
        <v>-21.090796999999998</v>
      </c>
      <c r="L359" s="71">
        <v>105</v>
      </c>
      <c r="M359" s="73">
        <v>1</v>
      </c>
      <c r="N359" s="73">
        <v>1</v>
      </c>
      <c r="O359" s="73">
        <v>0</v>
      </c>
      <c r="P359" s="17" t="s">
        <v>47</v>
      </c>
      <c r="Q359" t="str">
        <f>LEFT(B359,3)</f>
        <v>GOT</v>
      </c>
    </row>
    <row r="360" spans="1:17">
      <c r="A360" s="17" t="s">
        <v>2837</v>
      </c>
      <c r="B360" s="17" t="s">
        <v>747</v>
      </c>
      <c r="C360" s="13" t="s">
        <v>748</v>
      </c>
      <c r="D360" s="13" t="s">
        <v>748</v>
      </c>
      <c r="E360" s="17" t="s">
        <v>79</v>
      </c>
      <c r="F360" s="17" t="s">
        <v>68</v>
      </c>
      <c r="G360" s="17" t="s">
        <v>68</v>
      </c>
      <c r="H360" s="7">
        <v>338897</v>
      </c>
      <c r="I360" s="7">
        <v>345188</v>
      </c>
      <c r="J360" s="80">
        <v>165.41189900000001</v>
      </c>
      <c r="K360" s="80">
        <v>-21.090796999999998</v>
      </c>
      <c r="L360" s="71">
        <v>300</v>
      </c>
      <c r="M360" s="73">
        <v>1</v>
      </c>
      <c r="N360" s="73">
        <v>1</v>
      </c>
      <c r="O360" s="73">
        <v>0</v>
      </c>
      <c r="P360" s="17" t="s">
        <v>47</v>
      </c>
      <c r="Q360" t="str">
        <f>LEFT(B360,3)</f>
        <v>GOT</v>
      </c>
    </row>
    <row r="361" spans="1:17">
      <c r="A361" s="17" t="s">
        <v>2838</v>
      </c>
      <c r="B361" s="17" t="s">
        <v>751</v>
      </c>
      <c r="C361" s="13" t="s">
        <v>595</v>
      </c>
      <c r="D361" s="13" t="s">
        <v>595</v>
      </c>
      <c r="E361" s="17" t="s">
        <v>191</v>
      </c>
      <c r="F361" s="13" t="s">
        <v>43</v>
      </c>
      <c r="G361" s="17" t="s">
        <v>43</v>
      </c>
      <c r="H361" s="7">
        <v>339906.23191999999</v>
      </c>
      <c r="I361" s="7">
        <v>289696.11891000002</v>
      </c>
      <c r="J361" s="80">
        <v>165.41962766766699</v>
      </c>
      <c r="K361" s="80">
        <v>-21.592062222646799</v>
      </c>
      <c r="L361" s="71">
        <v>115</v>
      </c>
      <c r="M361" s="73">
        <v>1</v>
      </c>
      <c r="N361" s="73">
        <v>1</v>
      </c>
      <c r="O361" s="73">
        <v>1</v>
      </c>
      <c r="P361" s="17" t="s">
        <v>47</v>
      </c>
      <c r="Q361" t="str">
        <f>LEFT(B361,3)</f>
        <v>GOU</v>
      </c>
    </row>
    <row r="362" spans="1:17">
      <c r="A362" s="17" t="s">
        <v>2839</v>
      </c>
      <c r="B362" s="17" t="s">
        <v>751</v>
      </c>
      <c r="C362" s="13" t="s">
        <v>595</v>
      </c>
      <c r="D362" s="13" t="s">
        <v>595</v>
      </c>
      <c r="E362" s="17" t="s">
        <v>191</v>
      </c>
      <c r="F362" s="13" t="s">
        <v>43</v>
      </c>
      <c r="G362" s="17" t="s">
        <v>43</v>
      </c>
      <c r="H362" s="7">
        <v>339906.23191999999</v>
      </c>
      <c r="I362" s="7">
        <v>289696.11891000002</v>
      </c>
      <c r="J362" s="80">
        <v>165.41962766766699</v>
      </c>
      <c r="K362" s="80">
        <v>-21.592062222646799</v>
      </c>
      <c r="L362" s="71">
        <v>230</v>
      </c>
      <c r="M362" s="73">
        <v>1</v>
      </c>
      <c r="N362" s="73">
        <v>1</v>
      </c>
      <c r="O362" s="73">
        <v>1</v>
      </c>
      <c r="P362" s="17" t="s">
        <v>47</v>
      </c>
      <c r="Q362" t="str">
        <f>LEFT(B362,3)</f>
        <v>GOU</v>
      </c>
    </row>
    <row r="363" spans="1:17">
      <c r="A363" s="17" t="s">
        <v>2840</v>
      </c>
      <c r="B363" s="17" t="s">
        <v>751</v>
      </c>
      <c r="C363" s="13" t="s">
        <v>595</v>
      </c>
      <c r="D363" s="13" t="s">
        <v>595</v>
      </c>
      <c r="E363" s="17" t="s">
        <v>191</v>
      </c>
      <c r="F363" s="13" t="s">
        <v>43</v>
      </c>
      <c r="G363" s="17" t="s">
        <v>43</v>
      </c>
      <c r="H363" s="7">
        <v>339906.23191999999</v>
      </c>
      <c r="I363" s="7">
        <v>289696.11891000002</v>
      </c>
      <c r="J363" s="80">
        <v>165.41962766766699</v>
      </c>
      <c r="K363" s="80">
        <v>-21.592062222646799</v>
      </c>
      <c r="L363" s="71">
        <v>325</v>
      </c>
      <c r="M363" s="73">
        <v>1</v>
      </c>
      <c r="N363" s="73">
        <v>1</v>
      </c>
      <c r="O363" s="73">
        <v>1</v>
      </c>
      <c r="P363" s="17" t="s">
        <v>47</v>
      </c>
      <c r="Q363" t="str">
        <f>LEFT(B363,3)</f>
        <v>GOU</v>
      </c>
    </row>
    <row r="364" spans="1:17">
      <c r="A364" s="17" t="s">
        <v>2841</v>
      </c>
      <c r="B364" s="17" t="s">
        <v>754</v>
      </c>
      <c r="C364" s="13" t="s">
        <v>755</v>
      </c>
      <c r="D364" s="13" t="s">
        <v>756</v>
      </c>
      <c r="E364" s="17" t="s">
        <v>79</v>
      </c>
      <c r="F364" s="17" t="s">
        <v>68</v>
      </c>
      <c r="G364" s="17" t="s">
        <v>68</v>
      </c>
      <c r="H364" s="7">
        <v>333274</v>
      </c>
      <c r="I364" s="7">
        <v>344390</v>
      </c>
      <c r="J364" s="79">
        <v>165.35774799999999</v>
      </c>
      <c r="K364" s="79">
        <v>-21.097805000000001</v>
      </c>
      <c r="L364" s="71">
        <v>0</v>
      </c>
      <c r="M364" s="73">
        <v>1</v>
      </c>
      <c r="N364" s="73">
        <v>1</v>
      </c>
      <c r="O364" s="73">
        <v>0</v>
      </c>
      <c r="P364" s="17" t="s">
        <v>47</v>
      </c>
      <c r="Q364" t="str">
        <f>LEFT(B364,3)</f>
        <v>GOY</v>
      </c>
    </row>
    <row r="365" spans="1:17">
      <c r="A365" s="17" t="s">
        <v>2842</v>
      </c>
      <c r="B365" s="17" t="s">
        <v>759</v>
      </c>
      <c r="C365" s="13" t="s">
        <v>762</v>
      </c>
      <c r="D365" s="13" t="s">
        <v>762</v>
      </c>
      <c r="E365" s="17" t="s">
        <v>142</v>
      </c>
      <c r="F365" s="17" t="s">
        <v>43</v>
      </c>
      <c r="G365" s="17" t="s">
        <v>43</v>
      </c>
      <c r="H365" s="7">
        <v>504803.11007</v>
      </c>
      <c r="I365" s="7">
        <v>212975.83945999999</v>
      </c>
      <c r="J365" s="80">
        <v>167.01697085851501</v>
      </c>
      <c r="K365" s="80">
        <v>-22.282899514580901</v>
      </c>
      <c r="L365" s="71">
        <v>10</v>
      </c>
      <c r="M365" s="73">
        <v>1</v>
      </c>
      <c r="N365" s="73">
        <v>1</v>
      </c>
      <c r="O365" s="73">
        <v>1</v>
      </c>
      <c r="P365" s="17" t="s">
        <v>47</v>
      </c>
      <c r="Q365" t="str">
        <f>LEFT(B365,3)</f>
        <v>GRT</v>
      </c>
    </row>
    <row r="366" spans="1:17">
      <c r="A366" s="17" t="s">
        <v>2843</v>
      </c>
      <c r="B366" s="17" t="s">
        <v>759</v>
      </c>
      <c r="C366" s="13" t="s">
        <v>762</v>
      </c>
      <c r="D366" s="13" t="s">
        <v>762</v>
      </c>
      <c r="E366" s="17" t="s">
        <v>142</v>
      </c>
      <c r="F366" s="17" t="s">
        <v>43</v>
      </c>
      <c r="G366" s="17" t="s">
        <v>43</v>
      </c>
      <c r="H366" s="7">
        <v>504803.11007</v>
      </c>
      <c r="I366" s="7">
        <v>212975.83945999999</v>
      </c>
      <c r="J366" s="80">
        <v>167.01697085851501</v>
      </c>
      <c r="K366" s="80">
        <v>-22.282899514580901</v>
      </c>
      <c r="L366" s="71">
        <v>225</v>
      </c>
      <c r="M366" s="73">
        <v>1</v>
      </c>
      <c r="N366" s="73">
        <v>1</v>
      </c>
      <c r="O366" s="73">
        <v>1</v>
      </c>
      <c r="P366" s="17" t="s">
        <v>47</v>
      </c>
      <c r="Q366" t="str">
        <f>LEFT(B366,3)</f>
        <v>GRT</v>
      </c>
    </row>
    <row r="367" spans="1:17">
      <c r="A367" s="2" t="s">
        <v>2844</v>
      </c>
      <c r="B367" s="2" t="s">
        <v>764</v>
      </c>
      <c r="C367" s="2" t="s">
        <v>765</v>
      </c>
      <c r="D367" s="2" t="s">
        <v>765</v>
      </c>
      <c r="E367" s="2" t="s">
        <v>29</v>
      </c>
      <c r="F367" s="2" t="s">
        <v>43</v>
      </c>
      <c r="G367" s="2" t="s">
        <v>30</v>
      </c>
      <c r="H367" s="2">
        <v>447299</v>
      </c>
      <c r="I367" s="2">
        <v>214082</v>
      </c>
      <c r="J367" s="79">
        <v>166.45894999999999</v>
      </c>
      <c r="K367" s="79">
        <v>-22.275359999999999</v>
      </c>
      <c r="L367" s="71">
        <v>250</v>
      </c>
      <c r="M367" s="73">
        <v>1</v>
      </c>
      <c r="N367" s="73">
        <v>1</v>
      </c>
      <c r="O367" s="73">
        <v>0</v>
      </c>
      <c r="P367" s="17" t="s">
        <v>37</v>
      </c>
      <c r="Q367" t="str">
        <f>LEFT(B367,3)</f>
        <v>GSM</v>
      </c>
    </row>
    <row r="368" spans="1:17">
      <c r="A368" s="2" t="s">
        <v>2845</v>
      </c>
      <c r="B368" s="2" t="s">
        <v>764</v>
      </c>
      <c r="C368" s="2" t="s">
        <v>765</v>
      </c>
      <c r="D368" s="2" t="s">
        <v>765</v>
      </c>
      <c r="E368" s="2" t="s">
        <v>29</v>
      </c>
      <c r="F368" s="2" t="s">
        <v>43</v>
      </c>
      <c r="G368" s="2" t="s">
        <v>30</v>
      </c>
      <c r="H368" s="2">
        <v>447299</v>
      </c>
      <c r="I368" s="2">
        <v>214082</v>
      </c>
      <c r="J368" s="79">
        <v>166.45894999999999</v>
      </c>
      <c r="K368" s="79">
        <v>-22.275359999999999</v>
      </c>
      <c r="L368" s="71">
        <v>319</v>
      </c>
      <c r="M368" s="73">
        <v>1</v>
      </c>
      <c r="N368" s="73">
        <v>1</v>
      </c>
      <c r="O368" s="73">
        <v>0</v>
      </c>
      <c r="P368" s="17" t="s">
        <v>37</v>
      </c>
      <c r="Q368" t="str">
        <f>LEFT(B368,3)</f>
        <v>GSM</v>
      </c>
    </row>
    <row r="369" spans="1:17">
      <c r="A369" s="2" t="s">
        <v>2846</v>
      </c>
      <c r="B369" s="2" t="s">
        <v>764</v>
      </c>
      <c r="C369" s="2" t="s">
        <v>765</v>
      </c>
      <c r="D369" s="2" t="s">
        <v>765</v>
      </c>
      <c r="E369" s="2" t="s">
        <v>29</v>
      </c>
      <c r="F369" s="2" t="s">
        <v>43</v>
      </c>
      <c r="G369" s="2" t="s">
        <v>30</v>
      </c>
      <c r="H369" s="2">
        <v>447299</v>
      </c>
      <c r="I369" s="2">
        <v>214082</v>
      </c>
      <c r="J369" s="79">
        <v>166.45894999999999</v>
      </c>
      <c r="K369" s="79">
        <v>-22.275359999999999</v>
      </c>
      <c r="L369" s="71">
        <v>319</v>
      </c>
      <c r="M369" s="73">
        <v>1</v>
      </c>
      <c r="N369" s="73">
        <v>1</v>
      </c>
      <c r="O369" s="73">
        <v>0</v>
      </c>
      <c r="P369" s="17" t="s">
        <v>37</v>
      </c>
      <c r="Q369" t="str">
        <f>LEFT(B369,3)</f>
        <v>GSM</v>
      </c>
    </row>
    <row r="370" spans="1:17">
      <c r="A370" s="17" t="s">
        <v>2847</v>
      </c>
      <c r="B370" s="17" t="s">
        <v>768</v>
      </c>
      <c r="C370" s="13" t="s">
        <v>769</v>
      </c>
      <c r="D370" s="13" t="s">
        <v>769</v>
      </c>
      <c r="E370" s="17" t="s">
        <v>29</v>
      </c>
      <c r="F370" s="17" t="s">
        <v>43</v>
      </c>
      <c r="G370" s="17" t="s">
        <v>30</v>
      </c>
      <c r="H370" s="7">
        <v>450035</v>
      </c>
      <c r="I370" s="7">
        <v>216752</v>
      </c>
      <c r="J370" s="80">
        <v>166.48541327123201</v>
      </c>
      <c r="K370" s="80">
        <v>-22.251176228817101</v>
      </c>
      <c r="L370" s="71">
        <v>0</v>
      </c>
      <c r="M370" s="73">
        <v>3</v>
      </c>
      <c r="N370" s="73">
        <v>2</v>
      </c>
      <c r="O370" s="73">
        <v>1</v>
      </c>
      <c r="P370" s="17" t="s">
        <v>37</v>
      </c>
      <c r="Q370" t="str">
        <f>LEFT(B370,3)</f>
        <v>GTI</v>
      </c>
    </row>
    <row r="371" spans="1:17">
      <c r="A371" s="17" t="s">
        <v>2848</v>
      </c>
      <c r="B371" s="17" t="s">
        <v>768</v>
      </c>
      <c r="C371" s="13" t="s">
        <v>769</v>
      </c>
      <c r="D371" s="13" t="s">
        <v>769</v>
      </c>
      <c r="E371" s="17" t="s">
        <v>29</v>
      </c>
      <c r="F371" s="17" t="s">
        <v>43</v>
      </c>
      <c r="G371" s="17" t="s">
        <v>30</v>
      </c>
      <c r="H371" s="7">
        <v>450035</v>
      </c>
      <c r="I371" s="7">
        <v>216752</v>
      </c>
      <c r="J371" s="80">
        <v>166.48541327123201</v>
      </c>
      <c r="K371" s="80">
        <v>-22.251176228817101</v>
      </c>
      <c r="L371" s="71">
        <v>120</v>
      </c>
      <c r="M371" s="73">
        <v>3</v>
      </c>
      <c r="N371" s="73">
        <v>2</v>
      </c>
      <c r="O371" s="73">
        <v>1</v>
      </c>
      <c r="P371" s="17" t="s">
        <v>37</v>
      </c>
      <c r="Q371" t="str">
        <f>LEFT(B371,3)</f>
        <v>GTI</v>
      </c>
    </row>
    <row r="372" spans="1:17">
      <c r="A372" s="17" t="s">
        <v>2849</v>
      </c>
      <c r="B372" s="17" t="s">
        <v>768</v>
      </c>
      <c r="C372" s="13" t="s">
        <v>769</v>
      </c>
      <c r="D372" s="13" t="s">
        <v>769</v>
      </c>
      <c r="E372" s="17" t="s">
        <v>29</v>
      </c>
      <c r="F372" s="17" t="s">
        <v>43</v>
      </c>
      <c r="G372" s="17" t="s">
        <v>30</v>
      </c>
      <c r="H372" s="7">
        <v>450035</v>
      </c>
      <c r="I372" s="7">
        <v>216752</v>
      </c>
      <c r="J372" s="80">
        <v>166.48541327123201</v>
      </c>
      <c r="K372" s="80">
        <v>-22.251176228817101</v>
      </c>
      <c r="L372" s="71">
        <v>240</v>
      </c>
      <c r="M372" s="73">
        <v>3</v>
      </c>
      <c r="N372" s="73">
        <v>2</v>
      </c>
      <c r="O372" s="73">
        <v>1</v>
      </c>
      <c r="P372" s="17" t="s">
        <v>37</v>
      </c>
      <c r="Q372" t="str">
        <f>LEFT(B372,3)</f>
        <v>GTI</v>
      </c>
    </row>
    <row r="373" spans="1:17">
      <c r="A373" s="17" t="s">
        <v>2850</v>
      </c>
      <c r="B373" s="17" t="s">
        <v>772</v>
      </c>
      <c r="C373" s="13" t="s">
        <v>773</v>
      </c>
      <c r="D373" s="13" t="s">
        <v>773</v>
      </c>
      <c r="E373" s="17" t="s">
        <v>29</v>
      </c>
      <c r="F373" s="17" t="s">
        <v>43</v>
      </c>
      <c r="G373" s="17" t="s">
        <v>30</v>
      </c>
      <c r="H373" s="7">
        <v>448516.38546000002</v>
      </c>
      <c r="I373" s="7">
        <v>216470.29506999999</v>
      </c>
      <c r="J373" s="80">
        <v>166.47068505937699</v>
      </c>
      <c r="K373" s="80">
        <v>-22.253764866267399</v>
      </c>
      <c r="L373" s="71">
        <v>256</v>
      </c>
      <c r="M373" s="73">
        <v>1</v>
      </c>
      <c r="N373" s="73">
        <v>1</v>
      </c>
      <c r="O373" s="73">
        <v>1</v>
      </c>
      <c r="P373" s="17" t="s">
        <v>37</v>
      </c>
      <c r="Q373" t="str">
        <f>LEFT(B373,3)</f>
        <v>GVA</v>
      </c>
    </row>
    <row r="374" spans="1:17">
      <c r="A374" s="17" t="s">
        <v>2851</v>
      </c>
      <c r="B374" s="17" t="s">
        <v>778</v>
      </c>
      <c r="C374" s="13" t="s">
        <v>779</v>
      </c>
      <c r="D374" s="13" t="s">
        <v>779</v>
      </c>
      <c r="E374" s="17" t="s">
        <v>373</v>
      </c>
      <c r="F374" s="17" t="s">
        <v>129</v>
      </c>
      <c r="G374" s="17" t="s">
        <v>129</v>
      </c>
      <c r="H374" s="7">
        <v>527066.95438999997</v>
      </c>
      <c r="I374" s="7">
        <v>362525.03587999998</v>
      </c>
      <c r="J374" s="80">
        <v>167.22166422328701</v>
      </c>
      <c r="K374" s="80">
        <v>-20.930751546683201</v>
      </c>
      <c r="L374" s="71">
        <v>55</v>
      </c>
      <c r="M374" s="73">
        <v>1</v>
      </c>
      <c r="N374" s="73">
        <v>1</v>
      </c>
      <c r="O374" s="73">
        <v>1</v>
      </c>
      <c r="P374" s="17" t="s">
        <v>47</v>
      </c>
      <c r="Q374" t="str">
        <f>LEFT(B374,3)</f>
        <v>HAN</v>
      </c>
    </row>
    <row r="375" spans="1:17">
      <c r="A375" s="17" t="s">
        <v>2852</v>
      </c>
      <c r="B375" s="17" t="s">
        <v>778</v>
      </c>
      <c r="C375" s="13" t="s">
        <v>779</v>
      </c>
      <c r="D375" s="13" t="s">
        <v>779</v>
      </c>
      <c r="E375" s="17" t="s">
        <v>373</v>
      </c>
      <c r="F375" s="17" t="s">
        <v>129</v>
      </c>
      <c r="G375" s="17" t="s">
        <v>129</v>
      </c>
      <c r="H375" s="7">
        <v>527066.95438999997</v>
      </c>
      <c r="I375" s="7">
        <v>362525.03587999998</v>
      </c>
      <c r="J375" s="80">
        <v>167.22166422328701</v>
      </c>
      <c r="K375" s="80">
        <v>-20.930751546683201</v>
      </c>
      <c r="L375" s="71">
        <v>235</v>
      </c>
      <c r="M375" s="73">
        <v>1</v>
      </c>
      <c r="N375" s="73">
        <v>1</v>
      </c>
      <c r="O375" s="73">
        <v>1</v>
      </c>
      <c r="P375" s="17" t="s">
        <v>47</v>
      </c>
      <c r="Q375" t="str">
        <f>LEFT(B375,3)</f>
        <v>HAN</v>
      </c>
    </row>
    <row r="376" spans="1:17">
      <c r="A376" s="17" t="s">
        <v>2853</v>
      </c>
      <c r="B376" s="17" t="s">
        <v>782</v>
      </c>
      <c r="C376" s="13" t="s">
        <v>783</v>
      </c>
      <c r="D376" s="13" t="s">
        <v>783</v>
      </c>
      <c r="E376" s="17" t="s">
        <v>373</v>
      </c>
      <c r="F376" s="17" t="s">
        <v>129</v>
      </c>
      <c r="G376" s="17" t="s">
        <v>129</v>
      </c>
      <c r="H376" s="7">
        <v>519904.95298</v>
      </c>
      <c r="I376" s="7">
        <v>362017.33224999998</v>
      </c>
      <c r="J376" s="80">
        <v>167.152844971755</v>
      </c>
      <c r="K376" s="80">
        <v>-20.935831293264702</v>
      </c>
      <c r="L376" s="71">
        <v>107</v>
      </c>
      <c r="M376" s="73">
        <v>1</v>
      </c>
      <c r="N376" s="73">
        <v>1</v>
      </c>
      <c r="O376" s="73">
        <v>1</v>
      </c>
      <c r="P376" s="17" t="s">
        <v>47</v>
      </c>
      <c r="Q376" t="str">
        <f>LEFT(B376,3)</f>
        <v>HAP</v>
      </c>
    </row>
    <row r="377" spans="1:17">
      <c r="A377" s="17" t="s">
        <v>2854</v>
      </c>
      <c r="B377" s="17" t="s">
        <v>782</v>
      </c>
      <c r="C377" s="13" t="s">
        <v>783</v>
      </c>
      <c r="D377" s="13" t="s">
        <v>783</v>
      </c>
      <c r="E377" s="17" t="s">
        <v>373</v>
      </c>
      <c r="F377" s="17" t="s">
        <v>129</v>
      </c>
      <c r="G377" s="17" t="s">
        <v>129</v>
      </c>
      <c r="H377" s="7">
        <v>519904.95298</v>
      </c>
      <c r="I377" s="7">
        <v>362017.33224999998</v>
      </c>
      <c r="J377" s="80">
        <v>167.152844971755</v>
      </c>
      <c r="K377" s="80">
        <v>-20.935831293264702</v>
      </c>
      <c r="L377" s="71">
        <v>291</v>
      </c>
      <c r="M377" s="73">
        <v>1</v>
      </c>
      <c r="N377" s="73">
        <v>1</v>
      </c>
      <c r="O377" s="73">
        <v>1</v>
      </c>
      <c r="P377" s="17" t="s">
        <v>47</v>
      </c>
      <c r="Q377" t="str">
        <f>LEFT(B377,3)</f>
        <v>HAP</v>
      </c>
    </row>
    <row r="378" spans="1:17">
      <c r="A378" s="17" t="s">
        <v>2855</v>
      </c>
      <c r="B378" s="17" t="s">
        <v>786</v>
      </c>
      <c r="C378" s="13" t="s">
        <v>787</v>
      </c>
      <c r="D378" s="13" t="s">
        <v>787</v>
      </c>
      <c r="E378" s="17" t="s">
        <v>373</v>
      </c>
      <c r="F378" s="17" t="s">
        <v>129</v>
      </c>
      <c r="G378" s="17" t="s">
        <v>129</v>
      </c>
      <c r="H378" s="7">
        <v>525573.03034000006</v>
      </c>
      <c r="I378" s="7">
        <v>385655.26708999998</v>
      </c>
      <c r="J378" s="80">
        <v>167.20558603104101</v>
      </c>
      <c r="K378" s="80">
        <v>-20.7219399214102</v>
      </c>
      <c r="L378" s="71">
        <v>44</v>
      </c>
      <c r="M378" s="73">
        <v>1</v>
      </c>
      <c r="N378" s="73">
        <v>1</v>
      </c>
      <c r="O378" s="73">
        <v>1</v>
      </c>
      <c r="P378" s="17" t="s">
        <v>47</v>
      </c>
      <c r="Q378" t="str">
        <f>LEFT(B378,3)</f>
        <v>HCM</v>
      </c>
    </row>
    <row r="379" spans="1:17">
      <c r="A379" s="17" t="s">
        <v>2856</v>
      </c>
      <c r="B379" s="17" t="s">
        <v>786</v>
      </c>
      <c r="C379" s="13" t="s">
        <v>787</v>
      </c>
      <c r="D379" s="13" t="s">
        <v>787</v>
      </c>
      <c r="E379" s="17" t="s">
        <v>373</v>
      </c>
      <c r="F379" s="17" t="s">
        <v>129</v>
      </c>
      <c r="G379" s="17" t="s">
        <v>129</v>
      </c>
      <c r="H379" s="7">
        <v>525573.03034000006</v>
      </c>
      <c r="I379" s="7">
        <v>385655.26708999998</v>
      </c>
      <c r="J379" s="80">
        <v>167.20558603104101</v>
      </c>
      <c r="K379" s="80">
        <v>-20.7219399214102</v>
      </c>
      <c r="L379" s="71">
        <v>179</v>
      </c>
      <c r="M379" s="73">
        <v>1</v>
      </c>
      <c r="N379" s="73">
        <v>1</v>
      </c>
      <c r="O379" s="73">
        <v>1</v>
      </c>
      <c r="P379" s="17" t="s">
        <v>47</v>
      </c>
      <c r="Q379" t="str">
        <f>LEFT(B379,3)</f>
        <v>HCM</v>
      </c>
    </row>
    <row r="380" spans="1:17">
      <c r="A380" s="17" t="s">
        <v>2857</v>
      </c>
      <c r="B380" s="17" t="s">
        <v>786</v>
      </c>
      <c r="C380" s="13" t="s">
        <v>787</v>
      </c>
      <c r="D380" s="13" t="s">
        <v>787</v>
      </c>
      <c r="E380" s="17" t="s">
        <v>373</v>
      </c>
      <c r="F380" s="17" t="s">
        <v>129</v>
      </c>
      <c r="G380" s="17" t="s">
        <v>129</v>
      </c>
      <c r="H380" s="7">
        <v>525573.03034000006</v>
      </c>
      <c r="I380" s="7">
        <v>385655.26708999998</v>
      </c>
      <c r="J380" s="80">
        <v>167.20558603104101</v>
      </c>
      <c r="K380" s="80">
        <v>-20.7219399214102</v>
      </c>
      <c r="L380" s="71">
        <v>301</v>
      </c>
      <c r="M380" s="73">
        <v>1</v>
      </c>
      <c r="N380" s="73">
        <v>1</v>
      </c>
      <c r="O380" s="73">
        <v>1</v>
      </c>
      <c r="P380" s="17" t="s">
        <v>47</v>
      </c>
      <c r="Q380" t="str">
        <f>LEFT(B380,3)</f>
        <v>HCM</v>
      </c>
    </row>
    <row r="381" spans="1:17">
      <c r="A381" s="17" t="s">
        <v>2858</v>
      </c>
      <c r="B381" s="17" t="s">
        <v>790</v>
      </c>
      <c r="C381" s="13" t="s">
        <v>684</v>
      </c>
      <c r="D381" s="13" t="s">
        <v>684</v>
      </c>
      <c r="E381" s="17" t="s">
        <v>684</v>
      </c>
      <c r="F381" s="17" t="s">
        <v>68</v>
      </c>
      <c r="G381" s="17" t="s">
        <v>68</v>
      </c>
      <c r="H381" s="7">
        <v>289975.05452000001</v>
      </c>
      <c r="I381" s="7">
        <v>389331.93556999997</v>
      </c>
      <c r="J381" s="80">
        <v>164.94391893983601</v>
      </c>
      <c r="K381" s="80">
        <v>-20.689744416864901</v>
      </c>
      <c r="L381" s="71">
        <v>95</v>
      </c>
      <c r="M381" s="73">
        <v>1</v>
      </c>
      <c r="N381" s="73">
        <v>1</v>
      </c>
      <c r="O381" s="73">
        <v>1</v>
      </c>
      <c r="P381" s="17" t="s">
        <v>37</v>
      </c>
      <c r="Q381" t="str">
        <f>LEFT(B381,3)</f>
        <v>HIE</v>
      </c>
    </row>
    <row r="382" spans="1:17">
      <c r="A382" s="17" t="s">
        <v>2859</v>
      </c>
      <c r="B382" s="17" t="s">
        <v>790</v>
      </c>
      <c r="C382" s="13" t="s">
        <v>684</v>
      </c>
      <c r="D382" s="13" t="s">
        <v>684</v>
      </c>
      <c r="E382" s="17" t="s">
        <v>684</v>
      </c>
      <c r="F382" s="17" t="s">
        <v>68</v>
      </c>
      <c r="G382" s="17" t="s">
        <v>68</v>
      </c>
      <c r="H382" s="7">
        <v>289975.05452000001</v>
      </c>
      <c r="I382" s="7">
        <v>389331.93556999997</v>
      </c>
      <c r="J382" s="80">
        <v>164.94391893983601</v>
      </c>
      <c r="K382" s="80">
        <v>-20.689744416864901</v>
      </c>
      <c r="L382" s="71">
        <v>186</v>
      </c>
      <c r="M382" s="73">
        <v>1</v>
      </c>
      <c r="N382" s="73">
        <v>1</v>
      </c>
      <c r="O382" s="73">
        <v>1</v>
      </c>
      <c r="P382" s="17" t="s">
        <v>37</v>
      </c>
      <c r="Q382" t="str">
        <f>LEFT(B382,3)</f>
        <v>HIE</v>
      </c>
    </row>
    <row r="383" spans="1:17">
      <c r="A383" s="17" t="s">
        <v>2860</v>
      </c>
      <c r="B383" s="17" t="s">
        <v>793</v>
      </c>
      <c r="C383" s="13" t="s">
        <v>794</v>
      </c>
      <c r="D383" s="13" t="s">
        <v>794</v>
      </c>
      <c r="E383" s="17" t="s">
        <v>373</v>
      </c>
      <c r="F383" s="17" t="s">
        <v>129</v>
      </c>
      <c r="G383" s="17" t="s">
        <v>129</v>
      </c>
      <c r="H383" s="7">
        <v>530741.97427999997</v>
      </c>
      <c r="I383" s="7">
        <v>378611.82569000003</v>
      </c>
      <c r="J383" s="80">
        <v>167.255753001736</v>
      </c>
      <c r="K383" s="80">
        <v>-20.785186165066101</v>
      </c>
      <c r="L383" s="71">
        <v>0</v>
      </c>
      <c r="M383" s="73">
        <v>2</v>
      </c>
      <c r="N383" s="73">
        <v>1</v>
      </c>
      <c r="O383" s="73">
        <v>1</v>
      </c>
      <c r="P383" s="17" t="s">
        <v>47</v>
      </c>
      <c r="Q383" t="str">
        <f>LEFT(B383,3)</f>
        <v>HLO</v>
      </c>
    </row>
    <row r="384" spans="1:17">
      <c r="A384" s="17" t="s">
        <v>2861</v>
      </c>
      <c r="B384" s="17" t="s">
        <v>793</v>
      </c>
      <c r="C384" s="13" t="s">
        <v>794</v>
      </c>
      <c r="D384" s="13" t="s">
        <v>794</v>
      </c>
      <c r="E384" s="17" t="s">
        <v>373</v>
      </c>
      <c r="F384" s="17" t="s">
        <v>129</v>
      </c>
      <c r="G384" s="17" t="s">
        <v>129</v>
      </c>
      <c r="H384" s="7">
        <v>530741.97427999997</v>
      </c>
      <c r="I384" s="7">
        <v>378611.82569000003</v>
      </c>
      <c r="J384" s="80">
        <v>167.255753001736</v>
      </c>
      <c r="K384" s="80">
        <v>-20.785186165066101</v>
      </c>
      <c r="L384" s="71">
        <v>172</v>
      </c>
      <c r="M384" s="73">
        <v>1</v>
      </c>
      <c r="N384" s="73">
        <v>1</v>
      </c>
      <c r="O384" s="73">
        <v>1</v>
      </c>
      <c r="P384" s="17" t="s">
        <v>47</v>
      </c>
      <c r="Q384" t="str">
        <f>LEFT(B384,3)</f>
        <v>HLO</v>
      </c>
    </row>
    <row r="385" spans="1:17">
      <c r="A385" s="17" t="s">
        <v>2862</v>
      </c>
      <c r="B385" s="17" t="s">
        <v>798</v>
      </c>
      <c r="C385" s="13" t="s">
        <v>799</v>
      </c>
      <c r="D385" s="13" t="s">
        <v>800</v>
      </c>
      <c r="E385" s="17" t="s">
        <v>373</v>
      </c>
      <c r="F385" s="17" t="s">
        <v>129</v>
      </c>
      <c r="G385" s="17" t="s">
        <v>129</v>
      </c>
      <c r="H385" s="7">
        <v>532265.96602000005</v>
      </c>
      <c r="I385" s="7">
        <v>350583.95520999999</v>
      </c>
      <c r="J385" s="80">
        <v>167.27258152167599</v>
      </c>
      <c r="K385" s="80">
        <v>-21.038232178157202</v>
      </c>
      <c r="L385" s="71">
        <v>20</v>
      </c>
      <c r="M385" s="73">
        <v>1</v>
      </c>
      <c r="N385" s="73">
        <v>2</v>
      </c>
      <c r="O385" s="73">
        <v>1</v>
      </c>
      <c r="P385" s="17" t="s">
        <v>47</v>
      </c>
      <c r="Q385" t="str">
        <f>LEFT(B385,3)</f>
        <v>HMK</v>
      </c>
    </row>
    <row r="386" spans="1:17">
      <c r="A386" s="17" t="s">
        <v>2863</v>
      </c>
      <c r="B386" s="17" t="s">
        <v>798</v>
      </c>
      <c r="C386" s="13" t="s">
        <v>799</v>
      </c>
      <c r="D386" s="13" t="s">
        <v>800</v>
      </c>
      <c r="E386" s="17" t="s">
        <v>373</v>
      </c>
      <c r="F386" s="17" t="s">
        <v>129</v>
      </c>
      <c r="G386" s="17" t="s">
        <v>129</v>
      </c>
      <c r="H386" s="7">
        <v>532265.96602000005</v>
      </c>
      <c r="I386" s="7">
        <v>350583.95520999999</v>
      </c>
      <c r="J386" s="80">
        <v>167.27258152167599</v>
      </c>
      <c r="K386" s="80">
        <v>-21.038232178157202</v>
      </c>
      <c r="L386" s="71">
        <v>125</v>
      </c>
      <c r="M386" s="73">
        <v>1</v>
      </c>
      <c r="N386" s="73">
        <v>2</v>
      </c>
      <c r="O386" s="73">
        <v>1</v>
      </c>
      <c r="P386" s="17" t="s">
        <v>47</v>
      </c>
      <c r="Q386" t="str">
        <f>LEFT(B386,3)</f>
        <v>HMK</v>
      </c>
    </row>
    <row r="387" spans="1:17">
      <c r="A387" s="17" t="s">
        <v>2864</v>
      </c>
      <c r="B387" s="17" t="s">
        <v>798</v>
      </c>
      <c r="C387" s="13" t="s">
        <v>799</v>
      </c>
      <c r="D387" s="13" t="s">
        <v>800</v>
      </c>
      <c r="E387" s="17" t="s">
        <v>373</v>
      </c>
      <c r="F387" s="17" t="s">
        <v>129</v>
      </c>
      <c r="G387" s="17" t="s">
        <v>129</v>
      </c>
      <c r="H387" s="7">
        <v>532265.96602000005</v>
      </c>
      <c r="I387" s="7">
        <v>350583.95520999999</v>
      </c>
      <c r="J387" s="80">
        <v>167.27258152167599</v>
      </c>
      <c r="K387" s="80">
        <v>-21.038232178157202</v>
      </c>
      <c r="L387" s="71">
        <v>245</v>
      </c>
      <c r="M387" s="73">
        <v>1</v>
      </c>
      <c r="N387" s="73">
        <v>2</v>
      </c>
      <c r="O387" s="73">
        <v>1</v>
      </c>
      <c r="P387" s="17" t="s">
        <v>47</v>
      </c>
      <c r="Q387" t="str">
        <f>LEFT(B387,3)</f>
        <v>HMK</v>
      </c>
    </row>
    <row r="388" spans="1:17">
      <c r="A388" s="17" t="s">
        <v>2865</v>
      </c>
      <c r="B388" s="17" t="s">
        <v>802</v>
      </c>
      <c r="C388" s="13" t="s">
        <v>402</v>
      </c>
      <c r="D388" s="13" t="s">
        <v>402</v>
      </c>
      <c r="E388" s="17" t="s">
        <v>402</v>
      </c>
      <c r="F388" s="17" t="s">
        <v>68</v>
      </c>
      <c r="G388" s="17" t="s">
        <v>68</v>
      </c>
      <c r="H388" s="7">
        <v>361424.87854000001</v>
      </c>
      <c r="I388" s="7">
        <v>324511.24910999998</v>
      </c>
      <c r="J388" s="80">
        <v>165.62825118309101</v>
      </c>
      <c r="K388" s="80">
        <v>-21.278188977826101</v>
      </c>
      <c r="L388" s="71">
        <v>68</v>
      </c>
      <c r="M388" s="73">
        <v>1</v>
      </c>
      <c r="N388" s="73">
        <v>2</v>
      </c>
      <c r="O388" s="73">
        <v>1</v>
      </c>
      <c r="P388" s="17" t="s">
        <v>47</v>
      </c>
      <c r="Q388" t="str">
        <f>LEFT(B388,3)</f>
        <v>HOU</v>
      </c>
    </row>
    <row r="389" spans="1:17">
      <c r="A389" s="17" t="s">
        <v>2866</v>
      </c>
      <c r="B389" s="17" t="s">
        <v>802</v>
      </c>
      <c r="C389" s="13" t="s">
        <v>402</v>
      </c>
      <c r="D389" s="13" t="s">
        <v>402</v>
      </c>
      <c r="E389" s="17" t="s">
        <v>402</v>
      </c>
      <c r="F389" s="17" t="s">
        <v>68</v>
      </c>
      <c r="G389" s="17" t="s">
        <v>68</v>
      </c>
      <c r="H389" s="7">
        <v>361424.87854000001</v>
      </c>
      <c r="I389" s="7">
        <v>324511.24910999998</v>
      </c>
      <c r="J389" s="80">
        <v>165.62825118309101</v>
      </c>
      <c r="K389" s="80">
        <v>-21.278188977826101</v>
      </c>
      <c r="L389" s="71">
        <v>128</v>
      </c>
      <c r="M389" s="73">
        <v>1</v>
      </c>
      <c r="N389" s="73">
        <v>2</v>
      </c>
      <c r="O389" s="73">
        <v>1</v>
      </c>
      <c r="P389" s="17" t="s">
        <v>47</v>
      </c>
      <c r="Q389" t="str">
        <f>LEFT(B389,3)</f>
        <v>HOU</v>
      </c>
    </row>
    <row r="390" spans="1:17">
      <c r="A390" s="17" t="s">
        <v>2867</v>
      </c>
      <c r="B390" s="17" t="s">
        <v>802</v>
      </c>
      <c r="C390" s="13" t="s">
        <v>402</v>
      </c>
      <c r="D390" s="13" t="s">
        <v>402</v>
      </c>
      <c r="E390" s="17" t="s">
        <v>402</v>
      </c>
      <c r="F390" s="17" t="s">
        <v>68</v>
      </c>
      <c r="G390" s="17" t="s">
        <v>68</v>
      </c>
      <c r="H390" s="7">
        <v>361424.87854000001</v>
      </c>
      <c r="I390" s="7">
        <v>324511.24910999998</v>
      </c>
      <c r="J390" s="80">
        <v>165.62825118309101</v>
      </c>
      <c r="K390" s="80">
        <v>-21.278188977826101</v>
      </c>
      <c r="L390" s="71">
        <v>312</v>
      </c>
      <c r="M390" s="73">
        <v>1</v>
      </c>
      <c r="N390" s="73">
        <v>2</v>
      </c>
      <c r="O390" s="73">
        <v>1</v>
      </c>
      <c r="P390" s="17" t="s">
        <v>47</v>
      </c>
      <c r="Q390" t="str">
        <f>LEFT(B390,3)</f>
        <v>HOU</v>
      </c>
    </row>
    <row r="391" spans="1:17">
      <c r="A391" s="17" t="s">
        <v>2868</v>
      </c>
      <c r="B391" s="17" t="s">
        <v>805</v>
      </c>
      <c r="C391" s="13" t="s">
        <v>806</v>
      </c>
      <c r="D391" s="13" t="s">
        <v>807</v>
      </c>
      <c r="E391" s="17" t="s">
        <v>191</v>
      </c>
      <c r="F391" s="17" t="s">
        <v>43</v>
      </c>
      <c r="G391" s="17" t="s">
        <v>43</v>
      </c>
      <c r="H391" s="7">
        <v>344119</v>
      </c>
      <c r="I391" s="7">
        <v>296014</v>
      </c>
      <c r="J391" s="8">
        <v>165.46052599999999</v>
      </c>
      <c r="K391" s="8">
        <v>-21.535132000000001</v>
      </c>
      <c r="L391" s="71">
        <v>86</v>
      </c>
      <c r="M391" s="73">
        <v>1</v>
      </c>
      <c r="N391" s="73">
        <v>1</v>
      </c>
      <c r="O391" s="73">
        <v>0</v>
      </c>
      <c r="P391" s="17" t="s">
        <v>47</v>
      </c>
      <c r="Q391" t="str">
        <f>LEFT(B391,3)</f>
        <v>HRN</v>
      </c>
    </row>
    <row r="392" spans="1:17">
      <c r="A392" s="17" t="s">
        <v>2869</v>
      </c>
      <c r="B392" s="17" t="s">
        <v>805</v>
      </c>
      <c r="C392" s="13" t="s">
        <v>806</v>
      </c>
      <c r="D392" s="13" t="s">
        <v>807</v>
      </c>
      <c r="E392" s="17" t="s">
        <v>191</v>
      </c>
      <c r="F392" s="17" t="s">
        <v>43</v>
      </c>
      <c r="G392" s="17" t="s">
        <v>43</v>
      </c>
      <c r="H392" s="7">
        <v>344119</v>
      </c>
      <c r="I392" s="7">
        <v>296014</v>
      </c>
      <c r="J392" s="8">
        <v>165.46052599999999</v>
      </c>
      <c r="K392" s="8">
        <v>-21.535132000000001</v>
      </c>
      <c r="L392" s="71">
        <v>243</v>
      </c>
      <c r="M392" s="73">
        <v>1</v>
      </c>
      <c r="N392" s="73">
        <v>1</v>
      </c>
      <c r="O392" s="73">
        <v>0</v>
      </c>
      <c r="P392" s="17" t="s">
        <v>47</v>
      </c>
      <c r="Q392" t="str">
        <f>LEFT(B392,3)</f>
        <v>HRN</v>
      </c>
    </row>
    <row r="393" spans="1:17">
      <c r="A393" s="17" t="s">
        <v>2870</v>
      </c>
      <c r="B393" s="17" t="s">
        <v>805</v>
      </c>
      <c r="C393" s="13" t="s">
        <v>806</v>
      </c>
      <c r="D393" s="13" t="s">
        <v>807</v>
      </c>
      <c r="E393" s="17" t="s">
        <v>191</v>
      </c>
      <c r="F393" s="17" t="s">
        <v>43</v>
      </c>
      <c r="G393" s="17" t="s">
        <v>43</v>
      </c>
      <c r="H393" s="7">
        <v>344119</v>
      </c>
      <c r="I393" s="7">
        <v>296014</v>
      </c>
      <c r="J393" s="8">
        <v>165.46052599999999</v>
      </c>
      <c r="K393" s="8">
        <v>-21.535132000000001</v>
      </c>
      <c r="L393" s="71">
        <v>303</v>
      </c>
      <c r="M393" s="73">
        <v>1</v>
      </c>
      <c r="N393" s="73">
        <v>1</v>
      </c>
      <c r="O393" s="73">
        <v>0</v>
      </c>
      <c r="P393" s="17" t="s">
        <v>47</v>
      </c>
      <c r="Q393" t="str">
        <f>LEFT(B393,3)</f>
        <v>HRN</v>
      </c>
    </row>
    <row r="394" spans="1:17">
      <c r="A394" s="17" t="s">
        <v>2871</v>
      </c>
      <c r="B394" s="17" t="s">
        <v>809</v>
      </c>
      <c r="C394" s="13" t="s">
        <v>810</v>
      </c>
      <c r="D394" s="13" t="s">
        <v>810</v>
      </c>
      <c r="E394" s="17" t="s">
        <v>373</v>
      </c>
      <c r="F394" s="17" t="s">
        <v>129</v>
      </c>
      <c r="G394" s="17" t="s">
        <v>129</v>
      </c>
      <c r="H394" s="7">
        <v>527394.02098999999</v>
      </c>
      <c r="I394" s="7">
        <v>356219.92908999999</v>
      </c>
      <c r="J394" s="80">
        <v>167.22528309763101</v>
      </c>
      <c r="K394" s="80">
        <v>-20.987677395412</v>
      </c>
      <c r="L394" s="71">
        <v>190</v>
      </c>
      <c r="M394" s="73">
        <v>1</v>
      </c>
      <c r="N394" s="73">
        <v>1</v>
      </c>
      <c r="O394" s="73">
        <v>1</v>
      </c>
      <c r="P394" s="17" t="s">
        <v>47</v>
      </c>
      <c r="Q394" t="str">
        <f>LEFT(B394,3)</f>
        <v>HRO</v>
      </c>
    </row>
    <row r="395" spans="1:17">
      <c r="A395" s="17" t="s">
        <v>2872</v>
      </c>
      <c r="B395" s="17" t="s">
        <v>809</v>
      </c>
      <c r="C395" s="13" t="s">
        <v>810</v>
      </c>
      <c r="D395" s="13" t="s">
        <v>810</v>
      </c>
      <c r="E395" s="17" t="s">
        <v>373</v>
      </c>
      <c r="F395" s="17" t="s">
        <v>129</v>
      </c>
      <c r="G395" s="17" t="s">
        <v>129</v>
      </c>
      <c r="H395" s="7">
        <v>527394.02098999999</v>
      </c>
      <c r="I395" s="7">
        <v>356219.92908999999</v>
      </c>
      <c r="J395" s="80">
        <v>167.22528309763101</v>
      </c>
      <c r="K395" s="80">
        <v>-20.987677395412</v>
      </c>
      <c r="L395" s="71">
        <v>340</v>
      </c>
      <c r="M395" s="73">
        <v>1</v>
      </c>
      <c r="N395" s="73">
        <v>1</v>
      </c>
      <c r="O395" s="73">
        <v>1</v>
      </c>
      <c r="P395" s="17" t="s">
        <v>47</v>
      </c>
      <c r="Q395" t="str">
        <f>LEFT(B395,3)</f>
        <v>HRO</v>
      </c>
    </row>
    <row r="396" spans="1:17">
      <c r="A396" s="17" t="s">
        <v>2873</v>
      </c>
      <c r="B396" s="17" t="s">
        <v>813</v>
      </c>
      <c r="C396" s="13" t="s">
        <v>814</v>
      </c>
      <c r="D396" s="13" t="s">
        <v>815</v>
      </c>
      <c r="E396" s="17" t="s">
        <v>93</v>
      </c>
      <c r="F396" s="17" t="s">
        <v>43</v>
      </c>
      <c r="G396" s="17" t="s">
        <v>50</v>
      </c>
      <c r="H396" s="7">
        <v>450890</v>
      </c>
      <c r="I396" s="7">
        <v>221412</v>
      </c>
      <c r="J396" s="79">
        <v>166.49357000000001</v>
      </c>
      <c r="K396" s="79">
        <v>-22.209070000000001</v>
      </c>
      <c r="L396" s="71">
        <v>20</v>
      </c>
      <c r="M396" s="73">
        <v>2</v>
      </c>
      <c r="N396" s="73">
        <v>2</v>
      </c>
      <c r="O396" s="73">
        <v>0</v>
      </c>
      <c r="P396" s="17" t="s">
        <v>37</v>
      </c>
      <c r="Q396" t="str">
        <f>LEFT(B396,3)</f>
        <v>HSI</v>
      </c>
    </row>
    <row r="397" spans="1:17">
      <c r="A397" s="17" t="s">
        <v>2874</v>
      </c>
      <c r="B397" s="17" t="s">
        <v>813</v>
      </c>
      <c r="C397" s="13" t="s">
        <v>814</v>
      </c>
      <c r="D397" s="13" t="s">
        <v>815</v>
      </c>
      <c r="E397" s="17" t="s">
        <v>93</v>
      </c>
      <c r="F397" s="17" t="s">
        <v>43</v>
      </c>
      <c r="G397" s="17" t="s">
        <v>50</v>
      </c>
      <c r="H397" s="7">
        <v>450890</v>
      </c>
      <c r="I397" s="7">
        <v>221412</v>
      </c>
      <c r="J397" s="79">
        <v>166.49357000000001</v>
      </c>
      <c r="K397" s="79">
        <v>-22.209070000000001</v>
      </c>
      <c r="L397" s="71">
        <v>290</v>
      </c>
      <c r="M397" s="73">
        <v>2</v>
      </c>
      <c r="N397" s="73">
        <v>2</v>
      </c>
      <c r="O397" s="73">
        <v>0</v>
      </c>
      <c r="P397" s="17" t="s">
        <v>37</v>
      </c>
      <c r="Q397" t="str">
        <f>LEFT(B397,3)</f>
        <v>HSI</v>
      </c>
    </row>
    <row r="398" spans="1:17">
      <c r="A398" s="17" t="s">
        <v>2875</v>
      </c>
      <c r="B398" s="17" t="s">
        <v>817</v>
      </c>
      <c r="C398" s="13" t="s">
        <v>818</v>
      </c>
      <c r="D398" s="13" t="s">
        <v>818</v>
      </c>
      <c r="E398" s="17" t="s">
        <v>373</v>
      </c>
      <c r="F398" s="17" t="s">
        <v>129</v>
      </c>
      <c r="G398" s="17" t="s">
        <v>129</v>
      </c>
      <c r="H398" s="7">
        <v>538415.90521</v>
      </c>
      <c r="I398" s="7">
        <v>345487.94277999998</v>
      </c>
      <c r="J398" s="80">
        <v>167.33216802677799</v>
      </c>
      <c r="K398" s="80">
        <v>-21.083798194861799</v>
      </c>
      <c r="L398" s="71">
        <v>110</v>
      </c>
      <c r="M398" s="73">
        <v>1</v>
      </c>
      <c r="N398" s="73">
        <v>1</v>
      </c>
      <c r="O398" s="73">
        <v>1</v>
      </c>
      <c r="P398" s="17" t="s">
        <v>47</v>
      </c>
      <c r="Q398" t="str">
        <f>LEFT(B398,3)</f>
        <v>HUI</v>
      </c>
    </row>
    <row r="399" spans="1:17">
      <c r="A399" s="17" t="s">
        <v>2876</v>
      </c>
      <c r="B399" s="17" t="s">
        <v>817</v>
      </c>
      <c r="C399" s="13" t="s">
        <v>818</v>
      </c>
      <c r="D399" s="13" t="s">
        <v>818</v>
      </c>
      <c r="E399" s="17" t="s">
        <v>373</v>
      </c>
      <c r="F399" s="17" t="s">
        <v>129</v>
      </c>
      <c r="G399" s="17" t="s">
        <v>129</v>
      </c>
      <c r="H399" s="7">
        <v>538415.90521</v>
      </c>
      <c r="I399" s="7">
        <v>345487.94277999998</v>
      </c>
      <c r="J399" s="80">
        <v>167.33216802677799</v>
      </c>
      <c r="K399" s="80">
        <v>-21.083798194861799</v>
      </c>
      <c r="L399" s="71">
        <v>290</v>
      </c>
      <c r="M399" s="73">
        <v>1</v>
      </c>
      <c r="N399" s="73">
        <v>1</v>
      </c>
      <c r="O399" s="73">
        <v>1</v>
      </c>
      <c r="P399" s="17" t="s">
        <v>47</v>
      </c>
      <c r="Q399" t="str">
        <f>LEFT(B399,3)</f>
        <v>HUI</v>
      </c>
    </row>
    <row r="400" spans="1:17">
      <c r="A400" s="17" t="s">
        <v>2877</v>
      </c>
      <c r="B400" s="17" t="s">
        <v>821</v>
      </c>
      <c r="C400" s="13" t="s">
        <v>822</v>
      </c>
      <c r="D400" s="13" t="s">
        <v>822</v>
      </c>
      <c r="E400" s="17" t="s">
        <v>373</v>
      </c>
      <c r="F400" s="17" t="s">
        <v>129</v>
      </c>
      <c r="G400" s="17" t="s">
        <v>129</v>
      </c>
      <c r="H400" s="7">
        <v>514335.83643999998</v>
      </c>
      <c r="I400" s="7">
        <v>381244.99423000001</v>
      </c>
      <c r="J400" s="80">
        <v>167.098004301548</v>
      </c>
      <c r="K400" s="80">
        <v>-20.762519855864198</v>
      </c>
      <c r="L400" s="71">
        <v>104</v>
      </c>
      <c r="M400" s="73">
        <v>1</v>
      </c>
      <c r="N400" s="73">
        <v>1</v>
      </c>
      <c r="O400" s="73">
        <v>1</v>
      </c>
      <c r="P400" s="17" t="s">
        <v>47</v>
      </c>
      <c r="Q400" t="str">
        <f>LEFT(B400,3)</f>
        <v>HUN</v>
      </c>
    </row>
    <row r="401" spans="1:17">
      <c r="A401" s="17" t="s">
        <v>2878</v>
      </c>
      <c r="B401" s="17" t="s">
        <v>821</v>
      </c>
      <c r="C401" s="13" t="s">
        <v>822</v>
      </c>
      <c r="D401" s="13" t="s">
        <v>822</v>
      </c>
      <c r="E401" s="17" t="s">
        <v>373</v>
      </c>
      <c r="F401" s="17" t="s">
        <v>129</v>
      </c>
      <c r="G401" s="17" t="s">
        <v>129</v>
      </c>
      <c r="H401" s="7">
        <v>514335.83643999998</v>
      </c>
      <c r="I401" s="7">
        <v>381244.99423000001</v>
      </c>
      <c r="J401" s="80">
        <v>167.098004301548</v>
      </c>
      <c r="K401" s="80">
        <v>-20.762519855864198</v>
      </c>
      <c r="L401" s="71">
        <v>271</v>
      </c>
      <c r="M401" s="73">
        <v>1</v>
      </c>
      <c r="N401" s="73">
        <v>1</v>
      </c>
      <c r="O401" s="73">
        <v>1</v>
      </c>
      <c r="P401" s="17" t="s">
        <v>47</v>
      </c>
      <c r="Q401" t="str">
        <f>LEFT(B401,3)</f>
        <v>HUN</v>
      </c>
    </row>
    <row r="402" spans="1:17">
      <c r="A402" s="17" t="s">
        <v>2879</v>
      </c>
      <c r="B402" s="17" t="s">
        <v>825</v>
      </c>
      <c r="C402" s="13" t="s">
        <v>826</v>
      </c>
      <c r="D402" s="13" t="s">
        <v>827</v>
      </c>
      <c r="E402" s="17" t="s">
        <v>128</v>
      </c>
      <c r="F402" s="17" t="s">
        <v>129</v>
      </c>
      <c r="G402" s="17" t="s">
        <v>129</v>
      </c>
      <c r="H402" s="7">
        <v>459052</v>
      </c>
      <c r="I402" s="7">
        <v>402370</v>
      </c>
      <c r="J402" s="80">
        <v>166.56636700000001</v>
      </c>
      <c r="K402" s="80">
        <v>-20.574370999999999</v>
      </c>
      <c r="L402" s="71">
        <v>20</v>
      </c>
      <c r="M402" s="73">
        <v>1</v>
      </c>
      <c r="N402" s="73">
        <v>1</v>
      </c>
      <c r="O402" s="73">
        <v>0</v>
      </c>
      <c r="P402" s="17" t="s">
        <v>47</v>
      </c>
      <c r="Q402" t="str">
        <f>LEFT(B402,3)</f>
        <v>HWA</v>
      </c>
    </row>
    <row r="403" spans="1:17">
      <c r="A403" s="17" t="s">
        <v>2880</v>
      </c>
      <c r="B403" s="17" t="s">
        <v>825</v>
      </c>
      <c r="C403" s="13" t="s">
        <v>826</v>
      </c>
      <c r="D403" s="13" t="s">
        <v>827</v>
      </c>
      <c r="E403" s="17" t="s">
        <v>128</v>
      </c>
      <c r="F403" s="17" t="s">
        <v>129</v>
      </c>
      <c r="G403" s="17" t="s">
        <v>129</v>
      </c>
      <c r="H403" s="7">
        <v>459052</v>
      </c>
      <c r="I403" s="7">
        <v>402370</v>
      </c>
      <c r="J403" s="80">
        <v>166.56636700000001</v>
      </c>
      <c r="K403" s="80">
        <v>-20.574370999999999</v>
      </c>
      <c r="L403" s="71">
        <v>180</v>
      </c>
      <c r="M403" s="73">
        <v>1</v>
      </c>
      <c r="N403" s="73">
        <v>1</v>
      </c>
      <c r="O403" s="73">
        <v>0</v>
      </c>
      <c r="P403" s="17" t="s">
        <v>47</v>
      </c>
      <c r="Q403" t="str">
        <f>LEFT(B403,3)</f>
        <v>HWA</v>
      </c>
    </row>
    <row r="404" spans="1:17">
      <c r="A404" s="17" t="s">
        <v>2881</v>
      </c>
      <c r="B404" s="17" t="s">
        <v>825</v>
      </c>
      <c r="C404" s="13" t="s">
        <v>826</v>
      </c>
      <c r="D404" s="13" t="s">
        <v>827</v>
      </c>
      <c r="E404" s="17" t="s">
        <v>128</v>
      </c>
      <c r="F404" s="17" t="s">
        <v>129</v>
      </c>
      <c r="G404" s="17" t="s">
        <v>129</v>
      </c>
      <c r="H404" s="7">
        <v>459052</v>
      </c>
      <c r="I404" s="7">
        <v>402370</v>
      </c>
      <c r="J404" s="80">
        <v>166.56636700000001</v>
      </c>
      <c r="K404" s="80">
        <v>-20.574370999999999</v>
      </c>
      <c r="L404" s="71">
        <v>280</v>
      </c>
      <c r="M404" s="73">
        <v>1</v>
      </c>
      <c r="N404" s="73">
        <v>1</v>
      </c>
      <c r="O404" s="73">
        <v>0</v>
      </c>
      <c r="P404" s="17" t="s">
        <v>47</v>
      </c>
      <c r="Q404" t="str">
        <f>LEFT(B404,3)</f>
        <v>HWA</v>
      </c>
    </row>
    <row r="405" spans="1:17">
      <c r="A405" s="17" t="s">
        <v>2882</v>
      </c>
      <c r="B405" s="17" t="s">
        <v>829</v>
      </c>
      <c r="C405" s="13" t="s">
        <v>830</v>
      </c>
      <c r="D405" s="13" t="s">
        <v>831</v>
      </c>
      <c r="E405" s="17" t="s">
        <v>56</v>
      </c>
      <c r="F405" s="17" t="s">
        <v>43</v>
      </c>
      <c r="G405" s="17" t="s">
        <v>50</v>
      </c>
      <c r="H405" s="7">
        <v>437672</v>
      </c>
      <c r="I405" s="7">
        <v>229380</v>
      </c>
      <c r="J405" s="80">
        <v>166.36518799999999</v>
      </c>
      <c r="K405" s="80">
        <v>-22.137436999999998</v>
      </c>
      <c r="L405" s="71">
        <v>0</v>
      </c>
      <c r="M405" s="73">
        <v>1</v>
      </c>
      <c r="N405" s="73">
        <v>1</v>
      </c>
      <c r="O405" s="73">
        <v>0</v>
      </c>
      <c r="P405" s="17" t="s">
        <v>37</v>
      </c>
      <c r="Q405" t="str">
        <f>LEFT(B405,3)</f>
        <v>HYP</v>
      </c>
    </row>
    <row r="406" spans="1:17">
      <c r="A406" s="17" t="s">
        <v>2883</v>
      </c>
      <c r="B406" s="17" t="s">
        <v>834</v>
      </c>
      <c r="C406" s="13" t="s">
        <v>835</v>
      </c>
      <c r="D406" s="13" t="s">
        <v>835</v>
      </c>
      <c r="E406" s="17" t="s">
        <v>29</v>
      </c>
      <c r="F406" s="17" t="s">
        <v>43</v>
      </c>
      <c r="G406" s="17" t="s">
        <v>30</v>
      </c>
      <c r="H406" s="7">
        <v>442226.21951999998</v>
      </c>
      <c r="I406" s="7">
        <v>207639.77851999999</v>
      </c>
      <c r="J406" s="80">
        <v>166.40988662039399</v>
      </c>
      <c r="K406" s="80">
        <v>-22.333665762816</v>
      </c>
      <c r="L406" s="71">
        <v>290</v>
      </c>
      <c r="M406" s="73">
        <v>1</v>
      </c>
      <c r="N406" s="73">
        <v>1</v>
      </c>
      <c r="O406" s="73">
        <v>1</v>
      </c>
      <c r="P406" s="17" t="s">
        <v>37</v>
      </c>
      <c r="Q406" t="str">
        <f>LEFT(B406,3)</f>
        <v>ILM</v>
      </c>
    </row>
    <row r="407" spans="1:17">
      <c r="A407" s="17" t="s">
        <v>2884</v>
      </c>
      <c r="B407" s="17" t="s">
        <v>838</v>
      </c>
      <c r="C407" s="13" t="s">
        <v>839</v>
      </c>
      <c r="D407" s="13" t="s">
        <v>839</v>
      </c>
      <c r="E407" s="17" t="s">
        <v>373</v>
      </c>
      <c r="F407" s="17" t="s">
        <v>129</v>
      </c>
      <c r="G407" s="17" t="s">
        <v>129</v>
      </c>
      <c r="H407" s="7">
        <v>543260.03818000003</v>
      </c>
      <c r="I407" s="7">
        <v>352531.23239999998</v>
      </c>
      <c r="J407" s="80">
        <v>167.37818856195099</v>
      </c>
      <c r="K407" s="80">
        <v>-21.019804310531299</v>
      </c>
      <c r="L407" s="71">
        <v>0</v>
      </c>
      <c r="M407" s="73">
        <v>1</v>
      </c>
      <c r="N407" s="73">
        <v>1</v>
      </c>
      <c r="O407" s="73">
        <v>1</v>
      </c>
      <c r="P407" s="17" t="s">
        <v>47</v>
      </c>
      <c r="Q407" t="str">
        <f>LEFT(B407,3)</f>
        <v>INA</v>
      </c>
    </row>
    <row r="408" spans="1:17">
      <c r="A408" s="17" t="s">
        <v>2885</v>
      </c>
      <c r="B408" s="17" t="s">
        <v>838</v>
      </c>
      <c r="C408" s="13" t="s">
        <v>839</v>
      </c>
      <c r="D408" s="13" t="s">
        <v>839</v>
      </c>
      <c r="E408" s="17" t="s">
        <v>373</v>
      </c>
      <c r="F408" s="17" t="s">
        <v>129</v>
      </c>
      <c r="G408" s="17" t="s">
        <v>129</v>
      </c>
      <c r="H408" s="7">
        <v>543260.03818000003</v>
      </c>
      <c r="I408" s="7">
        <v>352531.23239999998</v>
      </c>
      <c r="J408" s="80">
        <v>167.37818856195099</v>
      </c>
      <c r="K408" s="80">
        <v>-21.019804310531299</v>
      </c>
      <c r="L408" s="71">
        <v>90</v>
      </c>
      <c r="M408" s="73">
        <v>1</v>
      </c>
      <c r="N408" s="73">
        <v>1</v>
      </c>
      <c r="O408" s="73">
        <v>1</v>
      </c>
      <c r="P408" s="17" t="s">
        <v>47</v>
      </c>
      <c r="Q408" t="str">
        <f>LEFT(B408,3)</f>
        <v>INA</v>
      </c>
    </row>
    <row r="409" spans="1:17">
      <c r="A409" s="17" t="s">
        <v>2886</v>
      </c>
      <c r="B409" s="17" t="s">
        <v>842</v>
      </c>
      <c r="C409" s="13" t="s">
        <v>843</v>
      </c>
      <c r="D409" s="13" t="s">
        <v>845</v>
      </c>
      <c r="E409" s="17" t="s">
        <v>93</v>
      </c>
      <c r="F409" s="17" t="s">
        <v>43</v>
      </c>
      <c r="G409" s="17" t="s">
        <v>43</v>
      </c>
      <c r="H409" s="7">
        <v>491910</v>
      </c>
      <c r="I409" s="7">
        <v>205295</v>
      </c>
      <c r="J409" s="79">
        <v>166.89229</v>
      </c>
      <c r="K409" s="79">
        <v>-22.352974</v>
      </c>
      <c r="L409" s="71">
        <v>345</v>
      </c>
      <c r="M409" s="73">
        <v>1</v>
      </c>
      <c r="N409" s="73">
        <v>1</v>
      </c>
      <c r="O409" s="73">
        <v>1</v>
      </c>
      <c r="P409" s="17" t="s">
        <v>47</v>
      </c>
      <c r="Q409" t="str">
        <f>LEFT(B409,3)</f>
        <v>IPO</v>
      </c>
    </row>
    <row r="410" spans="1:17">
      <c r="A410" s="17" t="s">
        <v>2887</v>
      </c>
      <c r="B410" s="17" t="s">
        <v>851</v>
      </c>
      <c r="C410" s="13" t="s">
        <v>852</v>
      </c>
      <c r="D410" s="13" t="s">
        <v>854</v>
      </c>
      <c r="E410" s="17" t="s">
        <v>142</v>
      </c>
      <c r="F410" s="17" t="s">
        <v>43</v>
      </c>
      <c r="G410" s="17" t="s">
        <v>43</v>
      </c>
      <c r="H410" s="7">
        <v>497149</v>
      </c>
      <c r="I410" s="7">
        <v>226823</v>
      </c>
      <c r="J410" s="79">
        <v>166.94188800000001</v>
      </c>
      <c r="K410" s="79">
        <v>-22.158282</v>
      </c>
      <c r="L410" s="71">
        <v>45</v>
      </c>
      <c r="M410" s="73">
        <v>1</v>
      </c>
      <c r="N410" s="73">
        <v>1</v>
      </c>
      <c r="O410" s="73">
        <v>0</v>
      </c>
      <c r="P410" s="17" t="s">
        <v>47</v>
      </c>
      <c r="Q410" t="str">
        <f>LEFT(B410,3)</f>
        <v>IYA</v>
      </c>
    </row>
    <row r="411" spans="1:17">
      <c r="A411" s="17" t="s">
        <v>2888</v>
      </c>
      <c r="B411" s="17" t="s">
        <v>857</v>
      </c>
      <c r="C411" s="13" t="s">
        <v>858</v>
      </c>
      <c r="D411" s="13" t="s">
        <v>858</v>
      </c>
      <c r="E411" s="17" t="s">
        <v>29</v>
      </c>
      <c r="F411" s="17" t="s">
        <v>43</v>
      </c>
      <c r="G411" s="17" t="s">
        <v>30</v>
      </c>
      <c r="H411" s="7">
        <v>445167</v>
      </c>
      <c r="I411" s="7">
        <v>214451</v>
      </c>
      <c r="J411" s="79">
        <v>166.43825000000001</v>
      </c>
      <c r="K411" s="79">
        <v>-22.272089999999999</v>
      </c>
      <c r="L411" s="71">
        <v>5</v>
      </c>
      <c r="M411" s="73">
        <v>2</v>
      </c>
      <c r="N411" s="73">
        <v>2</v>
      </c>
      <c r="O411" s="73">
        <v>0</v>
      </c>
      <c r="P411" s="17" t="s">
        <v>37</v>
      </c>
      <c r="Q411" t="str">
        <f>LEFT(B411,3)</f>
        <v>JOH</v>
      </c>
    </row>
    <row r="412" spans="1:17">
      <c r="A412" s="17" t="s">
        <v>2889</v>
      </c>
      <c r="B412" s="17" t="s">
        <v>857</v>
      </c>
      <c r="C412" s="13" t="s">
        <v>858</v>
      </c>
      <c r="D412" s="13" t="s">
        <v>858</v>
      </c>
      <c r="E412" s="17" t="s">
        <v>29</v>
      </c>
      <c r="F412" s="17" t="s">
        <v>43</v>
      </c>
      <c r="G412" s="17" t="s">
        <v>30</v>
      </c>
      <c r="H412" s="7">
        <v>445167</v>
      </c>
      <c r="I412" s="7">
        <v>214451</v>
      </c>
      <c r="J412" s="79">
        <v>166.43825000000001</v>
      </c>
      <c r="K412" s="79">
        <v>-22.272089999999999</v>
      </c>
      <c r="L412" s="71">
        <v>220</v>
      </c>
      <c r="M412" s="73">
        <v>2</v>
      </c>
      <c r="N412" s="73">
        <v>2</v>
      </c>
      <c r="O412" s="73">
        <v>0</v>
      </c>
      <c r="P412" s="17" t="s">
        <v>37</v>
      </c>
      <c r="Q412" t="str">
        <f>LEFT(B412,3)</f>
        <v>JOH</v>
      </c>
    </row>
    <row r="413" spans="1:17">
      <c r="A413" s="17" t="s">
        <v>2890</v>
      </c>
      <c r="B413" s="17" t="s">
        <v>857</v>
      </c>
      <c r="C413" s="13" t="s">
        <v>858</v>
      </c>
      <c r="D413" s="13" t="s">
        <v>858</v>
      </c>
      <c r="E413" s="17" t="s">
        <v>29</v>
      </c>
      <c r="F413" s="17" t="s">
        <v>43</v>
      </c>
      <c r="G413" s="17" t="s">
        <v>30</v>
      </c>
      <c r="H413" s="7">
        <v>445167</v>
      </c>
      <c r="I413" s="7">
        <v>214451</v>
      </c>
      <c r="J413" s="79">
        <v>166.43825000000001</v>
      </c>
      <c r="K413" s="79">
        <v>-22.272089999999999</v>
      </c>
      <c r="L413" s="71">
        <v>300</v>
      </c>
      <c r="M413" s="73">
        <v>2</v>
      </c>
      <c r="N413" s="73">
        <v>2</v>
      </c>
      <c r="O413" s="73">
        <v>0</v>
      </c>
      <c r="P413" s="17" t="s">
        <v>37</v>
      </c>
      <c r="Q413" t="str">
        <f>LEFT(B413,3)</f>
        <v>JOH</v>
      </c>
    </row>
    <row r="414" spans="1:17">
      <c r="A414" s="17" t="s">
        <v>2891</v>
      </c>
      <c r="B414" s="17" t="s">
        <v>861</v>
      </c>
      <c r="C414" s="13" t="s">
        <v>862</v>
      </c>
      <c r="D414" s="13" t="s">
        <v>862</v>
      </c>
      <c r="E414" s="17" t="s">
        <v>373</v>
      </c>
      <c r="F414" s="17" t="s">
        <v>129</v>
      </c>
      <c r="G414" s="17" t="s">
        <v>129</v>
      </c>
      <c r="H414" s="7">
        <v>549511.81533999997</v>
      </c>
      <c r="I414" s="7">
        <v>348434.0686</v>
      </c>
      <c r="J414" s="80">
        <v>167.438693393997</v>
      </c>
      <c r="K414" s="80">
        <v>-21.056300794596901</v>
      </c>
      <c r="L414" s="71">
        <v>201</v>
      </c>
      <c r="M414" s="73">
        <v>1</v>
      </c>
      <c r="N414" s="73">
        <v>1</v>
      </c>
      <c r="O414" s="73">
        <v>1</v>
      </c>
      <c r="P414" s="17" t="s">
        <v>47</v>
      </c>
      <c r="Q414" t="str">
        <f>LEFT(B414,3)</f>
        <v>JOJ</v>
      </c>
    </row>
    <row r="415" spans="1:17">
      <c r="A415" s="17" t="s">
        <v>2892</v>
      </c>
      <c r="B415" s="17" t="s">
        <v>861</v>
      </c>
      <c r="C415" s="13" t="s">
        <v>862</v>
      </c>
      <c r="D415" s="13" t="s">
        <v>862</v>
      </c>
      <c r="E415" s="17" t="s">
        <v>373</v>
      </c>
      <c r="F415" s="17" t="s">
        <v>129</v>
      </c>
      <c r="G415" s="17" t="s">
        <v>129</v>
      </c>
      <c r="H415" s="7">
        <v>549511.81533999997</v>
      </c>
      <c r="I415" s="7">
        <v>348434.0686</v>
      </c>
      <c r="J415" s="80">
        <v>167.438693393997</v>
      </c>
      <c r="K415" s="80">
        <v>-21.056300794596901</v>
      </c>
      <c r="L415" s="71">
        <v>325</v>
      </c>
      <c r="M415" s="73">
        <v>1</v>
      </c>
      <c r="N415" s="73">
        <v>1</v>
      </c>
      <c r="O415" s="73">
        <v>1</v>
      </c>
      <c r="P415" s="17" t="s">
        <v>47</v>
      </c>
      <c r="Q415" t="str">
        <f>LEFT(B415,3)</f>
        <v>JOJ</v>
      </c>
    </row>
    <row r="416" spans="1:17">
      <c r="A416" s="17" t="s">
        <v>2893</v>
      </c>
      <c r="B416" s="17" t="s">
        <v>864</v>
      </c>
      <c r="C416" s="13" t="s">
        <v>865</v>
      </c>
      <c r="D416" s="13" t="s">
        <v>865</v>
      </c>
      <c r="E416" s="17" t="s">
        <v>373</v>
      </c>
      <c r="F416" s="17" t="s">
        <v>129</v>
      </c>
      <c r="G416" s="17" t="s">
        <v>129</v>
      </c>
      <c r="H416" s="7">
        <v>521584.136</v>
      </c>
      <c r="I416" s="7">
        <v>387983.13199999998</v>
      </c>
      <c r="J416" s="80">
        <v>167.167123506427</v>
      </c>
      <c r="K416" s="80">
        <v>-20.701186442614599</v>
      </c>
      <c r="L416" s="71">
        <v>79</v>
      </c>
      <c r="M416" s="73">
        <v>1</v>
      </c>
      <c r="N416" s="73">
        <v>1</v>
      </c>
      <c r="O416" s="73">
        <v>1</v>
      </c>
      <c r="P416" s="17" t="s">
        <v>47</v>
      </c>
      <c r="Q416" t="str">
        <f>LEFT(B416,3)</f>
        <v>JOK</v>
      </c>
    </row>
    <row r="417" spans="1:17">
      <c r="A417" s="17" t="s">
        <v>2894</v>
      </c>
      <c r="B417" s="17" t="s">
        <v>864</v>
      </c>
      <c r="C417" s="13" t="s">
        <v>865</v>
      </c>
      <c r="D417" s="13" t="s">
        <v>865</v>
      </c>
      <c r="E417" s="17" t="s">
        <v>373</v>
      </c>
      <c r="F417" s="17" t="s">
        <v>129</v>
      </c>
      <c r="G417" s="17" t="s">
        <v>129</v>
      </c>
      <c r="H417" s="7">
        <v>521584.136</v>
      </c>
      <c r="I417" s="7">
        <v>387983.13199999998</v>
      </c>
      <c r="J417" s="80">
        <v>167.167123506427</v>
      </c>
      <c r="K417" s="80">
        <v>-20.701186442614599</v>
      </c>
      <c r="L417" s="71">
        <v>176</v>
      </c>
      <c r="M417" s="73">
        <v>1</v>
      </c>
      <c r="N417" s="73">
        <v>1</v>
      </c>
      <c r="O417" s="73">
        <v>1</v>
      </c>
      <c r="P417" s="17" t="s">
        <v>47</v>
      </c>
      <c r="Q417" t="str">
        <f>LEFT(B417,3)</f>
        <v>JOK</v>
      </c>
    </row>
    <row r="418" spans="1:17">
      <c r="A418" s="17" t="s">
        <v>2895</v>
      </c>
      <c r="B418" s="17" t="s">
        <v>868</v>
      </c>
      <c r="C418" s="13" t="s">
        <v>2896</v>
      </c>
      <c r="D418" s="13" t="s">
        <v>2896</v>
      </c>
      <c r="E418" s="17" t="s">
        <v>373</v>
      </c>
      <c r="F418" s="17" t="s">
        <v>129</v>
      </c>
      <c r="G418" s="17" t="s">
        <v>129</v>
      </c>
      <c r="H418" s="7">
        <v>538168</v>
      </c>
      <c r="I418" s="7">
        <v>361500</v>
      </c>
      <c r="J418" s="80">
        <v>167.328472</v>
      </c>
      <c r="K418" s="80">
        <v>-20.939191999999998</v>
      </c>
      <c r="L418" s="71">
        <v>40</v>
      </c>
      <c r="M418" s="73">
        <v>1</v>
      </c>
      <c r="N418" s="73">
        <v>1</v>
      </c>
      <c r="O418" s="73">
        <v>0</v>
      </c>
      <c r="P418" s="17" t="s">
        <v>47</v>
      </c>
      <c r="Q418" t="str">
        <f>LEFT(B418,3)</f>
        <v>JOZ</v>
      </c>
    </row>
    <row r="419" spans="1:17">
      <c r="A419" s="17" t="s">
        <v>2897</v>
      </c>
      <c r="B419" s="17" t="s">
        <v>868</v>
      </c>
      <c r="C419" s="13" t="s">
        <v>2896</v>
      </c>
      <c r="D419" s="13" t="s">
        <v>2896</v>
      </c>
      <c r="E419" s="17" t="s">
        <v>373</v>
      </c>
      <c r="F419" s="17" t="s">
        <v>129</v>
      </c>
      <c r="G419" s="17" t="s">
        <v>129</v>
      </c>
      <c r="H419" s="7">
        <v>538168</v>
      </c>
      <c r="I419" s="7">
        <v>361500</v>
      </c>
      <c r="J419" s="80">
        <v>167.328472</v>
      </c>
      <c r="K419" s="80">
        <v>-20.939191999999998</v>
      </c>
      <c r="L419" s="71">
        <v>160</v>
      </c>
      <c r="M419" s="73">
        <v>1</v>
      </c>
      <c r="N419" s="73">
        <v>1</v>
      </c>
      <c r="O419" s="73">
        <v>0</v>
      </c>
      <c r="P419" s="17" t="s">
        <v>47</v>
      </c>
      <c r="Q419" t="str">
        <f>LEFT(B419,3)</f>
        <v>JOZ</v>
      </c>
    </row>
    <row r="420" spans="1:17">
      <c r="A420" s="17" t="s">
        <v>2898</v>
      </c>
      <c r="B420" s="17" t="s">
        <v>868</v>
      </c>
      <c r="C420" s="13" t="s">
        <v>2896</v>
      </c>
      <c r="D420" s="13" t="s">
        <v>2896</v>
      </c>
      <c r="E420" s="17" t="s">
        <v>373</v>
      </c>
      <c r="F420" s="17" t="s">
        <v>129</v>
      </c>
      <c r="G420" s="17" t="s">
        <v>129</v>
      </c>
      <c r="H420" s="7">
        <v>538168</v>
      </c>
      <c r="I420" s="7">
        <v>361500</v>
      </c>
      <c r="J420" s="80">
        <v>167.328472</v>
      </c>
      <c r="K420" s="80">
        <v>-20.939191999999998</v>
      </c>
      <c r="L420" s="71">
        <v>280</v>
      </c>
      <c r="M420" s="73">
        <v>1</v>
      </c>
      <c r="N420" s="73">
        <v>1</v>
      </c>
      <c r="O420" s="73">
        <v>0</v>
      </c>
      <c r="P420" s="17" t="s">
        <v>47</v>
      </c>
      <c r="Q420" t="str">
        <f>LEFT(B420,3)</f>
        <v>JOZ</v>
      </c>
    </row>
    <row r="421" spans="1:17">
      <c r="A421" s="13" t="s">
        <v>2899</v>
      </c>
      <c r="B421" s="13" t="s">
        <v>873</v>
      </c>
      <c r="C421" s="13" t="s">
        <v>874</v>
      </c>
      <c r="D421" s="13" t="s">
        <v>874</v>
      </c>
      <c r="E421" s="17" t="s">
        <v>49</v>
      </c>
      <c r="F421" s="17" t="s">
        <v>43</v>
      </c>
      <c r="G421" s="17" t="s">
        <v>50</v>
      </c>
      <c r="H421" s="7">
        <v>449932</v>
      </c>
      <c r="I421" s="7">
        <v>220574</v>
      </c>
      <c r="J421" s="79">
        <v>166.48429899999999</v>
      </c>
      <c r="K421" s="79">
        <v>-22.216663</v>
      </c>
      <c r="L421" s="71">
        <v>10</v>
      </c>
      <c r="M421" s="73">
        <v>3</v>
      </c>
      <c r="N421" s="73">
        <v>3</v>
      </c>
      <c r="O421" s="73">
        <v>1</v>
      </c>
      <c r="P421" s="17" t="s">
        <v>37</v>
      </c>
      <c r="Q421" t="str">
        <f>LEFT(B421,3)</f>
        <v>JYA</v>
      </c>
    </row>
    <row r="422" spans="1:17">
      <c r="A422" s="13" t="s">
        <v>2900</v>
      </c>
      <c r="B422" s="13" t="s">
        <v>873</v>
      </c>
      <c r="C422" s="13" t="s">
        <v>874</v>
      </c>
      <c r="D422" s="13" t="s">
        <v>874</v>
      </c>
      <c r="E422" s="17" t="s">
        <v>49</v>
      </c>
      <c r="F422" s="17" t="s">
        <v>43</v>
      </c>
      <c r="G422" s="17" t="s">
        <v>50</v>
      </c>
      <c r="H422" s="7">
        <v>449932</v>
      </c>
      <c r="I422" s="7">
        <v>220574</v>
      </c>
      <c r="J422" s="79">
        <v>166.48429899999999</v>
      </c>
      <c r="K422" s="79">
        <v>-22.216663</v>
      </c>
      <c r="L422" s="71">
        <v>135</v>
      </c>
      <c r="M422" s="73">
        <v>3</v>
      </c>
      <c r="N422" s="73">
        <v>3</v>
      </c>
      <c r="O422" s="73">
        <v>1</v>
      </c>
      <c r="P422" s="17" t="s">
        <v>37</v>
      </c>
      <c r="Q422" t="str">
        <f>LEFT(B422,3)</f>
        <v>JYA</v>
      </c>
    </row>
    <row r="423" spans="1:17">
      <c r="A423" s="17" t="s">
        <v>2901</v>
      </c>
      <c r="B423" s="17" t="s">
        <v>877</v>
      </c>
      <c r="C423" s="13" t="s">
        <v>878</v>
      </c>
      <c r="D423" s="13" t="s">
        <v>879</v>
      </c>
      <c r="E423" s="17" t="s">
        <v>373</v>
      </c>
      <c r="F423" s="17" t="s">
        <v>129</v>
      </c>
      <c r="G423" s="17" t="s">
        <v>129</v>
      </c>
      <c r="H423" s="7">
        <v>540293.84025000001</v>
      </c>
      <c r="I423" s="7">
        <v>361423.28029999998</v>
      </c>
      <c r="J423" s="80">
        <v>167.348918388339</v>
      </c>
      <c r="K423" s="80">
        <v>-20.939722862962601</v>
      </c>
      <c r="L423" s="71">
        <v>33</v>
      </c>
      <c r="M423" s="73">
        <v>1</v>
      </c>
      <c r="N423" s="73">
        <v>2</v>
      </c>
      <c r="O423" s="73">
        <v>1</v>
      </c>
      <c r="P423" s="17" t="s">
        <v>47</v>
      </c>
      <c r="Q423" t="str">
        <f>LEFT(B423,3)</f>
        <v>JZP</v>
      </c>
    </row>
    <row r="424" spans="1:17">
      <c r="A424" s="17" t="s">
        <v>2902</v>
      </c>
      <c r="B424" s="17" t="s">
        <v>877</v>
      </c>
      <c r="C424" s="13" t="s">
        <v>878</v>
      </c>
      <c r="D424" s="13" t="s">
        <v>879</v>
      </c>
      <c r="E424" s="17" t="s">
        <v>373</v>
      </c>
      <c r="F424" s="17" t="s">
        <v>129</v>
      </c>
      <c r="G424" s="17" t="s">
        <v>129</v>
      </c>
      <c r="H424" s="7">
        <v>540293.84025000001</v>
      </c>
      <c r="I424" s="7">
        <v>361423.28029999998</v>
      </c>
      <c r="J424" s="80">
        <v>167.348918388339</v>
      </c>
      <c r="K424" s="80">
        <v>-20.939722862962601</v>
      </c>
      <c r="L424" s="71">
        <v>220</v>
      </c>
      <c r="M424" s="73">
        <v>1</v>
      </c>
      <c r="N424" s="73">
        <v>2</v>
      </c>
      <c r="O424" s="73">
        <v>1</v>
      </c>
      <c r="P424" s="17" t="s">
        <v>47</v>
      </c>
      <c r="Q424" t="str">
        <f>LEFT(B424,3)</f>
        <v>JZP</v>
      </c>
    </row>
    <row r="425" spans="1:17">
      <c r="A425" s="17" t="s">
        <v>2903</v>
      </c>
      <c r="B425" s="17" t="s">
        <v>881</v>
      </c>
      <c r="C425" s="13" t="s">
        <v>882</v>
      </c>
      <c r="D425" s="13" t="s">
        <v>882</v>
      </c>
      <c r="E425" s="17" t="s">
        <v>29</v>
      </c>
      <c r="F425" s="17" t="s">
        <v>43</v>
      </c>
      <c r="G425" s="17" t="s">
        <v>30</v>
      </c>
      <c r="H425" s="7">
        <v>446144</v>
      </c>
      <c r="I425" s="7">
        <v>219216</v>
      </c>
      <c r="J425" s="80">
        <v>166.447596605862</v>
      </c>
      <c r="K425" s="80">
        <v>-22.2290290774224</v>
      </c>
      <c r="L425" s="71">
        <v>130</v>
      </c>
      <c r="M425" s="73">
        <v>2</v>
      </c>
      <c r="N425" s="73">
        <v>1</v>
      </c>
      <c r="O425" s="73">
        <v>1</v>
      </c>
      <c r="P425" s="17" t="s">
        <v>37</v>
      </c>
      <c r="Q425" t="str">
        <f>LEFT(B425,3)</f>
        <v>KAB</v>
      </c>
    </row>
    <row r="426" spans="1:17">
      <c r="A426" s="17" t="s">
        <v>2904</v>
      </c>
      <c r="B426" s="17" t="s">
        <v>881</v>
      </c>
      <c r="C426" s="13" t="s">
        <v>882</v>
      </c>
      <c r="D426" s="13" t="s">
        <v>882</v>
      </c>
      <c r="E426" s="17" t="s">
        <v>29</v>
      </c>
      <c r="F426" s="17" t="s">
        <v>43</v>
      </c>
      <c r="G426" s="17" t="s">
        <v>30</v>
      </c>
      <c r="H426" s="7">
        <v>446144</v>
      </c>
      <c r="I426" s="7">
        <v>219216</v>
      </c>
      <c r="J426" s="80">
        <v>166.447596605862</v>
      </c>
      <c r="K426" s="80">
        <v>-22.2290290774224</v>
      </c>
      <c r="L426" s="71">
        <v>297</v>
      </c>
      <c r="M426" s="73">
        <v>2</v>
      </c>
      <c r="N426" s="73">
        <v>1</v>
      </c>
      <c r="O426" s="73">
        <v>1</v>
      </c>
      <c r="P426" s="17" t="s">
        <v>37</v>
      </c>
      <c r="Q426" t="str">
        <f>LEFT(B426,3)</f>
        <v>KAB</v>
      </c>
    </row>
    <row r="427" spans="1:17">
      <c r="A427" s="17" t="s">
        <v>2905</v>
      </c>
      <c r="B427" s="17" t="s">
        <v>885</v>
      </c>
      <c r="C427" s="13" t="s">
        <v>886</v>
      </c>
      <c r="D427" s="13" t="s">
        <v>886</v>
      </c>
      <c r="E427" s="17" t="s">
        <v>437</v>
      </c>
      <c r="F427" s="17" t="s">
        <v>68</v>
      </c>
      <c r="G427" s="17" t="s">
        <v>68</v>
      </c>
      <c r="H427" s="7">
        <v>257729</v>
      </c>
      <c r="I427" s="7">
        <v>400104</v>
      </c>
      <c r="J427" s="79">
        <v>164.63532000000001</v>
      </c>
      <c r="K427" s="79">
        <v>-20.590199999999999</v>
      </c>
      <c r="L427" s="71">
        <v>58</v>
      </c>
      <c r="M427" s="73">
        <v>1</v>
      </c>
      <c r="N427" s="73">
        <v>1</v>
      </c>
      <c r="O427" s="73">
        <v>0</v>
      </c>
      <c r="P427" s="17" t="s">
        <v>47</v>
      </c>
      <c r="Q427" t="str">
        <f>LEFT(B427,3)</f>
        <v>KAE</v>
      </c>
    </row>
    <row r="428" spans="1:17">
      <c r="A428" s="17" t="s">
        <v>2906</v>
      </c>
      <c r="B428" s="17" t="s">
        <v>889</v>
      </c>
      <c r="C428" s="13" t="s">
        <v>2907</v>
      </c>
      <c r="D428" s="13" t="s">
        <v>892</v>
      </c>
      <c r="E428" s="17" t="s">
        <v>402</v>
      </c>
      <c r="F428" s="17" t="s">
        <v>68</v>
      </c>
      <c r="G428" s="17" t="s">
        <v>68</v>
      </c>
      <c r="H428" s="7">
        <v>356000</v>
      </c>
      <c r="I428" s="7">
        <v>332040</v>
      </c>
      <c r="J428" s="79">
        <v>165.57616999999999</v>
      </c>
      <c r="K428" s="79">
        <v>-21.210059999999999</v>
      </c>
      <c r="L428" s="71">
        <v>118</v>
      </c>
      <c r="M428" s="73">
        <v>1</v>
      </c>
      <c r="N428" s="73">
        <v>1</v>
      </c>
      <c r="O428" s="73">
        <v>0</v>
      </c>
      <c r="P428" s="17" t="s">
        <v>47</v>
      </c>
      <c r="Q428" t="str">
        <f>LEFT(B428,3)</f>
        <v>KAO</v>
      </c>
    </row>
    <row r="429" spans="1:17">
      <c r="A429" s="17" t="s">
        <v>2908</v>
      </c>
      <c r="B429" s="17" t="s">
        <v>889</v>
      </c>
      <c r="C429" s="13" t="s">
        <v>2907</v>
      </c>
      <c r="D429" s="13" t="s">
        <v>892</v>
      </c>
      <c r="E429" s="17" t="s">
        <v>402</v>
      </c>
      <c r="F429" s="17" t="s">
        <v>68</v>
      </c>
      <c r="G429" s="17" t="s">
        <v>68</v>
      </c>
      <c r="H429" s="7">
        <v>356000</v>
      </c>
      <c r="I429" s="7">
        <v>332040</v>
      </c>
      <c r="J429" s="79">
        <v>165.57616999999999</v>
      </c>
      <c r="K429" s="79">
        <v>-21.210059999999999</v>
      </c>
      <c r="L429" s="71">
        <v>292</v>
      </c>
      <c r="M429" s="73">
        <v>1</v>
      </c>
      <c r="N429" s="73">
        <v>1</v>
      </c>
      <c r="O429" s="73">
        <v>0</v>
      </c>
      <c r="P429" s="17" t="s">
        <v>47</v>
      </c>
      <c r="Q429" t="str">
        <f>LEFT(B429,3)</f>
        <v>KAO</v>
      </c>
    </row>
    <row r="430" spans="1:17">
      <c r="A430" s="17" t="s">
        <v>2909</v>
      </c>
      <c r="B430" s="17" t="s">
        <v>894</v>
      </c>
      <c r="C430" s="17" t="s">
        <v>895</v>
      </c>
      <c r="D430" s="17" t="s">
        <v>896</v>
      </c>
      <c r="E430" s="17" t="s">
        <v>49</v>
      </c>
      <c r="F430" s="17" t="s">
        <v>43</v>
      </c>
      <c r="G430" s="17" t="s">
        <v>50</v>
      </c>
      <c r="H430" s="22">
        <v>444912</v>
      </c>
      <c r="I430" s="22">
        <v>228969</v>
      </c>
      <c r="J430" s="83">
        <v>166.43538000000001</v>
      </c>
      <c r="K430" s="83">
        <v>-22.140979999999999</v>
      </c>
      <c r="L430" s="71">
        <v>120</v>
      </c>
      <c r="M430" s="73">
        <v>1</v>
      </c>
      <c r="N430" s="73">
        <v>2</v>
      </c>
      <c r="O430" s="73">
        <v>0</v>
      </c>
      <c r="P430" s="17" t="s">
        <v>37</v>
      </c>
      <c r="Q430" t="str">
        <f>LEFT(B430,3)</f>
        <v>KAT</v>
      </c>
    </row>
    <row r="431" spans="1:17">
      <c r="A431" s="17" t="s">
        <v>2910</v>
      </c>
      <c r="B431" s="17" t="s">
        <v>894</v>
      </c>
      <c r="C431" s="17" t="s">
        <v>895</v>
      </c>
      <c r="D431" s="17" t="s">
        <v>896</v>
      </c>
      <c r="E431" s="17" t="s">
        <v>49</v>
      </c>
      <c r="F431" s="17" t="s">
        <v>43</v>
      </c>
      <c r="G431" s="17" t="s">
        <v>50</v>
      </c>
      <c r="H431" s="22">
        <v>444912</v>
      </c>
      <c r="I431" s="22">
        <v>228969</v>
      </c>
      <c r="J431" s="83">
        <v>166.43538000000001</v>
      </c>
      <c r="K431" s="83">
        <v>-22.140979999999999</v>
      </c>
      <c r="L431" s="71">
        <v>325</v>
      </c>
      <c r="M431" s="73">
        <v>1</v>
      </c>
      <c r="N431" s="73">
        <v>2</v>
      </c>
      <c r="O431" s="73">
        <v>0</v>
      </c>
      <c r="P431" s="17" t="s">
        <v>37</v>
      </c>
      <c r="Q431" t="str">
        <f>LEFT(B431,3)</f>
        <v>KAT</v>
      </c>
    </row>
    <row r="432" spans="1:17">
      <c r="A432" s="17" t="s">
        <v>2911</v>
      </c>
      <c r="B432" s="17" t="s">
        <v>898</v>
      </c>
      <c r="C432" s="13" t="s">
        <v>899</v>
      </c>
      <c r="D432" s="13" t="s">
        <v>899</v>
      </c>
      <c r="E432" s="17" t="s">
        <v>368</v>
      </c>
      <c r="F432" s="17" t="s">
        <v>68</v>
      </c>
      <c r="G432" s="17" t="s">
        <v>68</v>
      </c>
      <c r="H432" s="7">
        <v>227537.08501000001</v>
      </c>
      <c r="I432" s="7">
        <v>397286.97713999997</v>
      </c>
      <c r="J432" s="80">
        <v>164.34544913413399</v>
      </c>
      <c r="K432" s="80">
        <v>-20.613005124452101</v>
      </c>
      <c r="L432" s="71">
        <v>50</v>
      </c>
      <c r="M432" s="73">
        <v>1</v>
      </c>
      <c r="N432" s="73">
        <v>1</v>
      </c>
      <c r="O432" s="73">
        <v>1</v>
      </c>
      <c r="P432" s="17" t="s">
        <v>47</v>
      </c>
      <c r="Q432" t="str">
        <f>LEFT(B432,3)</f>
        <v>KBE</v>
      </c>
    </row>
    <row r="433" spans="1:17">
      <c r="A433" s="17" t="s">
        <v>2912</v>
      </c>
      <c r="B433" s="17" t="s">
        <v>898</v>
      </c>
      <c r="C433" s="13" t="s">
        <v>899</v>
      </c>
      <c r="D433" s="13" t="s">
        <v>899</v>
      </c>
      <c r="E433" s="17" t="s">
        <v>368</v>
      </c>
      <c r="F433" s="17" t="s">
        <v>68</v>
      </c>
      <c r="G433" s="17" t="s">
        <v>68</v>
      </c>
      <c r="H433" s="7">
        <v>227537.08501000001</v>
      </c>
      <c r="I433" s="7">
        <v>397286.97713999997</v>
      </c>
      <c r="J433" s="80">
        <v>164.34544913413399</v>
      </c>
      <c r="K433" s="80">
        <v>-20.613005124452101</v>
      </c>
      <c r="L433" s="71">
        <v>176</v>
      </c>
      <c r="M433" s="73">
        <v>1</v>
      </c>
      <c r="N433" s="73">
        <v>1</v>
      </c>
      <c r="O433" s="73">
        <v>1</v>
      </c>
      <c r="P433" s="17" t="s">
        <v>47</v>
      </c>
      <c r="Q433" t="str">
        <f>LEFT(B433,3)</f>
        <v>KBE</v>
      </c>
    </row>
    <row r="434" spans="1:17">
      <c r="A434" s="13" t="s">
        <v>2913</v>
      </c>
      <c r="B434" s="13" t="s">
        <v>898</v>
      </c>
      <c r="C434" s="13" t="s">
        <v>899</v>
      </c>
      <c r="D434" s="13" t="s">
        <v>899</v>
      </c>
      <c r="E434" s="17" t="s">
        <v>368</v>
      </c>
      <c r="F434" s="17" t="s">
        <v>68</v>
      </c>
      <c r="G434" s="17" t="s">
        <v>68</v>
      </c>
      <c r="H434" s="7">
        <v>227537.08501000001</v>
      </c>
      <c r="I434" s="7">
        <v>397286.97713999997</v>
      </c>
      <c r="J434" s="80">
        <v>164.34544913413399</v>
      </c>
      <c r="K434" s="80">
        <v>-20.613005124452101</v>
      </c>
      <c r="L434" s="71">
        <v>296</v>
      </c>
      <c r="M434" s="73">
        <v>1</v>
      </c>
      <c r="N434" s="73">
        <v>1</v>
      </c>
      <c r="O434" s="73">
        <v>1</v>
      </c>
      <c r="P434" s="17" t="s">
        <v>47</v>
      </c>
      <c r="Q434" t="str">
        <f>LEFT(B434,3)</f>
        <v>KBE</v>
      </c>
    </row>
    <row r="435" spans="1:17">
      <c r="A435" s="17" t="s">
        <v>2914</v>
      </c>
      <c r="B435" s="17" t="s">
        <v>902</v>
      </c>
      <c r="C435" s="13" t="s">
        <v>2915</v>
      </c>
      <c r="D435" s="13" t="s">
        <v>2915</v>
      </c>
      <c r="E435" s="17" t="s">
        <v>98</v>
      </c>
      <c r="F435" s="17" t="s">
        <v>68</v>
      </c>
      <c r="G435" s="17" t="s">
        <v>68</v>
      </c>
      <c r="H435" s="7">
        <v>401623.98829000001</v>
      </c>
      <c r="I435" s="7">
        <v>298376.05459000001</v>
      </c>
      <c r="J435" s="80">
        <v>166.015675838459</v>
      </c>
      <c r="K435" s="80">
        <v>-21.5146679487824</v>
      </c>
      <c r="L435" s="71">
        <v>70</v>
      </c>
      <c r="M435" s="73">
        <v>2</v>
      </c>
      <c r="N435" s="73">
        <v>2</v>
      </c>
      <c r="O435" s="73">
        <v>1</v>
      </c>
      <c r="P435" s="17" t="s">
        <v>47</v>
      </c>
      <c r="Q435" t="str">
        <f>LEFT(B435,3)</f>
        <v>KBO</v>
      </c>
    </row>
    <row r="436" spans="1:17">
      <c r="A436" s="17" t="s">
        <v>2916</v>
      </c>
      <c r="B436" s="17" t="s">
        <v>902</v>
      </c>
      <c r="C436" s="13" t="s">
        <v>2915</v>
      </c>
      <c r="D436" s="13" t="s">
        <v>2915</v>
      </c>
      <c r="E436" s="17" t="s">
        <v>98</v>
      </c>
      <c r="F436" s="17" t="s">
        <v>68</v>
      </c>
      <c r="G436" s="17" t="s">
        <v>68</v>
      </c>
      <c r="H436" s="7">
        <v>401623.92577999999</v>
      </c>
      <c r="I436" s="7">
        <v>298376.05419</v>
      </c>
      <c r="J436" s="80">
        <v>166.015675838459</v>
      </c>
      <c r="K436" s="80">
        <v>-21.5146679487824</v>
      </c>
      <c r="L436" s="71">
        <v>180</v>
      </c>
      <c r="M436" s="73">
        <v>2</v>
      </c>
      <c r="N436" s="73">
        <v>2</v>
      </c>
      <c r="O436" s="73">
        <v>1</v>
      </c>
      <c r="P436" s="17" t="s">
        <v>47</v>
      </c>
      <c r="Q436" t="str">
        <f>LEFT(B436,3)</f>
        <v>KBO</v>
      </c>
    </row>
    <row r="437" spans="1:17">
      <c r="A437" s="17" t="s">
        <v>2917</v>
      </c>
      <c r="B437" s="17" t="s">
        <v>902</v>
      </c>
      <c r="C437" s="13" t="s">
        <v>2915</v>
      </c>
      <c r="D437" s="13" t="s">
        <v>2915</v>
      </c>
      <c r="E437" s="17" t="s">
        <v>98</v>
      </c>
      <c r="F437" s="17" t="s">
        <v>68</v>
      </c>
      <c r="G437" s="17" t="s">
        <v>68</v>
      </c>
      <c r="H437" s="7">
        <v>401623.92577999999</v>
      </c>
      <c r="I437" s="7">
        <v>298376.05419</v>
      </c>
      <c r="J437" s="80">
        <v>166.015675838459</v>
      </c>
      <c r="K437" s="80">
        <v>-21.5146679487824</v>
      </c>
      <c r="L437" s="71">
        <v>262</v>
      </c>
      <c r="M437" s="73">
        <v>2</v>
      </c>
      <c r="N437" s="73">
        <v>2</v>
      </c>
      <c r="O437" s="73">
        <v>0</v>
      </c>
      <c r="P437" s="17" t="s">
        <v>47</v>
      </c>
      <c r="Q437" t="str">
        <f>LEFT(B437,3)</f>
        <v>KBO</v>
      </c>
    </row>
    <row r="438" spans="1:17">
      <c r="A438" s="17" t="s">
        <v>2918</v>
      </c>
      <c r="B438" s="17" t="s">
        <v>906</v>
      </c>
      <c r="C438" s="13" t="s">
        <v>907</v>
      </c>
      <c r="D438" s="13" t="s">
        <v>908</v>
      </c>
      <c r="E438" s="17" t="s">
        <v>67</v>
      </c>
      <c r="F438" s="17" t="s">
        <v>68</v>
      </c>
      <c r="G438" s="17" t="s">
        <v>68</v>
      </c>
      <c r="H438" s="7">
        <v>281800</v>
      </c>
      <c r="I438" s="7">
        <v>348329</v>
      </c>
      <c r="J438" s="79">
        <v>164.86259000000001</v>
      </c>
      <c r="K438" s="79">
        <v>-21.059578999999999</v>
      </c>
      <c r="L438" s="71">
        <v>0</v>
      </c>
      <c r="M438" s="73">
        <v>2</v>
      </c>
      <c r="N438" s="73">
        <v>3</v>
      </c>
      <c r="O438" s="73">
        <v>0</v>
      </c>
      <c r="P438" s="17" t="s">
        <v>37</v>
      </c>
      <c r="Q438" t="str">
        <f>LEFT(B438,3)</f>
        <v>KBT</v>
      </c>
    </row>
    <row r="439" spans="1:17">
      <c r="A439" s="17" t="s">
        <v>2919</v>
      </c>
      <c r="B439" s="17" t="s">
        <v>906</v>
      </c>
      <c r="C439" s="13" t="s">
        <v>907</v>
      </c>
      <c r="D439" s="13" t="s">
        <v>908</v>
      </c>
      <c r="E439" s="17" t="s">
        <v>67</v>
      </c>
      <c r="F439" s="17" t="s">
        <v>68</v>
      </c>
      <c r="G439" s="17" t="s">
        <v>68</v>
      </c>
      <c r="H439" s="7">
        <v>281800</v>
      </c>
      <c r="I439" s="7">
        <v>348329</v>
      </c>
      <c r="J439" s="79">
        <v>164.86259000000001</v>
      </c>
      <c r="K439" s="79">
        <v>-21.059578999999999</v>
      </c>
      <c r="L439" s="71">
        <v>220</v>
      </c>
      <c r="M439" s="73">
        <v>2</v>
      </c>
      <c r="N439" s="73">
        <v>3</v>
      </c>
      <c r="O439" s="73">
        <v>0</v>
      </c>
      <c r="P439" s="17" t="s">
        <v>37</v>
      </c>
      <c r="Q439" t="str">
        <f>LEFT(B439,3)</f>
        <v>KBT</v>
      </c>
    </row>
    <row r="440" spans="1:17">
      <c r="A440" s="17" t="s">
        <v>2920</v>
      </c>
      <c r="B440" s="17" t="s">
        <v>906</v>
      </c>
      <c r="C440" s="13" t="s">
        <v>907</v>
      </c>
      <c r="D440" s="13" t="s">
        <v>908</v>
      </c>
      <c r="E440" s="17" t="s">
        <v>67</v>
      </c>
      <c r="F440" s="17" t="s">
        <v>68</v>
      </c>
      <c r="G440" s="17" t="s">
        <v>68</v>
      </c>
      <c r="H440" s="7">
        <v>281800</v>
      </c>
      <c r="I440" s="7">
        <v>348329</v>
      </c>
      <c r="J440" s="79">
        <v>164.86259000000001</v>
      </c>
      <c r="K440" s="79">
        <v>-21.059578999999999</v>
      </c>
      <c r="L440" s="71">
        <v>290</v>
      </c>
      <c r="M440" s="73">
        <v>2</v>
      </c>
      <c r="N440" s="73">
        <v>3</v>
      </c>
      <c r="O440" s="73">
        <v>0</v>
      </c>
      <c r="P440" s="17" t="s">
        <v>37</v>
      </c>
      <c r="Q440" t="str">
        <f>LEFT(B440,3)</f>
        <v>KBT</v>
      </c>
    </row>
    <row r="441" spans="1:17">
      <c r="A441" s="17" t="s">
        <v>2921</v>
      </c>
      <c r="B441" s="17" t="s">
        <v>910</v>
      </c>
      <c r="C441" s="13" t="s">
        <v>912</v>
      </c>
      <c r="D441" s="13" t="s">
        <v>912</v>
      </c>
      <c r="E441" s="17" t="s">
        <v>373</v>
      </c>
      <c r="F441" s="17" t="s">
        <v>129</v>
      </c>
      <c r="G441" s="17" t="s">
        <v>129</v>
      </c>
      <c r="H441" s="7">
        <v>526144.64066000003</v>
      </c>
      <c r="I441" s="7">
        <v>350421.59840000002</v>
      </c>
      <c r="J441" s="80">
        <v>167.21370357633501</v>
      </c>
      <c r="K441" s="80">
        <v>-21.0401350870385</v>
      </c>
      <c r="L441" s="71">
        <v>76</v>
      </c>
      <c r="M441" s="73">
        <v>1</v>
      </c>
      <c r="N441" s="73">
        <v>1</v>
      </c>
      <c r="O441" s="73">
        <v>1</v>
      </c>
      <c r="P441" s="17" t="s">
        <v>47</v>
      </c>
      <c r="Q441" t="str">
        <f>LEFT(B441,3)</f>
        <v>KED</v>
      </c>
    </row>
    <row r="442" spans="1:17">
      <c r="A442" s="17" t="s">
        <v>2922</v>
      </c>
      <c r="B442" s="17" t="s">
        <v>910</v>
      </c>
      <c r="C442" s="13" t="s">
        <v>912</v>
      </c>
      <c r="D442" s="13" t="s">
        <v>912</v>
      </c>
      <c r="E442" s="17" t="s">
        <v>373</v>
      </c>
      <c r="F442" s="17" t="s">
        <v>129</v>
      </c>
      <c r="G442" s="17" t="s">
        <v>129</v>
      </c>
      <c r="H442" s="7">
        <v>526144.64066000003</v>
      </c>
      <c r="I442" s="7">
        <v>350421.59840000002</v>
      </c>
      <c r="J442" s="80">
        <v>167.21370357633501</v>
      </c>
      <c r="K442" s="80">
        <v>-21.0401350870385</v>
      </c>
      <c r="L442" s="71">
        <v>201</v>
      </c>
      <c r="M442" s="73">
        <v>1</v>
      </c>
      <c r="N442" s="73">
        <v>1</v>
      </c>
      <c r="O442" s="73">
        <v>1</v>
      </c>
      <c r="P442" s="17" t="s">
        <v>47</v>
      </c>
      <c r="Q442" t="str">
        <f>LEFT(B442,3)</f>
        <v>KED</v>
      </c>
    </row>
    <row r="443" spans="1:17">
      <c r="A443" s="17" t="s">
        <v>2923</v>
      </c>
      <c r="B443" s="17" t="s">
        <v>910</v>
      </c>
      <c r="C443" s="13" t="s">
        <v>912</v>
      </c>
      <c r="D443" s="13" t="s">
        <v>912</v>
      </c>
      <c r="E443" s="17" t="s">
        <v>373</v>
      </c>
      <c r="F443" s="17" t="s">
        <v>129</v>
      </c>
      <c r="G443" s="17" t="s">
        <v>129</v>
      </c>
      <c r="H443" s="7">
        <v>526144.64066000003</v>
      </c>
      <c r="I443" s="7">
        <v>350421.59840000002</v>
      </c>
      <c r="J443" s="80">
        <v>167.21370357633501</v>
      </c>
      <c r="K443" s="80">
        <v>-21.0401350870385</v>
      </c>
      <c r="L443" s="71">
        <v>334</v>
      </c>
      <c r="M443" s="73">
        <v>1</v>
      </c>
      <c r="N443" s="73">
        <v>1</v>
      </c>
      <c r="O443" s="73">
        <v>1</v>
      </c>
      <c r="P443" s="17" t="s">
        <v>47</v>
      </c>
      <c r="Q443" t="str">
        <f>LEFT(B443,3)</f>
        <v>KED</v>
      </c>
    </row>
    <row r="444" spans="1:17">
      <c r="A444" s="17" t="s">
        <v>2924</v>
      </c>
      <c r="B444" s="17" t="s">
        <v>915</v>
      </c>
      <c r="C444" s="13" t="s">
        <v>916</v>
      </c>
      <c r="D444" s="13" t="s">
        <v>917</v>
      </c>
      <c r="E444" s="17" t="s">
        <v>331</v>
      </c>
      <c r="F444" s="17" t="s">
        <v>43</v>
      </c>
      <c r="G444" s="17" t="s">
        <v>43</v>
      </c>
      <c r="H444" s="7">
        <v>552423</v>
      </c>
      <c r="I444" s="7">
        <v>169450</v>
      </c>
      <c r="J444" s="80">
        <v>167.48304200000001</v>
      </c>
      <c r="K444" s="80">
        <v>-22.672491000000001</v>
      </c>
      <c r="L444" s="71">
        <v>281</v>
      </c>
      <c r="M444" s="73">
        <v>1</v>
      </c>
      <c r="N444" s="73">
        <v>1</v>
      </c>
      <c r="O444" s="73">
        <v>0</v>
      </c>
      <c r="P444" s="17" t="s">
        <v>47</v>
      </c>
      <c r="Q444" t="str">
        <f>LEFT(B444,3)</f>
        <v>KEE</v>
      </c>
    </row>
    <row r="445" spans="1:17">
      <c r="A445" s="17" t="s">
        <v>2925</v>
      </c>
      <c r="B445" s="17" t="s">
        <v>915</v>
      </c>
      <c r="C445" s="13" t="s">
        <v>916</v>
      </c>
      <c r="D445" s="13" t="s">
        <v>917</v>
      </c>
      <c r="E445" s="17" t="s">
        <v>331</v>
      </c>
      <c r="F445" s="17" t="s">
        <v>43</v>
      </c>
      <c r="G445" s="17" t="s">
        <v>43</v>
      </c>
      <c r="H445" s="7">
        <v>552423</v>
      </c>
      <c r="I445" s="7">
        <v>169450</v>
      </c>
      <c r="J445" s="80">
        <v>167.48304200000001</v>
      </c>
      <c r="K445" s="80">
        <v>-22.672491000000001</v>
      </c>
      <c r="L445" s="71">
        <v>116</v>
      </c>
      <c r="M445" s="73">
        <v>1</v>
      </c>
      <c r="N445" s="73">
        <v>1</v>
      </c>
      <c r="O445" s="73">
        <v>0</v>
      </c>
      <c r="P445" s="17" t="s">
        <v>47</v>
      </c>
      <c r="Q445" t="str">
        <f>LEFT(B445,3)</f>
        <v>KEE</v>
      </c>
    </row>
    <row r="446" spans="1:17">
      <c r="A446" s="17" t="s">
        <v>2926</v>
      </c>
      <c r="B446" s="17" t="s">
        <v>919</v>
      </c>
      <c r="C446" s="13" t="s">
        <v>920</v>
      </c>
      <c r="D446" s="13" t="s">
        <v>920</v>
      </c>
      <c r="E446" s="17" t="s">
        <v>421</v>
      </c>
      <c r="F446" s="17" t="s">
        <v>43</v>
      </c>
      <c r="G446" s="17" t="s">
        <v>43</v>
      </c>
      <c r="H446" s="7">
        <v>360049.98499999999</v>
      </c>
      <c r="I446" s="7">
        <v>276425.63984999998</v>
      </c>
      <c r="J446" s="80">
        <v>165.61385566167201</v>
      </c>
      <c r="K446" s="80">
        <v>-21.712482099938999</v>
      </c>
      <c r="L446" s="71">
        <v>57</v>
      </c>
      <c r="M446" s="73">
        <v>1</v>
      </c>
      <c r="N446" s="73">
        <v>1</v>
      </c>
      <c r="O446" s="73">
        <v>1</v>
      </c>
      <c r="P446" s="17" t="s">
        <v>47</v>
      </c>
      <c r="Q446" t="str">
        <f>LEFT(B446,3)</f>
        <v>KEL</v>
      </c>
    </row>
    <row r="447" spans="1:17">
      <c r="A447" s="17" t="s">
        <v>2927</v>
      </c>
      <c r="B447" s="17" t="s">
        <v>919</v>
      </c>
      <c r="C447" s="13" t="s">
        <v>920</v>
      </c>
      <c r="D447" s="13" t="s">
        <v>920</v>
      </c>
      <c r="E447" s="17" t="s">
        <v>421</v>
      </c>
      <c r="F447" s="17" t="s">
        <v>43</v>
      </c>
      <c r="G447" s="17" t="s">
        <v>43</v>
      </c>
      <c r="H447" s="7">
        <v>360049.98499999999</v>
      </c>
      <c r="I447" s="7">
        <v>276425.63984999998</v>
      </c>
      <c r="J447" s="80">
        <v>165.61385566167201</v>
      </c>
      <c r="K447" s="80">
        <v>-21.712482099938999</v>
      </c>
      <c r="L447" s="71">
        <v>194</v>
      </c>
      <c r="M447" s="73">
        <v>1</v>
      </c>
      <c r="N447" s="73">
        <v>1</v>
      </c>
      <c r="O447" s="73">
        <v>1</v>
      </c>
      <c r="P447" s="17" t="s">
        <v>47</v>
      </c>
      <c r="Q447" t="str">
        <f>LEFT(B447,3)</f>
        <v>KEL</v>
      </c>
    </row>
    <row r="448" spans="1:17">
      <c r="A448" s="17" t="s">
        <v>2928</v>
      </c>
      <c r="B448" s="17" t="s">
        <v>919</v>
      </c>
      <c r="C448" s="13" t="s">
        <v>920</v>
      </c>
      <c r="D448" s="13" t="s">
        <v>920</v>
      </c>
      <c r="E448" s="17" t="s">
        <v>421</v>
      </c>
      <c r="F448" s="17" t="s">
        <v>43</v>
      </c>
      <c r="G448" s="17" t="s">
        <v>43</v>
      </c>
      <c r="H448" s="7">
        <v>360049.98499999999</v>
      </c>
      <c r="I448" s="7">
        <v>276425.63984999998</v>
      </c>
      <c r="J448" s="80">
        <v>165.61385566167201</v>
      </c>
      <c r="K448" s="80">
        <v>-21.712482099938999</v>
      </c>
      <c r="L448" s="71">
        <v>290</v>
      </c>
      <c r="M448" s="73">
        <v>1</v>
      </c>
      <c r="N448" s="73">
        <v>1</v>
      </c>
      <c r="O448" s="73">
        <v>1</v>
      </c>
      <c r="P448" s="17" t="s">
        <v>47</v>
      </c>
      <c r="Q448" t="str">
        <f>LEFT(B448,3)</f>
        <v>KEL</v>
      </c>
    </row>
    <row r="449" spans="1:17">
      <c r="A449" s="17" t="s">
        <v>2929</v>
      </c>
      <c r="B449" s="17" t="s">
        <v>923</v>
      </c>
      <c r="C449" s="13" t="s">
        <v>924</v>
      </c>
      <c r="D449" s="13" t="s">
        <v>924</v>
      </c>
      <c r="E449" s="17" t="s">
        <v>49</v>
      </c>
      <c r="F449" s="17" t="s">
        <v>43</v>
      </c>
      <c r="G449" s="17" t="s">
        <v>50</v>
      </c>
      <c r="H449" s="7">
        <v>448940</v>
      </c>
      <c r="I449" s="7">
        <v>220192</v>
      </c>
      <c r="J449" s="79">
        <v>166.47469000000001</v>
      </c>
      <c r="K449" s="79">
        <v>-22.220140000000001</v>
      </c>
      <c r="L449" s="71">
        <v>0</v>
      </c>
      <c r="M449" s="73">
        <v>1</v>
      </c>
      <c r="N449" s="73">
        <v>1</v>
      </c>
      <c r="O449" s="73">
        <v>0</v>
      </c>
      <c r="P449" s="17" t="s">
        <v>37</v>
      </c>
      <c r="Q449" t="str">
        <f>LEFT(B449,3)</f>
        <v>KEN</v>
      </c>
    </row>
    <row r="450" spans="1:17">
      <c r="A450" s="17" t="s">
        <v>2930</v>
      </c>
      <c r="B450" s="17" t="s">
        <v>927</v>
      </c>
      <c r="C450" s="13" t="s">
        <v>929</v>
      </c>
      <c r="D450" s="13" t="s">
        <v>929</v>
      </c>
      <c r="E450" s="17" t="s">
        <v>207</v>
      </c>
      <c r="F450" s="17" t="s">
        <v>43</v>
      </c>
      <c r="G450" s="17" t="s">
        <v>43</v>
      </c>
      <c r="H450" s="7">
        <v>409479.84179999999</v>
      </c>
      <c r="I450" s="7">
        <v>272717.70361000003</v>
      </c>
      <c r="J450" s="80">
        <v>166.091651935264</v>
      </c>
      <c r="K450" s="80">
        <v>-21.74639378314</v>
      </c>
      <c r="L450" s="71">
        <v>47</v>
      </c>
      <c r="M450" s="73">
        <v>1</v>
      </c>
      <c r="N450" s="73">
        <v>1</v>
      </c>
      <c r="O450" s="73">
        <v>1</v>
      </c>
      <c r="P450" s="17" t="s">
        <v>47</v>
      </c>
      <c r="Q450" t="str">
        <f>LEFT(B450,3)</f>
        <v>KER</v>
      </c>
    </row>
    <row r="451" spans="1:17">
      <c r="A451" s="17" t="s">
        <v>2931</v>
      </c>
      <c r="B451" s="17" t="s">
        <v>927</v>
      </c>
      <c r="C451" s="13" t="s">
        <v>929</v>
      </c>
      <c r="D451" s="13" t="s">
        <v>929</v>
      </c>
      <c r="E451" s="17" t="s">
        <v>207</v>
      </c>
      <c r="F451" s="17" t="s">
        <v>43</v>
      </c>
      <c r="G451" s="17" t="s">
        <v>43</v>
      </c>
      <c r="H451" s="7">
        <v>409479.84179999999</v>
      </c>
      <c r="I451" s="7">
        <v>272717.70361000003</v>
      </c>
      <c r="J451" s="80">
        <v>166.091651935264</v>
      </c>
      <c r="K451" s="80">
        <v>-21.74639378314</v>
      </c>
      <c r="L451" s="71">
        <v>224</v>
      </c>
      <c r="M451" s="73">
        <v>1</v>
      </c>
      <c r="N451" s="73">
        <v>1</v>
      </c>
      <c r="O451" s="73">
        <v>1</v>
      </c>
      <c r="P451" s="17" t="s">
        <v>47</v>
      </c>
      <c r="Q451" t="str">
        <f>LEFT(B451,3)</f>
        <v>KER</v>
      </c>
    </row>
    <row r="452" spans="1:17">
      <c r="A452" s="17" t="s">
        <v>2932</v>
      </c>
      <c r="B452" s="17" t="s">
        <v>931</v>
      </c>
      <c r="C452" s="13" t="s">
        <v>586</v>
      </c>
      <c r="D452" s="13" t="s">
        <v>586</v>
      </c>
      <c r="E452" s="17" t="s">
        <v>49</v>
      </c>
      <c r="F452" s="17" t="s">
        <v>43</v>
      </c>
      <c r="G452" s="17" t="s">
        <v>50</v>
      </c>
      <c r="H452" s="7">
        <v>451908.14380000002</v>
      </c>
      <c r="I452" s="7">
        <v>224545.36507</v>
      </c>
      <c r="J452" s="80">
        <v>166.50334058094001</v>
      </c>
      <c r="K452" s="80">
        <v>-22.180744785678701</v>
      </c>
      <c r="L452" s="71">
        <v>298</v>
      </c>
      <c r="M452" s="73">
        <v>2</v>
      </c>
      <c r="N452" s="73">
        <v>2</v>
      </c>
      <c r="O452" s="73">
        <v>1</v>
      </c>
      <c r="P452" s="17" t="s">
        <v>37</v>
      </c>
      <c r="Q452" t="str">
        <f>LEFT(B452,3)</f>
        <v>KGH</v>
      </c>
    </row>
    <row r="453" spans="1:17">
      <c r="A453" s="17" t="s">
        <v>2933</v>
      </c>
      <c r="B453" s="17" t="s">
        <v>934</v>
      </c>
      <c r="C453" s="13" t="s">
        <v>935</v>
      </c>
      <c r="D453" s="13" t="s">
        <v>936</v>
      </c>
      <c r="E453" s="17" t="s">
        <v>49</v>
      </c>
      <c r="F453" s="17" t="s">
        <v>43</v>
      </c>
      <c r="G453" s="17" t="s">
        <v>50</v>
      </c>
      <c r="H453" s="7">
        <v>450412</v>
      </c>
      <c r="I453" s="7">
        <v>224134</v>
      </c>
      <c r="J453" s="80">
        <v>166.48884699999999</v>
      </c>
      <c r="K453" s="80">
        <v>-22.184498999999999</v>
      </c>
      <c r="L453" s="71">
        <v>72</v>
      </c>
      <c r="M453" s="73">
        <v>1</v>
      </c>
      <c r="N453" s="73">
        <v>2</v>
      </c>
      <c r="O453" s="73">
        <v>0</v>
      </c>
      <c r="P453" s="17" t="s">
        <v>37</v>
      </c>
      <c r="Q453" t="str">
        <f>LEFT(B453,3)</f>
        <v>KGR</v>
      </c>
    </row>
    <row r="454" spans="1:17">
      <c r="A454" s="17" t="s">
        <v>2934</v>
      </c>
      <c r="B454" s="17" t="s">
        <v>934</v>
      </c>
      <c r="C454" s="13" t="s">
        <v>935</v>
      </c>
      <c r="D454" s="13" t="s">
        <v>936</v>
      </c>
      <c r="E454" s="17" t="s">
        <v>49</v>
      </c>
      <c r="F454" s="17" t="s">
        <v>43</v>
      </c>
      <c r="G454" s="17" t="s">
        <v>50</v>
      </c>
      <c r="H454" s="7">
        <v>450412</v>
      </c>
      <c r="I454" s="7">
        <v>224134</v>
      </c>
      <c r="J454" s="80">
        <v>166.48884699999999</v>
      </c>
      <c r="K454" s="80">
        <v>-22.184498999999999</v>
      </c>
      <c r="L454" s="71">
        <v>310</v>
      </c>
      <c r="M454" s="73">
        <v>1</v>
      </c>
      <c r="N454" s="73">
        <v>2</v>
      </c>
      <c r="O454" s="73">
        <v>0</v>
      </c>
      <c r="P454" s="17" t="s">
        <v>37</v>
      </c>
      <c r="Q454" t="str">
        <f>LEFT(B454,3)</f>
        <v>KGR</v>
      </c>
    </row>
    <row r="455" spans="1:17">
      <c r="A455" s="17" t="s">
        <v>2935</v>
      </c>
      <c r="B455" s="17" t="s">
        <v>939</v>
      </c>
      <c r="C455" s="13" t="s">
        <v>940</v>
      </c>
      <c r="D455" s="13" t="s">
        <v>940</v>
      </c>
      <c r="E455" s="17" t="s">
        <v>373</v>
      </c>
      <c r="F455" s="17" t="s">
        <v>129</v>
      </c>
      <c r="G455" s="17" t="s">
        <v>129</v>
      </c>
      <c r="H455" s="7">
        <v>540789</v>
      </c>
      <c r="I455" s="7">
        <v>361159</v>
      </c>
      <c r="J455" s="79">
        <v>167.35369952626101</v>
      </c>
      <c r="K455" s="79">
        <v>-20.942068736329102</v>
      </c>
      <c r="L455" s="71">
        <v>120</v>
      </c>
      <c r="M455" s="73">
        <v>1</v>
      </c>
      <c r="N455" s="73">
        <v>1</v>
      </c>
      <c r="O455" s="73">
        <v>1</v>
      </c>
      <c r="P455" s="17" t="s">
        <v>47</v>
      </c>
      <c r="Q455" t="str">
        <f>LEFT(B455,3)</f>
        <v>KIA</v>
      </c>
    </row>
    <row r="456" spans="1:17">
      <c r="A456" s="17" t="s">
        <v>2936</v>
      </c>
      <c r="B456" s="17" t="s">
        <v>939</v>
      </c>
      <c r="C456" s="13" t="s">
        <v>940</v>
      </c>
      <c r="D456" s="13" t="s">
        <v>940</v>
      </c>
      <c r="E456" s="17" t="s">
        <v>373</v>
      </c>
      <c r="F456" s="17" t="s">
        <v>129</v>
      </c>
      <c r="G456" s="17" t="s">
        <v>129</v>
      </c>
      <c r="H456" s="7">
        <v>540789</v>
      </c>
      <c r="I456" s="7">
        <v>361159</v>
      </c>
      <c r="J456" s="79">
        <v>167.35369952626101</v>
      </c>
      <c r="K456" s="79">
        <v>-20.942068736329102</v>
      </c>
      <c r="L456" s="71">
        <v>200</v>
      </c>
      <c r="M456" s="73">
        <v>1</v>
      </c>
      <c r="N456" s="73">
        <v>1</v>
      </c>
      <c r="O456" s="73">
        <v>1</v>
      </c>
      <c r="P456" s="17" t="s">
        <v>47</v>
      </c>
      <c r="Q456" t="str">
        <f>LEFT(B456,3)</f>
        <v>KIA</v>
      </c>
    </row>
    <row r="457" spans="1:17">
      <c r="A457" s="26" t="s">
        <v>2937</v>
      </c>
      <c r="B457" s="26" t="s">
        <v>942</v>
      </c>
      <c r="C457" s="26" t="s">
        <v>943</v>
      </c>
      <c r="D457" s="26" t="s">
        <v>943</v>
      </c>
      <c r="E457" s="25" t="s">
        <v>49</v>
      </c>
      <c r="F457" s="25" t="s">
        <v>43</v>
      </c>
      <c r="G457" s="25" t="s">
        <v>50</v>
      </c>
      <c r="H457" s="27">
        <v>448696.86807000003</v>
      </c>
      <c r="I457" s="27">
        <v>219822.39327999999</v>
      </c>
      <c r="J457" s="81">
        <v>166.472342787294</v>
      </c>
      <c r="K457" s="81">
        <v>-22.223488516696499</v>
      </c>
      <c r="L457" s="75">
        <v>357</v>
      </c>
      <c r="M457" s="76">
        <v>2</v>
      </c>
      <c r="N457" s="76">
        <v>0</v>
      </c>
      <c r="O457" s="76">
        <v>1</v>
      </c>
      <c r="P457" s="25" t="s">
        <v>37</v>
      </c>
      <c r="Q457" t="str">
        <f>LEFT(B457,3)</f>
        <v>KIN</v>
      </c>
    </row>
    <row r="458" spans="1:17">
      <c r="A458" s="26" t="s">
        <v>2938</v>
      </c>
      <c r="B458" s="26" t="s">
        <v>942</v>
      </c>
      <c r="C458" s="26" t="s">
        <v>943</v>
      </c>
      <c r="D458" s="26" t="s">
        <v>943</v>
      </c>
      <c r="E458" s="25" t="s">
        <v>49</v>
      </c>
      <c r="F458" s="25" t="s">
        <v>43</v>
      </c>
      <c r="G458" s="25" t="s">
        <v>50</v>
      </c>
      <c r="H458" s="27">
        <v>448696.86807000003</v>
      </c>
      <c r="I458" s="27">
        <v>219822.39327999999</v>
      </c>
      <c r="J458" s="81">
        <v>166.472342787294</v>
      </c>
      <c r="K458" s="81">
        <v>-22.223488516696499</v>
      </c>
      <c r="L458" s="75">
        <v>87</v>
      </c>
      <c r="M458" s="76">
        <v>2</v>
      </c>
      <c r="N458" s="76">
        <v>0</v>
      </c>
      <c r="O458" s="76">
        <v>1</v>
      </c>
      <c r="P458" s="25" t="s">
        <v>37</v>
      </c>
      <c r="Q458" t="str">
        <f>LEFT(B458,3)</f>
        <v>KIN</v>
      </c>
    </row>
    <row r="459" spans="1:17">
      <c r="A459" s="26" t="s">
        <v>2939</v>
      </c>
      <c r="B459" s="26" t="s">
        <v>942</v>
      </c>
      <c r="C459" s="26" t="s">
        <v>943</v>
      </c>
      <c r="D459" s="26" t="s">
        <v>943</v>
      </c>
      <c r="E459" s="25" t="s">
        <v>49</v>
      </c>
      <c r="F459" s="25" t="s">
        <v>43</v>
      </c>
      <c r="G459" s="25" t="s">
        <v>50</v>
      </c>
      <c r="H459" s="27">
        <v>448696.86807000003</v>
      </c>
      <c r="I459" s="27">
        <v>219822.39327999999</v>
      </c>
      <c r="J459" s="81">
        <v>166.472342787294</v>
      </c>
      <c r="K459" s="81">
        <v>-22.223488516696499</v>
      </c>
      <c r="L459" s="75">
        <v>266</v>
      </c>
      <c r="M459" s="76">
        <v>2</v>
      </c>
      <c r="N459" s="76">
        <v>0</v>
      </c>
      <c r="O459" s="76">
        <v>1</v>
      </c>
      <c r="P459" s="25" t="s">
        <v>37</v>
      </c>
      <c r="Q459" t="str">
        <f>LEFT(B459,3)</f>
        <v>KIN</v>
      </c>
    </row>
    <row r="460" spans="1:17">
      <c r="A460" s="17" t="s">
        <v>2940</v>
      </c>
      <c r="B460" s="17" t="s">
        <v>946</v>
      </c>
      <c r="C460" s="13" t="s">
        <v>947</v>
      </c>
      <c r="D460" s="13" t="s">
        <v>947</v>
      </c>
      <c r="E460" s="17" t="s">
        <v>56</v>
      </c>
      <c r="F460" s="17" t="s">
        <v>43</v>
      </c>
      <c r="G460" s="17" t="s">
        <v>50</v>
      </c>
      <c r="H460" s="7">
        <v>419861.71029000002</v>
      </c>
      <c r="I460" s="7">
        <v>233091.68517000001</v>
      </c>
      <c r="J460" s="80">
        <v>166.19249600558899</v>
      </c>
      <c r="K460" s="80">
        <v>-22.104199542820599</v>
      </c>
      <c r="L460" s="71">
        <v>50</v>
      </c>
      <c r="M460" s="73">
        <v>2</v>
      </c>
      <c r="N460" s="73">
        <v>2</v>
      </c>
      <c r="O460" s="73">
        <v>1</v>
      </c>
      <c r="P460" s="17" t="s">
        <v>47</v>
      </c>
      <c r="Q460" t="str">
        <f>LEFT(B460,3)</f>
        <v>KKT</v>
      </c>
    </row>
    <row r="461" spans="1:17">
      <c r="A461" s="17" t="s">
        <v>2941</v>
      </c>
      <c r="B461" s="17" t="s">
        <v>946</v>
      </c>
      <c r="C461" s="13" t="s">
        <v>947</v>
      </c>
      <c r="D461" s="13" t="s">
        <v>947</v>
      </c>
      <c r="E461" s="17" t="s">
        <v>56</v>
      </c>
      <c r="F461" s="17" t="s">
        <v>43</v>
      </c>
      <c r="G461" s="17" t="s">
        <v>50</v>
      </c>
      <c r="H461" s="7">
        <v>419861.71029000002</v>
      </c>
      <c r="I461" s="7">
        <v>233091.68517000001</v>
      </c>
      <c r="J461" s="80">
        <v>166.19249600558899</v>
      </c>
      <c r="K461" s="80">
        <v>-22.104199542820599</v>
      </c>
      <c r="L461" s="71">
        <v>130</v>
      </c>
      <c r="M461" s="73">
        <v>2</v>
      </c>
      <c r="N461" s="73">
        <v>2</v>
      </c>
      <c r="O461" s="73">
        <v>1</v>
      </c>
      <c r="P461" s="17" t="s">
        <v>47</v>
      </c>
      <c r="Q461" t="str">
        <f>LEFT(B461,3)</f>
        <v>KKT</v>
      </c>
    </row>
    <row r="462" spans="1:17">
      <c r="A462" s="17" t="s">
        <v>2942</v>
      </c>
      <c r="B462" s="17" t="s">
        <v>946</v>
      </c>
      <c r="C462" s="13" t="s">
        <v>947</v>
      </c>
      <c r="D462" s="13" t="s">
        <v>947</v>
      </c>
      <c r="E462" s="17" t="s">
        <v>56</v>
      </c>
      <c r="F462" s="17" t="s">
        <v>43</v>
      </c>
      <c r="G462" s="17" t="s">
        <v>50</v>
      </c>
      <c r="H462" s="7">
        <v>419861.71029000002</v>
      </c>
      <c r="I462" s="7">
        <v>233091.68517000001</v>
      </c>
      <c r="J462" s="80">
        <v>166.19249600558899</v>
      </c>
      <c r="K462" s="80">
        <v>-22.104199542820599</v>
      </c>
      <c r="L462" s="71">
        <v>270</v>
      </c>
      <c r="M462" s="73">
        <v>2</v>
      </c>
      <c r="N462" s="73">
        <v>2</v>
      </c>
      <c r="O462" s="73">
        <v>1</v>
      </c>
      <c r="P462" s="17" t="s">
        <v>47</v>
      </c>
      <c r="Q462" t="str">
        <f>LEFT(B462,3)</f>
        <v>KKT</v>
      </c>
    </row>
    <row r="463" spans="1:17">
      <c r="A463" s="17" t="s">
        <v>2943</v>
      </c>
      <c r="B463" s="17" t="s">
        <v>950</v>
      </c>
      <c r="C463" s="13" t="s">
        <v>2944</v>
      </c>
      <c r="D463" s="13" t="s">
        <v>2945</v>
      </c>
      <c r="E463" s="17" t="s">
        <v>684</v>
      </c>
      <c r="F463" s="17" t="s">
        <v>68</v>
      </c>
      <c r="G463" s="17" t="s">
        <v>68</v>
      </c>
      <c r="H463" s="7">
        <v>294994</v>
      </c>
      <c r="I463" s="7">
        <v>389019</v>
      </c>
      <c r="J463" s="79">
        <v>164.99207000000001</v>
      </c>
      <c r="K463" s="79">
        <v>-20.692869999999999</v>
      </c>
      <c r="L463" s="71">
        <v>130</v>
      </c>
      <c r="M463" s="73">
        <v>1</v>
      </c>
      <c r="N463" s="73">
        <v>1</v>
      </c>
      <c r="O463" s="73">
        <v>0</v>
      </c>
      <c r="P463" s="17" t="s">
        <v>47</v>
      </c>
      <c r="Q463" t="str">
        <f>LEFT(B463,3)</f>
        <v>KLE</v>
      </c>
    </row>
    <row r="464" spans="1:17">
      <c r="A464" s="17" t="s">
        <v>2946</v>
      </c>
      <c r="B464" s="17" t="s">
        <v>950</v>
      </c>
      <c r="C464" s="13" t="s">
        <v>2944</v>
      </c>
      <c r="D464" s="13" t="s">
        <v>2945</v>
      </c>
      <c r="E464" s="17" t="s">
        <v>684</v>
      </c>
      <c r="F464" s="17" t="s">
        <v>68</v>
      </c>
      <c r="G464" s="17" t="s">
        <v>68</v>
      </c>
      <c r="H464" s="7">
        <v>294994</v>
      </c>
      <c r="I464" s="7">
        <v>389019</v>
      </c>
      <c r="J464" s="79">
        <v>164.99207000000001</v>
      </c>
      <c r="K464" s="79">
        <v>-20.692869999999999</v>
      </c>
      <c r="L464" s="71">
        <v>310</v>
      </c>
      <c r="M464" s="73">
        <v>1</v>
      </c>
      <c r="N464" s="73">
        <v>1</v>
      </c>
      <c r="O464" s="73">
        <v>0</v>
      </c>
      <c r="P464" s="17" t="s">
        <v>47</v>
      </c>
      <c r="Q464" t="str">
        <f>LEFT(B464,3)</f>
        <v>KLE</v>
      </c>
    </row>
    <row r="465" spans="1:17">
      <c r="A465" s="17" t="s">
        <v>2947</v>
      </c>
      <c r="B465" s="17" t="s">
        <v>954</v>
      </c>
      <c r="C465" s="13" t="s">
        <v>955</v>
      </c>
      <c r="D465" s="13" t="s">
        <v>955</v>
      </c>
      <c r="E465" s="17" t="s">
        <v>368</v>
      </c>
      <c r="F465" s="17" t="s">
        <v>68</v>
      </c>
      <c r="G465" s="17" t="s">
        <v>68</v>
      </c>
      <c r="H465" s="7">
        <v>220643.23853999999</v>
      </c>
      <c r="I465" s="7">
        <v>403221.91518000001</v>
      </c>
      <c r="J465" s="80">
        <v>164.27994216814099</v>
      </c>
      <c r="K465" s="80">
        <v>-20.558729601265199</v>
      </c>
      <c r="L465" s="71">
        <v>50</v>
      </c>
      <c r="M465" s="73">
        <v>2</v>
      </c>
      <c r="N465" s="73">
        <v>2</v>
      </c>
      <c r="O465" s="73">
        <v>0</v>
      </c>
      <c r="P465" s="17" t="s">
        <v>37</v>
      </c>
      <c r="Q465" t="str">
        <f>LEFT(B465,3)</f>
        <v>KMC</v>
      </c>
    </row>
    <row r="466" spans="1:17">
      <c r="A466" s="17" t="s">
        <v>2948</v>
      </c>
      <c r="B466" s="17" t="s">
        <v>954</v>
      </c>
      <c r="C466" s="13" t="s">
        <v>955</v>
      </c>
      <c r="D466" s="13" t="s">
        <v>955</v>
      </c>
      <c r="E466" s="17" t="s">
        <v>368</v>
      </c>
      <c r="F466" s="17" t="s">
        <v>68</v>
      </c>
      <c r="G466" s="17" t="s">
        <v>68</v>
      </c>
      <c r="H466" s="7">
        <v>220643.23853999999</v>
      </c>
      <c r="I466" s="7">
        <v>403221.91518000001</v>
      </c>
      <c r="J466" s="80">
        <v>164.27994216814099</v>
      </c>
      <c r="K466" s="80">
        <v>-20.558729601265199</v>
      </c>
      <c r="L466" s="71">
        <v>128</v>
      </c>
      <c r="M466" s="73">
        <v>2</v>
      </c>
      <c r="N466" s="73">
        <v>2</v>
      </c>
      <c r="O466" s="73">
        <v>1</v>
      </c>
      <c r="P466" s="17" t="s">
        <v>37</v>
      </c>
      <c r="Q466" t="str">
        <f>LEFT(B466,3)</f>
        <v>KMC</v>
      </c>
    </row>
    <row r="467" spans="1:17">
      <c r="A467" s="17" t="s">
        <v>2949</v>
      </c>
      <c r="B467" s="17" t="s">
        <v>954</v>
      </c>
      <c r="C467" s="13" t="s">
        <v>955</v>
      </c>
      <c r="D467" s="13" t="s">
        <v>955</v>
      </c>
      <c r="E467" s="17" t="s">
        <v>368</v>
      </c>
      <c r="F467" s="17" t="s">
        <v>68</v>
      </c>
      <c r="G467" s="17" t="s">
        <v>68</v>
      </c>
      <c r="H467" s="7">
        <v>220643.23853999999</v>
      </c>
      <c r="I467" s="7">
        <v>403221.91518000001</v>
      </c>
      <c r="J467" s="80">
        <v>164.27994216814099</v>
      </c>
      <c r="K467" s="80">
        <v>-20.558729601265199</v>
      </c>
      <c r="L467" s="71">
        <v>287</v>
      </c>
      <c r="M467" s="73">
        <v>2</v>
      </c>
      <c r="N467" s="73">
        <v>2</v>
      </c>
      <c r="O467" s="73">
        <v>1</v>
      </c>
      <c r="P467" s="17" t="s">
        <v>37</v>
      </c>
      <c r="Q467" t="str">
        <f>LEFT(B467,3)</f>
        <v>KMC</v>
      </c>
    </row>
    <row r="468" spans="1:17">
      <c r="A468" s="17" t="s">
        <v>2950</v>
      </c>
      <c r="B468" s="17" t="s">
        <v>958</v>
      </c>
      <c r="C468" s="13" t="s">
        <v>959</v>
      </c>
      <c r="D468" s="13" t="s">
        <v>959</v>
      </c>
      <c r="E468" s="17" t="s">
        <v>373</v>
      </c>
      <c r="F468" s="17" t="s">
        <v>129</v>
      </c>
      <c r="G468" s="17" t="s">
        <v>129</v>
      </c>
      <c r="H468" s="7">
        <v>527192.66469999996</v>
      </c>
      <c r="I468" s="7">
        <v>379020.59726000001</v>
      </c>
      <c r="J468" s="80">
        <v>167.22163621462599</v>
      </c>
      <c r="K468" s="80">
        <v>-20.781745989572901</v>
      </c>
      <c r="L468" s="71">
        <v>61</v>
      </c>
      <c r="M468" s="73">
        <v>1</v>
      </c>
      <c r="N468" s="73">
        <v>0</v>
      </c>
      <c r="O468" s="73">
        <v>1</v>
      </c>
      <c r="P468" s="17" t="s">
        <v>47</v>
      </c>
      <c r="Q468" t="str">
        <f>LEFT(B468,3)</f>
        <v>KMO</v>
      </c>
    </row>
    <row r="469" spans="1:17">
      <c r="A469" s="17" t="s">
        <v>2951</v>
      </c>
      <c r="B469" s="17" t="s">
        <v>958</v>
      </c>
      <c r="C469" s="13" t="s">
        <v>959</v>
      </c>
      <c r="D469" s="13" t="s">
        <v>959</v>
      </c>
      <c r="E469" s="17" t="s">
        <v>373</v>
      </c>
      <c r="F469" s="17" t="s">
        <v>129</v>
      </c>
      <c r="G469" s="17" t="s">
        <v>129</v>
      </c>
      <c r="H469" s="7">
        <v>527192.66469999996</v>
      </c>
      <c r="I469" s="7">
        <v>379020.59726000001</v>
      </c>
      <c r="J469" s="80">
        <v>167.22163621462599</v>
      </c>
      <c r="K469" s="80">
        <v>-20.781745989572901</v>
      </c>
      <c r="L469" s="71">
        <v>180</v>
      </c>
      <c r="M469" s="73">
        <v>1</v>
      </c>
      <c r="N469" s="73">
        <v>0</v>
      </c>
      <c r="O469" s="73">
        <v>1</v>
      </c>
      <c r="P469" s="17" t="s">
        <v>47</v>
      </c>
      <c r="Q469" t="str">
        <f>LEFT(B469,3)</f>
        <v>KMO</v>
      </c>
    </row>
    <row r="470" spans="1:17">
      <c r="A470" s="17" t="s">
        <v>2952</v>
      </c>
      <c r="B470" s="17" t="s">
        <v>958</v>
      </c>
      <c r="C470" s="13" t="s">
        <v>959</v>
      </c>
      <c r="D470" s="13" t="s">
        <v>959</v>
      </c>
      <c r="E470" s="17" t="s">
        <v>373</v>
      </c>
      <c r="F470" s="17" t="s">
        <v>129</v>
      </c>
      <c r="G470" s="17" t="s">
        <v>129</v>
      </c>
      <c r="H470" s="7">
        <v>527192.66469999996</v>
      </c>
      <c r="I470" s="7">
        <v>379020.59726000001</v>
      </c>
      <c r="J470" s="80">
        <v>167.22163621462599</v>
      </c>
      <c r="K470" s="80">
        <v>-20.781745989572901</v>
      </c>
      <c r="L470" s="71">
        <v>291</v>
      </c>
      <c r="M470" s="73">
        <v>1</v>
      </c>
      <c r="N470" s="73">
        <v>0</v>
      </c>
      <c r="O470" s="73">
        <v>1</v>
      </c>
      <c r="P470" s="17" t="s">
        <v>47</v>
      </c>
      <c r="Q470" t="str">
        <f>LEFT(B470,3)</f>
        <v>KMO</v>
      </c>
    </row>
    <row r="471" spans="1:17">
      <c r="A471" s="17" t="s">
        <v>2953</v>
      </c>
      <c r="B471" s="17" t="s">
        <v>961</v>
      </c>
      <c r="C471" s="13" t="s">
        <v>963</v>
      </c>
      <c r="D471" s="13" t="s">
        <v>963</v>
      </c>
      <c r="E471" s="17" t="s">
        <v>249</v>
      </c>
      <c r="F471" s="17" t="s">
        <v>68</v>
      </c>
      <c r="G471" s="17" t="s">
        <v>68</v>
      </c>
      <c r="H471" s="7">
        <v>263037.44520999998</v>
      </c>
      <c r="I471" s="7">
        <v>353875.48573999997</v>
      </c>
      <c r="J471" s="80">
        <v>164.682495812562</v>
      </c>
      <c r="K471" s="80">
        <v>-21.0081552877508</v>
      </c>
      <c r="L471" s="71">
        <v>76</v>
      </c>
      <c r="M471" s="73">
        <v>2</v>
      </c>
      <c r="N471" s="73">
        <v>2</v>
      </c>
      <c r="O471" s="73">
        <v>1</v>
      </c>
      <c r="P471" s="17" t="s">
        <v>37</v>
      </c>
      <c r="Q471" t="str">
        <f>LEFT(B471,3)</f>
        <v>KNS</v>
      </c>
    </row>
    <row r="472" spans="1:17">
      <c r="A472" s="17" t="s">
        <v>2954</v>
      </c>
      <c r="B472" s="17" t="s">
        <v>961</v>
      </c>
      <c r="C472" s="13" t="s">
        <v>963</v>
      </c>
      <c r="D472" s="13" t="s">
        <v>963</v>
      </c>
      <c r="E472" s="17" t="s">
        <v>249</v>
      </c>
      <c r="F472" s="17" t="s">
        <v>68</v>
      </c>
      <c r="G472" s="17" t="s">
        <v>68</v>
      </c>
      <c r="H472" s="7">
        <v>263037.44520999998</v>
      </c>
      <c r="I472" s="7">
        <v>353875.48573999997</v>
      </c>
      <c r="J472" s="80">
        <v>164.682495812562</v>
      </c>
      <c r="K472" s="80">
        <v>-21.0081552877508</v>
      </c>
      <c r="L472" s="71">
        <v>136</v>
      </c>
      <c r="M472" s="73">
        <v>2</v>
      </c>
      <c r="N472" s="73">
        <v>2</v>
      </c>
      <c r="O472" s="73">
        <v>1</v>
      </c>
      <c r="P472" s="17" t="s">
        <v>37</v>
      </c>
      <c r="Q472" t="str">
        <f>LEFT(B472,3)</f>
        <v>KNS</v>
      </c>
    </row>
    <row r="473" spans="1:17">
      <c r="A473" s="17" t="s">
        <v>2955</v>
      </c>
      <c r="B473" s="17" t="s">
        <v>961</v>
      </c>
      <c r="C473" s="13" t="s">
        <v>963</v>
      </c>
      <c r="D473" s="13" t="s">
        <v>963</v>
      </c>
      <c r="E473" s="17" t="s">
        <v>249</v>
      </c>
      <c r="F473" s="17" t="s">
        <v>68</v>
      </c>
      <c r="G473" s="17" t="s">
        <v>68</v>
      </c>
      <c r="H473" s="7">
        <v>263037.44520999998</v>
      </c>
      <c r="I473" s="7">
        <v>353875.48573999997</v>
      </c>
      <c r="J473" s="80">
        <v>164.682495812562</v>
      </c>
      <c r="K473" s="80">
        <v>-21.0081552877508</v>
      </c>
      <c r="L473" s="71">
        <v>284</v>
      </c>
      <c r="M473" s="73">
        <v>2</v>
      </c>
      <c r="N473" s="73">
        <v>2</v>
      </c>
      <c r="O473" s="73">
        <v>1</v>
      </c>
      <c r="P473" s="17" t="s">
        <v>37</v>
      </c>
      <c r="Q473" t="str">
        <f>LEFT(B473,3)</f>
        <v>KNS</v>
      </c>
    </row>
    <row r="474" spans="1:17">
      <c r="A474" s="13" t="s">
        <v>2956</v>
      </c>
      <c r="B474" s="13" t="s">
        <v>966</v>
      </c>
      <c r="C474" s="13" t="s">
        <v>967</v>
      </c>
      <c r="D474" s="13" t="s">
        <v>968</v>
      </c>
      <c r="E474" s="17" t="s">
        <v>609</v>
      </c>
      <c r="F474" s="17" t="s">
        <v>68</v>
      </c>
      <c r="G474" s="17" t="s">
        <v>68</v>
      </c>
      <c r="H474" s="7">
        <v>382031</v>
      </c>
      <c r="I474" s="7">
        <v>311542</v>
      </c>
      <c r="J474" s="80">
        <v>165.82669300000001</v>
      </c>
      <c r="K474" s="80">
        <v>-21.395657</v>
      </c>
      <c r="L474" s="71">
        <v>60</v>
      </c>
      <c r="M474" s="73">
        <v>1</v>
      </c>
      <c r="N474" s="73">
        <v>1</v>
      </c>
      <c r="O474" s="73">
        <v>0</v>
      </c>
      <c r="P474" s="17" t="s">
        <v>47</v>
      </c>
      <c r="Q474" t="str">
        <f>LEFT(B474,3)</f>
        <v>KOA</v>
      </c>
    </row>
    <row r="475" spans="1:17">
      <c r="A475" s="13" t="s">
        <v>2957</v>
      </c>
      <c r="B475" s="13" t="s">
        <v>966</v>
      </c>
      <c r="C475" s="13" t="s">
        <v>967</v>
      </c>
      <c r="D475" s="13" t="s">
        <v>968</v>
      </c>
      <c r="E475" s="17" t="s">
        <v>609</v>
      </c>
      <c r="F475" s="17" t="s">
        <v>68</v>
      </c>
      <c r="G475" s="17" t="s">
        <v>68</v>
      </c>
      <c r="H475" s="7">
        <v>382031</v>
      </c>
      <c r="I475" s="7">
        <v>311542</v>
      </c>
      <c r="J475" s="80">
        <v>165.82669300000001</v>
      </c>
      <c r="K475" s="80">
        <v>-21.395657</v>
      </c>
      <c r="L475" s="71">
        <v>180</v>
      </c>
      <c r="M475" s="73">
        <v>1</v>
      </c>
      <c r="N475" s="73">
        <v>1</v>
      </c>
      <c r="O475" s="73">
        <v>0</v>
      </c>
      <c r="P475" s="17" t="s">
        <v>47</v>
      </c>
      <c r="Q475" t="str">
        <f>LEFT(B475,3)</f>
        <v>KOA</v>
      </c>
    </row>
    <row r="476" spans="1:17">
      <c r="A476" s="13" t="s">
        <v>2958</v>
      </c>
      <c r="B476" s="13" t="s">
        <v>966</v>
      </c>
      <c r="C476" s="13" t="s">
        <v>967</v>
      </c>
      <c r="D476" s="13" t="s">
        <v>968</v>
      </c>
      <c r="E476" s="17" t="s">
        <v>609</v>
      </c>
      <c r="F476" s="17" t="s">
        <v>68</v>
      </c>
      <c r="G476" s="17" t="s">
        <v>68</v>
      </c>
      <c r="H476" s="7">
        <v>382031</v>
      </c>
      <c r="I476" s="7">
        <v>311542</v>
      </c>
      <c r="J476" s="80">
        <v>165.82669300000001</v>
      </c>
      <c r="K476" s="80">
        <v>-21.395657</v>
      </c>
      <c r="L476" s="71">
        <v>300</v>
      </c>
      <c r="M476" s="73">
        <v>1</v>
      </c>
      <c r="N476" s="73">
        <v>1</v>
      </c>
      <c r="O476" s="73">
        <v>0</v>
      </c>
      <c r="P476" s="17" t="s">
        <v>47</v>
      </c>
      <c r="Q476" t="str">
        <f>LEFT(B476,3)</f>
        <v>KOA</v>
      </c>
    </row>
    <row r="477" spans="1:17">
      <c r="A477" s="17" t="s">
        <v>2959</v>
      </c>
      <c r="B477" s="17" t="s">
        <v>971</v>
      </c>
      <c r="C477" s="13" t="s">
        <v>972</v>
      </c>
      <c r="D477" s="13" t="s">
        <v>974</v>
      </c>
      <c r="E477" s="17" t="s">
        <v>331</v>
      </c>
      <c r="F477" s="17" t="s">
        <v>43</v>
      </c>
      <c r="G477" s="17" t="s">
        <v>43</v>
      </c>
      <c r="H477" s="7">
        <v>546662.63026999997</v>
      </c>
      <c r="I477" s="7">
        <v>178687.80257</v>
      </c>
      <c r="J477" s="80">
        <v>167.42618140367301</v>
      </c>
      <c r="K477" s="80">
        <v>-22.589564348092001</v>
      </c>
      <c r="L477" s="71">
        <v>160</v>
      </c>
      <c r="M477" s="73">
        <v>1</v>
      </c>
      <c r="N477" s="73">
        <v>1</v>
      </c>
      <c r="O477" s="73">
        <v>1</v>
      </c>
      <c r="P477" s="17" t="s">
        <v>47</v>
      </c>
      <c r="Q477" t="str">
        <f>LEFT(B477,3)</f>
        <v>KOD</v>
      </c>
    </row>
    <row r="478" spans="1:17">
      <c r="A478" s="17" t="s">
        <v>2960</v>
      </c>
      <c r="B478" s="17" t="s">
        <v>971</v>
      </c>
      <c r="C478" s="13" t="s">
        <v>972</v>
      </c>
      <c r="D478" s="13" t="s">
        <v>974</v>
      </c>
      <c r="E478" s="17" t="s">
        <v>331</v>
      </c>
      <c r="F478" s="17" t="s">
        <v>43</v>
      </c>
      <c r="G478" s="17" t="s">
        <v>43</v>
      </c>
      <c r="H478" s="7">
        <v>546662.63026999997</v>
      </c>
      <c r="I478" s="7">
        <v>178687.80257</v>
      </c>
      <c r="J478" s="80">
        <v>167.42618140367301</v>
      </c>
      <c r="K478" s="80">
        <v>-22.589564348092001</v>
      </c>
      <c r="L478" s="71">
        <v>230</v>
      </c>
      <c r="M478" s="73">
        <v>1</v>
      </c>
      <c r="N478" s="73">
        <v>1</v>
      </c>
      <c r="O478" s="73">
        <v>1</v>
      </c>
      <c r="P478" s="17" t="s">
        <v>47</v>
      </c>
      <c r="Q478" t="str">
        <f>LEFT(B478,3)</f>
        <v>KOD</v>
      </c>
    </row>
    <row r="479" spans="1:17">
      <c r="A479" s="17" t="s">
        <v>2961</v>
      </c>
      <c r="B479" s="17" t="s">
        <v>977</v>
      </c>
      <c r="C479" s="13" t="s">
        <v>979</v>
      </c>
      <c r="D479" s="13" t="s">
        <v>979</v>
      </c>
      <c r="E479" s="17" t="s">
        <v>978</v>
      </c>
      <c r="F479" s="17" t="s">
        <v>68</v>
      </c>
      <c r="G479" s="17" t="s">
        <v>68</v>
      </c>
      <c r="H479" s="7">
        <v>322835.77844000002</v>
      </c>
      <c r="I479" s="7">
        <v>377701.72301000002</v>
      </c>
      <c r="J479" s="80">
        <v>165.25880206053</v>
      </c>
      <c r="K479" s="80">
        <v>-20.796496597180699</v>
      </c>
      <c r="L479" s="71">
        <v>160</v>
      </c>
      <c r="M479" s="73">
        <v>2</v>
      </c>
      <c r="N479" s="73">
        <v>1</v>
      </c>
      <c r="O479" s="73">
        <v>1</v>
      </c>
      <c r="P479" s="17" t="s">
        <v>47</v>
      </c>
      <c r="Q479" t="str">
        <f>LEFT(B479,3)</f>
        <v>KOE</v>
      </c>
    </row>
    <row r="480" spans="1:17">
      <c r="A480" s="17" t="s">
        <v>2962</v>
      </c>
      <c r="B480" s="17" t="s">
        <v>977</v>
      </c>
      <c r="C480" s="13" t="s">
        <v>979</v>
      </c>
      <c r="D480" s="13" t="s">
        <v>979</v>
      </c>
      <c r="E480" s="17" t="s">
        <v>978</v>
      </c>
      <c r="F480" s="17" t="s">
        <v>68</v>
      </c>
      <c r="G480" s="17" t="s">
        <v>68</v>
      </c>
      <c r="H480" s="7">
        <v>322835.77844000002</v>
      </c>
      <c r="I480" s="7">
        <v>377701.72301000002</v>
      </c>
      <c r="J480" s="80">
        <v>165.25880206053</v>
      </c>
      <c r="K480" s="80">
        <v>-20.796496597180699</v>
      </c>
      <c r="L480" s="71">
        <v>315</v>
      </c>
      <c r="M480" s="73">
        <v>2</v>
      </c>
      <c r="N480" s="73">
        <v>1</v>
      </c>
      <c r="O480" s="73">
        <v>1</v>
      </c>
      <c r="P480" s="17" t="s">
        <v>47</v>
      </c>
      <c r="Q480" t="str">
        <f>LEFT(B480,3)</f>
        <v>KOE</v>
      </c>
    </row>
    <row r="481" spans="1:17">
      <c r="A481" s="2" t="s">
        <v>2963</v>
      </c>
      <c r="B481" s="2" t="s">
        <v>981</v>
      </c>
      <c r="C481" s="2" t="s">
        <v>2964</v>
      </c>
      <c r="D481" s="2" t="s">
        <v>2964</v>
      </c>
      <c r="E481" s="2" t="s">
        <v>49</v>
      </c>
      <c r="F481" s="2" t="s">
        <v>43</v>
      </c>
      <c r="G481" s="2" t="s">
        <v>50</v>
      </c>
      <c r="H481" s="2">
        <v>449738</v>
      </c>
      <c r="I481" s="2">
        <v>224833</v>
      </c>
      <c r="J481" s="79">
        <v>166.48229000000001</v>
      </c>
      <c r="K481" s="79">
        <v>-22.17821</v>
      </c>
      <c r="L481" s="71">
        <v>120</v>
      </c>
      <c r="M481" s="73">
        <v>1</v>
      </c>
      <c r="N481" s="73">
        <v>1</v>
      </c>
      <c r="O481" s="73">
        <v>0</v>
      </c>
      <c r="P481" s="17" t="s">
        <v>37</v>
      </c>
      <c r="Q481" t="str">
        <f>LEFT(B481,3)</f>
        <v>KOG</v>
      </c>
    </row>
    <row r="482" spans="1:17">
      <c r="A482" s="2" t="s">
        <v>2965</v>
      </c>
      <c r="B482" s="2" t="s">
        <v>981</v>
      </c>
      <c r="C482" s="2" t="s">
        <v>2964</v>
      </c>
      <c r="D482" s="2" t="s">
        <v>2964</v>
      </c>
      <c r="E482" s="2" t="s">
        <v>49</v>
      </c>
      <c r="F482" s="2" t="s">
        <v>43</v>
      </c>
      <c r="G482" s="2" t="s">
        <v>50</v>
      </c>
      <c r="H482" s="2">
        <v>449738</v>
      </c>
      <c r="I482" s="2">
        <v>224833</v>
      </c>
      <c r="J482" s="79">
        <v>166.48229000000001</v>
      </c>
      <c r="K482" s="79">
        <v>-22.17821</v>
      </c>
      <c r="L482" s="71">
        <v>250</v>
      </c>
      <c r="M482" s="73">
        <v>1</v>
      </c>
      <c r="N482" s="73">
        <v>1</v>
      </c>
      <c r="O482" s="73">
        <v>0</v>
      </c>
      <c r="P482" s="17" t="s">
        <v>37</v>
      </c>
      <c r="Q482" t="str">
        <f>LEFT(B482,3)</f>
        <v>KOG</v>
      </c>
    </row>
    <row r="483" spans="1:17">
      <c r="A483" s="17" t="s">
        <v>2966</v>
      </c>
      <c r="B483" s="17" t="s">
        <v>984</v>
      </c>
      <c r="C483" s="13" t="s">
        <v>985</v>
      </c>
      <c r="D483" s="13" t="s">
        <v>986</v>
      </c>
      <c r="E483" s="17" t="s">
        <v>98</v>
      </c>
      <c r="F483" s="17" t="s">
        <v>68</v>
      </c>
      <c r="G483" s="17" t="s">
        <v>68</v>
      </c>
      <c r="H483" s="7">
        <v>383219.9129</v>
      </c>
      <c r="I483" s="7">
        <v>295827.70587000001</v>
      </c>
      <c r="J483" s="80">
        <v>165.83800377656499</v>
      </c>
      <c r="K483" s="80">
        <v>-21.537604759326701</v>
      </c>
      <c r="L483" s="71">
        <v>80</v>
      </c>
      <c r="M483" s="73">
        <v>1</v>
      </c>
      <c r="N483" s="73">
        <v>1</v>
      </c>
      <c r="O483" s="73">
        <v>1</v>
      </c>
      <c r="P483" s="17" t="s">
        <v>47</v>
      </c>
      <c r="Q483" t="str">
        <f>LEFT(B483,3)</f>
        <v>KOH</v>
      </c>
    </row>
    <row r="484" spans="1:17">
      <c r="A484" s="17" t="s">
        <v>2967</v>
      </c>
      <c r="B484" s="17" t="s">
        <v>984</v>
      </c>
      <c r="C484" s="13" t="s">
        <v>985</v>
      </c>
      <c r="D484" s="13" t="s">
        <v>986</v>
      </c>
      <c r="E484" s="17" t="s">
        <v>98</v>
      </c>
      <c r="F484" s="17" t="s">
        <v>68</v>
      </c>
      <c r="G484" s="17" t="s">
        <v>68</v>
      </c>
      <c r="H484" s="7">
        <v>383219.9129</v>
      </c>
      <c r="I484" s="7">
        <v>295827.70587000001</v>
      </c>
      <c r="J484" s="80">
        <v>165.83800377656499</v>
      </c>
      <c r="K484" s="80">
        <v>-21.537604759326701</v>
      </c>
      <c r="L484" s="71">
        <v>200</v>
      </c>
      <c r="M484" s="73">
        <v>1</v>
      </c>
      <c r="N484" s="73">
        <v>1</v>
      </c>
      <c r="O484" s="73">
        <v>1</v>
      </c>
      <c r="P484" s="17" t="s">
        <v>47</v>
      </c>
      <c r="Q484" t="str">
        <f>LEFT(B484,3)</f>
        <v>KOH</v>
      </c>
    </row>
    <row r="485" spans="1:17">
      <c r="A485" s="17" t="s">
        <v>2968</v>
      </c>
      <c r="B485" s="17" t="s">
        <v>984</v>
      </c>
      <c r="C485" s="13" t="s">
        <v>985</v>
      </c>
      <c r="D485" s="13" t="s">
        <v>986</v>
      </c>
      <c r="E485" s="17" t="s">
        <v>98</v>
      </c>
      <c r="F485" s="17" t="s">
        <v>68</v>
      </c>
      <c r="G485" s="17" t="s">
        <v>68</v>
      </c>
      <c r="H485" s="7">
        <v>383219.9129</v>
      </c>
      <c r="I485" s="7">
        <v>295827.70587000001</v>
      </c>
      <c r="J485" s="80">
        <v>165.83800377656499</v>
      </c>
      <c r="K485" s="80">
        <v>-21.537604759326701</v>
      </c>
      <c r="L485" s="71">
        <v>290</v>
      </c>
      <c r="M485" s="73">
        <v>1</v>
      </c>
      <c r="N485" s="73">
        <v>1</v>
      </c>
      <c r="O485" s="73">
        <v>1</v>
      </c>
      <c r="P485" s="17" t="s">
        <v>47</v>
      </c>
      <c r="Q485" t="str">
        <f>LEFT(B485,3)</f>
        <v>KOH</v>
      </c>
    </row>
    <row r="486" spans="1:17">
      <c r="A486" s="17" t="s">
        <v>2969</v>
      </c>
      <c r="B486" s="17" t="s">
        <v>987</v>
      </c>
      <c r="C486" s="13" t="s">
        <v>988</v>
      </c>
      <c r="D486" s="13" t="s">
        <v>604</v>
      </c>
      <c r="E486" s="17" t="s">
        <v>602</v>
      </c>
      <c r="F486" s="17" t="s">
        <v>43</v>
      </c>
      <c r="G486" s="17" t="s">
        <v>43</v>
      </c>
      <c r="H486" s="7">
        <v>395957.01906999998</v>
      </c>
      <c r="I486" s="7">
        <v>286271.93666000001</v>
      </c>
      <c r="J486" s="80">
        <v>165.96094531016001</v>
      </c>
      <c r="K486" s="80">
        <v>-21.623991883469401</v>
      </c>
      <c r="L486" s="71">
        <v>0</v>
      </c>
      <c r="M486" s="73">
        <v>1</v>
      </c>
      <c r="N486" s="73">
        <v>1</v>
      </c>
      <c r="O486" s="73">
        <v>1</v>
      </c>
      <c r="P486" s="17" t="s">
        <v>47</v>
      </c>
      <c r="Q486" t="str">
        <f>LEFT(B486,3)</f>
        <v>KOI</v>
      </c>
    </row>
    <row r="487" spans="1:17">
      <c r="A487" s="17" t="s">
        <v>2970</v>
      </c>
      <c r="B487" s="17" t="s">
        <v>993</v>
      </c>
      <c r="C487" s="17" t="s">
        <v>994</v>
      </c>
      <c r="D487" s="17" t="s">
        <v>995</v>
      </c>
      <c r="E487" s="17" t="s">
        <v>368</v>
      </c>
      <c r="F487" s="17" t="s">
        <v>68</v>
      </c>
      <c r="G487" s="17" t="s">
        <v>68</v>
      </c>
      <c r="H487" s="22">
        <v>223399</v>
      </c>
      <c r="I487" s="22">
        <v>401796</v>
      </c>
      <c r="J487" s="80">
        <v>164.30622</v>
      </c>
      <c r="K487" s="83">
        <v>-20.57188</v>
      </c>
      <c r="L487" s="71">
        <v>24</v>
      </c>
      <c r="M487" s="73">
        <v>2</v>
      </c>
      <c r="N487" s="73">
        <v>2</v>
      </c>
      <c r="O487" s="73">
        <v>0</v>
      </c>
      <c r="P487" s="17" t="s">
        <v>47</v>
      </c>
      <c r="Q487" t="str">
        <f>LEFT(B487,3)</f>
        <v>KOK</v>
      </c>
    </row>
    <row r="488" spans="1:17">
      <c r="A488" s="17" t="s">
        <v>2971</v>
      </c>
      <c r="B488" s="17" t="s">
        <v>993</v>
      </c>
      <c r="C488" s="17" t="s">
        <v>994</v>
      </c>
      <c r="D488" s="17" t="s">
        <v>995</v>
      </c>
      <c r="E488" s="17" t="s">
        <v>368</v>
      </c>
      <c r="F488" s="17" t="s">
        <v>68</v>
      </c>
      <c r="G488" s="17" t="s">
        <v>68</v>
      </c>
      <c r="H488" s="22">
        <v>223399</v>
      </c>
      <c r="I488" s="22">
        <v>401796</v>
      </c>
      <c r="J488" s="80">
        <v>164.30622</v>
      </c>
      <c r="K488" s="83">
        <v>-20.57188</v>
      </c>
      <c r="L488" s="71">
        <v>166</v>
      </c>
      <c r="M488" s="73">
        <v>2</v>
      </c>
      <c r="N488" s="73">
        <v>2</v>
      </c>
      <c r="O488" s="73">
        <v>0</v>
      </c>
      <c r="P488" s="17" t="s">
        <v>47</v>
      </c>
      <c r="Q488" t="str">
        <f>LEFT(B488,3)</f>
        <v>KOK</v>
      </c>
    </row>
    <row r="489" spans="1:17">
      <c r="A489" s="17" t="s">
        <v>2972</v>
      </c>
      <c r="B489" s="17" t="s">
        <v>993</v>
      </c>
      <c r="C489" s="17" t="s">
        <v>994</v>
      </c>
      <c r="D489" s="17" t="s">
        <v>995</v>
      </c>
      <c r="E489" s="17" t="s">
        <v>368</v>
      </c>
      <c r="F489" s="17" t="s">
        <v>68</v>
      </c>
      <c r="G489" s="17" t="s">
        <v>68</v>
      </c>
      <c r="H489" s="22">
        <v>223399</v>
      </c>
      <c r="I489" s="22">
        <v>401796</v>
      </c>
      <c r="J489" s="80">
        <v>164.30622</v>
      </c>
      <c r="K489" s="83">
        <v>-20.57188</v>
      </c>
      <c r="L489" s="71">
        <v>192</v>
      </c>
      <c r="M489" s="73">
        <v>2</v>
      </c>
      <c r="N489" s="73">
        <v>2</v>
      </c>
      <c r="O489" s="73">
        <v>0</v>
      </c>
      <c r="P489" s="17" t="s">
        <v>47</v>
      </c>
      <c r="Q489" t="str">
        <f>LEFT(B489,3)</f>
        <v>KOK</v>
      </c>
    </row>
    <row r="490" spans="1:17">
      <c r="A490" s="17" t="s">
        <v>2973</v>
      </c>
      <c r="B490" s="17" t="s">
        <v>997</v>
      </c>
      <c r="C490" s="13" t="s">
        <v>67</v>
      </c>
      <c r="D490" s="13" t="s">
        <v>67</v>
      </c>
      <c r="E490" s="17" t="s">
        <v>67</v>
      </c>
      <c r="F490" s="17" t="s">
        <v>68</v>
      </c>
      <c r="G490" s="17" t="s">
        <v>68</v>
      </c>
      <c r="H490" s="22">
        <v>281832</v>
      </c>
      <c r="I490" s="22">
        <v>348311</v>
      </c>
      <c r="J490" s="80">
        <v>164.8629</v>
      </c>
      <c r="K490" s="83">
        <v>-21.059740000000001</v>
      </c>
      <c r="L490" s="71">
        <v>46</v>
      </c>
      <c r="M490" s="73">
        <v>2</v>
      </c>
      <c r="N490" s="73">
        <v>2</v>
      </c>
      <c r="O490" s="73">
        <v>1</v>
      </c>
      <c r="P490" s="17" t="s">
        <v>37</v>
      </c>
      <c r="Q490" t="str">
        <f>LEFT(B490,3)</f>
        <v>KON</v>
      </c>
    </row>
    <row r="491" spans="1:17">
      <c r="A491" s="17" t="s">
        <v>2974</v>
      </c>
      <c r="B491" s="17" t="s">
        <v>997</v>
      </c>
      <c r="C491" s="13" t="s">
        <v>67</v>
      </c>
      <c r="D491" s="13" t="s">
        <v>67</v>
      </c>
      <c r="E491" s="17" t="s">
        <v>67</v>
      </c>
      <c r="F491" s="17" t="s">
        <v>68</v>
      </c>
      <c r="G491" s="17" t="s">
        <v>68</v>
      </c>
      <c r="H491" s="22">
        <v>281832</v>
      </c>
      <c r="I491" s="22">
        <v>348311</v>
      </c>
      <c r="J491" s="80">
        <v>164.8629</v>
      </c>
      <c r="K491" s="83">
        <v>-21.059740000000001</v>
      </c>
      <c r="L491" s="71">
        <v>116</v>
      </c>
      <c r="M491" s="73">
        <v>2</v>
      </c>
      <c r="N491" s="73">
        <v>2</v>
      </c>
      <c r="O491" s="73">
        <v>1</v>
      </c>
      <c r="P491" s="17" t="s">
        <v>37</v>
      </c>
      <c r="Q491" t="str">
        <f>LEFT(B491,3)</f>
        <v>KON</v>
      </c>
    </row>
    <row r="492" spans="1:17">
      <c r="A492" s="17" t="s">
        <v>2975</v>
      </c>
      <c r="B492" s="17" t="s">
        <v>997</v>
      </c>
      <c r="C492" s="13" t="s">
        <v>67</v>
      </c>
      <c r="D492" s="13" t="s">
        <v>67</v>
      </c>
      <c r="E492" s="17" t="s">
        <v>67</v>
      </c>
      <c r="F492" s="17" t="s">
        <v>68</v>
      </c>
      <c r="G492" s="17" t="s">
        <v>68</v>
      </c>
      <c r="H492" s="22">
        <v>281832</v>
      </c>
      <c r="I492" s="22">
        <v>348311</v>
      </c>
      <c r="J492" s="80">
        <v>164.8629</v>
      </c>
      <c r="K492" s="83">
        <v>-21.059740000000001</v>
      </c>
      <c r="L492" s="71">
        <v>226</v>
      </c>
      <c r="M492" s="73">
        <v>2</v>
      </c>
      <c r="N492" s="73">
        <v>2</v>
      </c>
      <c r="O492" s="73">
        <v>1</v>
      </c>
      <c r="P492" s="17" t="s">
        <v>37</v>
      </c>
      <c r="Q492" t="str">
        <f>LEFT(B492,3)</f>
        <v>KON</v>
      </c>
    </row>
    <row r="493" spans="1:17">
      <c r="A493" s="17" t="s">
        <v>2976</v>
      </c>
      <c r="B493" s="17" t="s">
        <v>1000</v>
      </c>
      <c r="C493" s="13" t="s">
        <v>1002</v>
      </c>
      <c r="D493" s="13" t="s">
        <v>1002</v>
      </c>
      <c r="E493" s="17" t="s">
        <v>178</v>
      </c>
      <c r="F493" s="17" t="s">
        <v>68</v>
      </c>
      <c r="G493" s="17" t="s">
        <v>68</v>
      </c>
      <c r="H493" s="7">
        <v>298763.01579999999</v>
      </c>
      <c r="I493" s="7">
        <v>336623.78099</v>
      </c>
      <c r="J493" s="80">
        <v>165.02511377149901</v>
      </c>
      <c r="K493" s="80">
        <v>-21.166339570559298</v>
      </c>
      <c r="L493" s="71">
        <v>179</v>
      </c>
      <c r="M493" s="73">
        <v>2</v>
      </c>
      <c r="N493" s="73">
        <v>1</v>
      </c>
      <c r="O493" s="73">
        <v>1</v>
      </c>
      <c r="P493" s="17" t="s">
        <v>47</v>
      </c>
      <c r="Q493" t="str">
        <f>LEFT(B493,3)</f>
        <v>KOP</v>
      </c>
    </row>
    <row r="494" spans="1:17">
      <c r="A494" s="17" t="s">
        <v>2977</v>
      </c>
      <c r="B494" s="17" t="s">
        <v>1000</v>
      </c>
      <c r="C494" s="13" t="s">
        <v>1002</v>
      </c>
      <c r="D494" s="13" t="s">
        <v>1002</v>
      </c>
      <c r="E494" s="17" t="s">
        <v>178</v>
      </c>
      <c r="F494" s="17" t="s">
        <v>68</v>
      </c>
      <c r="G494" s="17" t="s">
        <v>68</v>
      </c>
      <c r="H494" s="7">
        <v>298763.01579999999</v>
      </c>
      <c r="I494" s="7">
        <v>336623.78099</v>
      </c>
      <c r="J494" s="80">
        <v>165.02511377149901</v>
      </c>
      <c r="K494" s="80">
        <v>-21.166339570559298</v>
      </c>
      <c r="L494" s="71">
        <v>312</v>
      </c>
      <c r="M494" s="73">
        <v>2</v>
      </c>
      <c r="N494" s="73">
        <v>1</v>
      </c>
      <c r="O494" s="73">
        <v>1</v>
      </c>
      <c r="P494" s="17" t="s">
        <v>47</v>
      </c>
      <c r="Q494" t="str">
        <f>LEFT(B494,3)</f>
        <v>KOP</v>
      </c>
    </row>
    <row r="495" spans="1:17">
      <c r="A495" s="17" t="s">
        <v>2978</v>
      </c>
      <c r="B495" s="17" t="s">
        <v>1000</v>
      </c>
      <c r="C495" s="13" t="s">
        <v>1002</v>
      </c>
      <c r="D495" s="13" t="s">
        <v>1002</v>
      </c>
      <c r="E495" s="17" t="s">
        <v>178</v>
      </c>
      <c r="F495" s="17" t="s">
        <v>68</v>
      </c>
      <c r="G495" s="17" t="s">
        <v>68</v>
      </c>
      <c r="H495" s="7">
        <v>298763.01579999999</v>
      </c>
      <c r="I495" s="7">
        <v>336623.78099</v>
      </c>
      <c r="J495" s="80">
        <v>165.02511377149901</v>
      </c>
      <c r="K495" s="80">
        <v>-21.166339570559298</v>
      </c>
      <c r="L495" s="71">
        <v>312</v>
      </c>
      <c r="M495" s="73">
        <v>2</v>
      </c>
      <c r="N495" s="73">
        <v>1</v>
      </c>
      <c r="O495" s="73">
        <v>1</v>
      </c>
      <c r="P495" s="17" t="s">
        <v>47</v>
      </c>
      <c r="Q495" t="str">
        <f>LEFT(B495,3)</f>
        <v>KOP</v>
      </c>
    </row>
    <row r="496" spans="1:17">
      <c r="A496" s="13" t="s">
        <v>2979</v>
      </c>
      <c r="B496" s="13" t="s">
        <v>1005</v>
      </c>
      <c r="C496" s="13" t="s">
        <v>609</v>
      </c>
      <c r="D496" s="13" t="s">
        <v>968</v>
      </c>
      <c r="E496" s="17" t="s">
        <v>609</v>
      </c>
      <c r="F496" s="17" t="s">
        <v>68</v>
      </c>
      <c r="G496" s="17" t="s">
        <v>68</v>
      </c>
      <c r="H496" s="7">
        <v>382505</v>
      </c>
      <c r="I496" s="7">
        <v>309472</v>
      </c>
      <c r="J496" s="80">
        <v>165.831243</v>
      </c>
      <c r="K496" s="80">
        <v>-21.414359000000001</v>
      </c>
      <c r="L496" s="71">
        <v>0</v>
      </c>
      <c r="M496" s="73">
        <v>2</v>
      </c>
      <c r="N496" s="73">
        <v>1</v>
      </c>
      <c r="O496" s="73">
        <v>0</v>
      </c>
      <c r="P496" s="17" t="s">
        <v>47</v>
      </c>
      <c r="Q496" t="str">
        <f>LEFT(B496,3)</f>
        <v>KOU</v>
      </c>
    </row>
    <row r="497" spans="1:17">
      <c r="A497" s="13" t="s">
        <v>2980</v>
      </c>
      <c r="B497" s="13" t="s">
        <v>1005</v>
      </c>
      <c r="C497" s="13" t="s">
        <v>609</v>
      </c>
      <c r="D497" s="13" t="s">
        <v>968</v>
      </c>
      <c r="E497" s="17" t="s">
        <v>609</v>
      </c>
      <c r="F497" s="17" t="s">
        <v>68</v>
      </c>
      <c r="G497" s="17" t="s">
        <v>68</v>
      </c>
      <c r="H497" s="7">
        <v>382505</v>
      </c>
      <c r="I497" s="7">
        <v>309472</v>
      </c>
      <c r="J497" s="80">
        <v>165.831243</v>
      </c>
      <c r="K497" s="80">
        <v>-21.414359000000001</v>
      </c>
      <c r="L497" s="71">
        <v>230</v>
      </c>
      <c r="M497" s="73">
        <v>2</v>
      </c>
      <c r="N497" s="73">
        <v>1</v>
      </c>
      <c r="O497" s="73">
        <v>0</v>
      </c>
      <c r="P497" s="17" t="s">
        <v>47</v>
      </c>
      <c r="Q497" t="str">
        <f>LEFT(B497,3)</f>
        <v>KOU</v>
      </c>
    </row>
    <row r="498" spans="1:17">
      <c r="A498" s="13" t="s">
        <v>2981</v>
      </c>
      <c r="B498" s="13" t="s">
        <v>1007</v>
      </c>
      <c r="C498" s="13" t="s">
        <v>1008</v>
      </c>
      <c r="D498" s="13" t="s">
        <v>1008</v>
      </c>
      <c r="E498" s="17" t="s">
        <v>104</v>
      </c>
      <c r="F498" s="17" t="s">
        <v>68</v>
      </c>
      <c r="G498" s="17" t="s">
        <v>68</v>
      </c>
      <c r="H498" s="7">
        <v>331609.96870000003</v>
      </c>
      <c r="I498" s="7">
        <v>361337.90629999997</v>
      </c>
      <c r="J498" s="80">
        <v>165.34241837525201</v>
      </c>
      <c r="K498" s="80">
        <v>-20.944658763333798</v>
      </c>
      <c r="L498" s="71">
        <v>75</v>
      </c>
      <c r="M498" s="73">
        <v>2</v>
      </c>
      <c r="N498" s="73">
        <v>1</v>
      </c>
      <c r="O498" s="73">
        <v>1</v>
      </c>
      <c r="P498" s="17" t="s">
        <v>47</v>
      </c>
      <c r="Q498" t="str">
        <f>LEFT(B498,3)</f>
        <v>KOY</v>
      </c>
    </row>
    <row r="499" spans="1:17">
      <c r="A499" s="13" t="s">
        <v>2982</v>
      </c>
      <c r="B499" s="13" t="s">
        <v>1007</v>
      </c>
      <c r="C499" s="13" t="s">
        <v>1008</v>
      </c>
      <c r="D499" s="13" t="s">
        <v>1008</v>
      </c>
      <c r="E499" s="17" t="s">
        <v>104</v>
      </c>
      <c r="F499" s="17" t="s">
        <v>68</v>
      </c>
      <c r="G499" s="17" t="s">
        <v>68</v>
      </c>
      <c r="H499" s="7">
        <v>331609.96870000003</v>
      </c>
      <c r="I499" s="7">
        <v>361337.90629999997</v>
      </c>
      <c r="J499" s="80">
        <v>165.34241837525201</v>
      </c>
      <c r="K499" s="80">
        <v>-20.944658763333798</v>
      </c>
      <c r="L499" s="71">
        <v>230</v>
      </c>
      <c r="M499" s="73">
        <v>2</v>
      </c>
      <c r="N499" s="73">
        <v>1</v>
      </c>
      <c r="O499" s="73">
        <v>1</v>
      </c>
      <c r="P499" s="17" t="s">
        <v>47</v>
      </c>
      <c r="Q499" t="str">
        <f>LEFT(B499,3)</f>
        <v>KOY</v>
      </c>
    </row>
    <row r="500" spans="1:17">
      <c r="A500" s="13" t="s">
        <v>2983</v>
      </c>
      <c r="B500" s="13" t="s">
        <v>1007</v>
      </c>
      <c r="C500" s="13" t="s">
        <v>1008</v>
      </c>
      <c r="D500" s="13" t="s">
        <v>1008</v>
      </c>
      <c r="E500" s="17" t="s">
        <v>104</v>
      </c>
      <c r="F500" s="17" t="s">
        <v>68</v>
      </c>
      <c r="G500" s="17" t="s">
        <v>68</v>
      </c>
      <c r="H500" s="7">
        <v>331609.96870000003</v>
      </c>
      <c r="I500" s="7">
        <v>361337.90629999997</v>
      </c>
      <c r="J500" s="80">
        <v>165.34241837525201</v>
      </c>
      <c r="K500" s="80">
        <v>-20.944658763333798</v>
      </c>
      <c r="L500" s="71">
        <v>305</v>
      </c>
      <c r="M500" s="73">
        <v>2</v>
      </c>
      <c r="N500" s="73">
        <v>1</v>
      </c>
      <c r="O500" s="73">
        <v>1</v>
      </c>
      <c r="P500" s="17" t="s">
        <v>47</v>
      </c>
      <c r="Q500" t="str">
        <f>LEFT(B500,3)</f>
        <v>KOY</v>
      </c>
    </row>
    <row r="501" spans="1:17">
      <c r="A501" s="2" t="s">
        <v>2984</v>
      </c>
      <c r="B501" s="2" t="s">
        <v>1011</v>
      </c>
      <c r="C501" s="2" t="s">
        <v>1012</v>
      </c>
      <c r="D501" s="2" t="s">
        <v>1012</v>
      </c>
      <c r="E501" s="2" t="s">
        <v>178</v>
      </c>
      <c r="F501" s="2" t="s">
        <v>68</v>
      </c>
      <c r="G501" s="2" t="s">
        <v>68</v>
      </c>
      <c r="H501" s="2">
        <v>296137</v>
      </c>
      <c r="I501" s="2">
        <v>336162</v>
      </c>
      <c r="J501" s="79">
        <v>164.999798</v>
      </c>
      <c r="K501" s="79">
        <v>-21.170362999999998</v>
      </c>
      <c r="L501" s="71">
        <v>69</v>
      </c>
      <c r="M501" s="73">
        <v>2</v>
      </c>
      <c r="N501" s="73">
        <v>1</v>
      </c>
      <c r="O501" s="73">
        <v>0</v>
      </c>
      <c r="P501" s="17" t="s">
        <v>47</v>
      </c>
      <c r="Q501" t="str">
        <f>LEFT(B501,3)</f>
        <v>KP3</v>
      </c>
    </row>
    <row r="502" spans="1:17">
      <c r="A502" s="2" t="s">
        <v>2985</v>
      </c>
      <c r="B502" s="2" t="s">
        <v>1011</v>
      </c>
      <c r="C502" s="2" t="s">
        <v>1012</v>
      </c>
      <c r="D502" s="2" t="s">
        <v>1012</v>
      </c>
      <c r="E502" s="2" t="s">
        <v>178</v>
      </c>
      <c r="F502" s="2" t="s">
        <v>68</v>
      </c>
      <c r="G502" s="2" t="s">
        <v>68</v>
      </c>
      <c r="H502" s="2">
        <v>296137</v>
      </c>
      <c r="I502" s="2">
        <v>336162</v>
      </c>
      <c r="J502" s="79">
        <v>164.999798</v>
      </c>
      <c r="K502" s="79">
        <v>-21.170362999999998</v>
      </c>
      <c r="L502" s="71">
        <v>240</v>
      </c>
      <c r="M502" s="73">
        <v>2</v>
      </c>
      <c r="N502" s="73">
        <v>1</v>
      </c>
      <c r="O502" s="73">
        <v>0</v>
      </c>
      <c r="P502" s="17" t="s">
        <v>47</v>
      </c>
      <c r="Q502" t="str">
        <f>LEFT(B502,3)</f>
        <v>KP3</v>
      </c>
    </row>
    <row r="503" spans="1:17">
      <c r="A503" s="2" t="s">
        <v>2986</v>
      </c>
      <c r="B503" s="2" t="s">
        <v>1015</v>
      </c>
      <c r="C503" s="6" t="s">
        <v>1017</v>
      </c>
      <c r="D503" s="6" t="s">
        <v>1017</v>
      </c>
      <c r="E503" s="2" t="s">
        <v>178</v>
      </c>
      <c r="F503" s="2" t="s">
        <v>68</v>
      </c>
      <c r="G503" s="2" t="s">
        <v>68</v>
      </c>
      <c r="H503" s="7">
        <v>298144</v>
      </c>
      <c r="I503" s="7">
        <v>336705</v>
      </c>
      <c r="J503" s="79">
        <v>165.019158</v>
      </c>
      <c r="K503" s="79">
        <v>-21.165572999999998</v>
      </c>
      <c r="L503" s="71">
        <v>50</v>
      </c>
      <c r="M503" s="73">
        <v>2</v>
      </c>
      <c r="N503" s="73">
        <v>1</v>
      </c>
      <c r="O503" s="73">
        <v>0</v>
      </c>
      <c r="P503" s="17" t="s">
        <v>47</v>
      </c>
      <c r="Q503" t="str">
        <f>LEFT(B503,3)</f>
        <v>KP8</v>
      </c>
    </row>
    <row r="504" spans="1:17">
      <c r="A504" s="2" t="s">
        <v>2987</v>
      </c>
      <c r="B504" s="2" t="s">
        <v>1015</v>
      </c>
      <c r="C504" s="6" t="s">
        <v>1017</v>
      </c>
      <c r="D504" s="6" t="s">
        <v>1017</v>
      </c>
      <c r="E504" s="2" t="s">
        <v>178</v>
      </c>
      <c r="F504" s="2" t="s">
        <v>68</v>
      </c>
      <c r="G504" s="2" t="s">
        <v>68</v>
      </c>
      <c r="H504" s="7">
        <v>298144</v>
      </c>
      <c r="I504" s="7">
        <v>336705</v>
      </c>
      <c r="J504" s="79">
        <v>165.019158</v>
      </c>
      <c r="K504" s="79">
        <v>-21.165572999999998</v>
      </c>
      <c r="L504" s="71">
        <v>179</v>
      </c>
      <c r="M504" s="73">
        <v>2</v>
      </c>
      <c r="N504" s="73">
        <v>1</v>
      </c>
      <c r="O504" s="73">
        <v>0</v>
      </c>
      <c r="P504" s="17" t="s">
        <v>47</v>
      </c>
      <c r="Q504" t="str">
        <f>LEFT(B504,3)</f>
        <v>KP8</v>
      </c>
    </row>
    <row r="505" spans="1:17">
      <c r="A505" s="2" t="s">
        <v>2988</v>
      </c>
      <c r="B505" s="2" t="s">
        <v>1015</v>
      </c>
      <c r="C505" s="6" t="s">
        <v>1017</v>
      </c>
      <c r="D505" s="6" t="s">
        <v>1017</v>
      </c>
      <c r="E505" s="2" t="s">
        <v>178</v>
      </c>
      <c r="F505" s="2" t="s">
        <v>68</v>
      </c>
      <c r="G505" s="2" t="s">
        <v>68</v>
      </c>
      <c r="H505" s="7">
        <v>298144</v>
      </c>
      <c r="I505" s="7">
        <v>336705</v>
      </c>
      <c r="J505" s="79">
        <v>165.019158</v>
      </c>
      <c r="K505" s="79">
        <v>-21.165572999999998</v>
      </c>
      <c r="L505" s="71">
        <v>317</v>
      </c>
      <c r="M505" s="73">
        <v>2</v>
      </c>
      <c r="N505" s="73">
        <v>1</v>
      </c>
      <c r="O505" s="73">
        <v>0</v>
      </c>
      <c r="P505" s="17" t="s">
        <v>47</v>
      </c>
      <c r="Q505" t="str">
        <f>LEFT(B505,3)</f>
        <v>KP8</v>
      </c>
    </row>
    <row r="506" spans="1:17">
      <c r="A506" s="2" t="s">
        <v>2989</v>
      </c>
      <c r="B506" s="2" t="s">
        <v>1019</v>
      </c>
      <c r="C506" s="2" t="s">
        <v>1020</v>
      </c>
      <c r="D506" s="2" t="s">
        <v>1020</v>
      </c>
      <c r="E506" s="2" t="s">
        <v>178</v>
      </c>
      <c r="F506" s="2" t="s">
        <v>68</v>
      </c>
      <c r="G506" s="2" t="s">
        <v>68</v>
      </c>
      <c r="H506" s="2">
        <v>298190</v>
      </c>
      <c r="I506" s="2">
        <v>334426</v>
      </c>
      <c r="J506" s="79">
        <v>165.019463</v>
      </c>
      <c r="K506" s="79">
        <v>-21.186160999999998</v>
      </c>
      <c r="L506" s="71">
        <v>83</v>
      </c>
      <c r="M506" s="73">
        <v>3</v>
      </c>
      <c r="N506" s="73">
        <v>1</v>
      </c>
      <c r="O506" s="73">
        <v>0</v>
      </c>
      <c r="P506" s="17" t="s">
        <v>47</v>
      </c>
      <c r="Q506" t="str">
        <f>LEFT(B506,3)</f>
        <v>KPC</v>
      </c>
    </row>
    <row r="507" spans="1:17">
      <c r="A507" s="2" t="s">
        <v>2990</v>
      </c>
      <c r="B507" s="2" t="s">
        <v>1019</v>
      </c>
      <c r="C507" s="2" t="s">
        <v>1020</v>
      </c>
      <c r="D507" s="2" t="s">
        <v>1020</v>
      </c>
      <c r="E507" s="2" t="s">
        <v>178</v>
      </c>
      <c r="F507" s="2" t="s">
        <v>68</v>
      </c>
      <c r="G507" s="2" t="s">
        <v>68</v>
      </c>
      <c r="H507" s="2">
        <v>298190</v>
      </c>
      <c r="I507" s="2">
        <v>334426</v>
      </c>
      <c r="J507" s="79">
        <v>165.019463</v>
      </c>
      <c r="K507" s="79">
        <v>-21.186160999999998</v>
      </c>
      <c r="L507" s="71">
        <v>181</v>
      </c>
      <c r="M507" s="73">
        <v>3</v>
      </c>
      <c r="N507" s="73">
        <v>1</v>
      </c>
      <c r="O507" s="73">
        <v>0</v>
      </c>
      <c r="P507" s="17" t="s">
        <v>47</v>
      </c>
      <c r="Q507" t="str">
        <f>LEFT(B507,3)</f>
        <v>KPC</v>
      </c>
    </row>
    <row r="508" spans="1:17">
      <c r="A508" s="2" t="s">
        <v>2991</v>
      </c>
      <c r="B508" s="2" t="s">
        <v>1019</v>
      </c>
      <c r="C508" s="2" t="s">
        <v>1020</v>
      </c>
      <c r="D508" s="2" t="s">
        <v>1020</v>
      </c>
      <c r="E508" s="2" t="s">
        <v>178</v>
      </c>
      <c r="F508" s="2" t="s">
        <v>68</v>
      </c>
      <c r="G508" s="2" t="s">
        <v>68</v>
      </c>
      <c r="H508" s="2">
        <v>298190</v>
      </c>
      <c r="I508" s="2">
        <v>334426</v>
      </c>
      <c r="J508" s="79">
        <v>165.019463</v>
      </c>
      <c r="K508" s="79">
        <v>-21.186160999999998</v>
      </c>
      <c r="L508" s="71">
        <v>349</v>
      </c>
      <c r="M508" s="73">
        <v>3</v>
      </c>
      <c r="N508" s="73">
        <v>1</v>
      </c>
      <c r="O508" s="73">
        <v>0</v>
      </c>
      <c r="P508" s="17" t="s">
        <v>47</v>
      </c>
      <c r="Q508" t="str">
        <f>LEFT(B508,3)</f>
        <v>KPC</v>
      </c>
    </row>
    <row r="509" spans="1:17">
      <c r="A509" s="2" t="s">
        <v>2992</v>
      </c>
      <c r="B509" s="2" t="s">
        <v>1023</v>
      </c>
      <c r="C509" s="2" t="s">
        <v>1024</v>
      </c>
      <c r="D509" s="2" t="s">
        <v>1024</v>
      </c>
      <c r="E509" s="2" t="s">
        <v>148</v>
      </c>
      <c r="F509" s="2" t="s">
        <v>68</v>
      </c>
      <c r="G509" s="2" t="s">
        <v>68</v>
      </c>
      <c r="H509" s="2">
        <v>312665</v>
      </c>
      <c r="I509" s="2">
        <v>319575</v>
      </c>
      <c r="J509" s="79">
        <v>165.15809999999999</v>
      </c>
      <c r="K509" s="79">
        <v>-21.321059999999999</v>
      </c>
      <c r="L509" s="71">
        <v>45</v>
      </c>
      <c r="M509" s="73">
        <v>1</v>
      </c>
      <c r="N509" s="73">
        <v>1</v>
      </c>
      <c r="O509" s="73">
        <v>0</v>
      </c>
      <c r="P509" s="17" t="s">
        <v>47</v>
      </c>
      <c r="Q509" t="str">
        <f>LEFT(B509,3)</f>
        <v>KRA</v>
      </c>
    </row>
    <row r="510" spans="1:17">
      <c r="A510" s="2" t="s">
        <v>2993</v>
      </c>
      <c r="B510" s="2" t="s">
        <v>1023</v>
      </c>
      <c r="C510" s="2" t="s">
        <v>1024</v>
      </c>
      <c r="D510" s="2" t="s">
        <v>1024</v>
      </c>
      <c r="E510" s="2" t="s">
        <v>148</v>
      </c>
      <c r="F510" s="2" t="s">
        <v>68</v>
      </c>
      <c r="G510" s="2" t="s">
        <v>68</v>
      </c>
      <c r="H510" s="2">
        <v>312665</v>
      </c>
      <c r="I510" s="2">
        <v>319575</v>
      </c>
      <c r="J510" s="79">
        <v>165.15809999999999</v>
      </c>
      <c r="K510" s="79">
        <v>-21.321059999999999</v>
      </c>
      <c r="L510" s="71">
        <v>160</v>
      </c>
      <c r="M510" s="73">
        <v>1</v>
      </c>
      <c r="N510" s="73">
        <v>1</v>
      </c>
      <c r="O510" s="73">
        <v>0</v>
      </c>
      <c r="P510" s="17" t="s">
        <v>47</v>
      </c>
      <c r="Q510" t="str">
        <f>LEFT(B510,3)</f>
        <v>KRA</v>
      </c>
    </row>
    <row r="511" spans="1:17">
      <c r="A511" s="2" t="s">
        <v>2994</v>
      </c>
      <c r="B511" s="2" t="s">
        <v>1023</v>
      </c>
      <c r="C511" s="2" t="s">
        <v>1024</v>
      </c>
      <c r="D511" s="2" t="s">
        <v>1024</v>
      </c>
      <c r="E511" s="2" t="s">
        <v>148</v>
      </c>
      <c r="F511" s="2" t="s">
        <v>68</v>
      </c>
      <c r="G511" s="2" t="s">
        <v>68</v>
      </c>
      <c r="H511" s="2">
        <v>312665</v>
      </c>
      <c r="I511" s="2">
        <v>319575</v>
      </c>
      <c r="J511" s="79">
        <v>165.15809999999999</v>
      </c>
      <c r="K511" s="79">
        <v>-21.321059999999999</v>
      </c>
      <c r="L511" s="71">
        <v>260</v>
      </c>
      <c r="M511" s="73">
        <v>1</v>
      </c>
      <c r="N511" s="73">
        <v>1</v>
      </c>
      <c r="O511" s="73">
        <v>0</v>
      </c>
      <c r="P511" s="17" t="s">
        <v>47</v>
      </c>
      <c r="Q511" t="str">
        <f>LEFT(B511,3)</f>
        <v>KRA</v>
      </c>
    </row>
    <row r="512" spans="1:17">
      <c r="A512" s="17" t="s">
        <v>2995</v>
      </c>
      <c r="B512" s="17" t="s">
        <v>1027</v>
      </c>
      <c r="C512" s="13" t="s">
        <v>1028</v>
      </c>
      <c r="D512" s="13" t="s">
        <v>1028</v>
      </c>
      <c r="E512" s="17" t="s">
        <v>562</v>
      </c>
      <c r="F512" s="17" t="s">
        <v>43</v>
      </c>
      <c r="G512" s="17" t="s">
        <v>43</v>
      </c>
      <c r="H512" s="7">
        <v>410390</v>
      </c>
      <c r="I512" s="7">
        <v>278846</v>
      </c>
      <c r="J512" s="79">
        <v>166.10041000000001</v>
      </c>
      <c r="K512" s="79">
        <v>-21.691040000000001</v>
      </c>
      <c r="L512" s="71">
        <v>97</v>
      </c>
      <c r="M512" s="73">
        <v>1</v>
      </c>
      <c r="N512" s="73">
        <v>1</v>
      </c>
      <c r="O512" s="73">
        <v>1</v>
      </c>
      <c r="P512" s="17" t="s">
        <v>47</v>
      </c>
      <c r="Q512" t="str">
        <f>LEFT(B512,3)</f>
        <v>KRE</v>
      </c>
    </row>
    <row r="513" spans="1:17">
      <c r="A513" s="17" t="s">
        <v>2996</v>
      </c>
      <c r="B513" s="17" t="s">
        <v>1027</v>
      </c>
      <c r="C513" s="13" t="s">
        <v>1028</v>
      </c>
      <c r="D513" s="13" t="s">
        <v>1028</v>
      </c>
      <c r="E513" s="17" t="s">
        <v>562</v>
      </c>
      <c r="F513" s="17" t="s">
        <v>43</v>
      </c>
      <c r="G513" s="17" t="s">
        <v>43</v>
      </c>
      <c r="H513" s="7">
        <v>410390</v>
      </c>
      <c r="I513" s="7">
        <v>278846</v>
      </c>
      <c r="J513" s="79">
        <v>166.10041000000001</v>
      </c>
      <c r="K513" s="79">
        <v>-21.691040000000001</v>
      </c>
      <c r="L513" s="71">
        <v>289</v>
      </c>
      <c r="M513" s="73">
        <v>1</v>
      </c>
      <c r="N513" s="73">
        <v>1</v>
      </c>
      <c r="O513" s="73">
        <v>1</v>
      </c>
      <c r="P513" s="17" t="s">
        <v>47</v>
      </c>
      <c r="Q513" t="str">
        <f>LEFT(B513,3)</f>
        <v>KRE</v>
      </c>
    </row>
    <row r="514" spans="1:17">
      <c r="A514" s="17" t="s">
        <v>2997</v>
      </c>
      <c r="B514" s="17" t="s">
        <v>1031</v>
      </c>
      <c r="C514" s="13" t="s">
        <v>1032</v>
      </c>
      <c r="D514" s="13" t="s">
        <v>1032</v>
      </c>
      <c r="E514" s="17" t="s">
        <v>29</v>
      </c>
      <c r="F514" s="17" t="s">
        <v>43</v>
      </c>
      <c r="G514" s="17" t="s">
        <v>30</v>
      </c>
      <c r="H514" s="7">
        <v>440388.75594</v>
      </c>
      <c r="I514" s="7">
        <v>215934.23959000001</v>
      </c>
      <c r="J514" s="80">
        <v>166.39185318018099</v>
      </c>
      <c r="K514" s="80">
        <v>-22.258807853897501</v>
      </c>
      <c r="L514" s="71">
        <v>90</v>
      </c>
      <c r="M514" s="73">
        <v>1</v>
      </c>
      <c r="N514" s="73">
        <v>1</v>
      </c>
      <c r="O514" s="73">
        <v>1</v>
      </c>
      <c r="P514" s="17" t="s">
        <v>37</v>
      </c>
      <c r="Q514" t="str">
        <f>LEFT(B514,3)</f>
        <v>KUE</v>
      </c>
    </row>
    <row r="515" spans="1:17">
      <c r="A515" s="17" t="s">
        <v>2998</v>
      </c>
      <c r="B515" s="17" t="s">
        <v>1035</v>
      </c>
      <c r="C515" s="13" t="s">
        <v>1036</v>
      </c>
      <c r="D515" s="13" t="s">
        <v>1036</v>
      </c>
      <c r="E515" s="17" t="s">
        <v>331</v>
      </c>
      <c r="F515" s="17" t="s">
        <v>43</v>
      </c>
      <c r="G515" s="17" t="s">
        <v>43</v>
      </c>
      <c r="H515" s="7">
        <v>548036.20007000002</v>
      </c>
      <c r="I515" s="7">
        <v>170568.27501000001</v>
      </c>
      <c r="J515" s="80">
        <v>167.44025944526101</v>
      </c>
      <c r="K515" s="80">
        <v>-22.6627669011393</v>
      </c>
      <c r="L515" s="71">
        <v>10</v>
      </c>
      <c r="M515" s="73">
        <v>1</v>
      </c>
      <c r="N515" s="73">
        <v>1</v>
      </c>
      <c r="O515" s="73">
        <v>1</v>
      </c>
      <c r="P515" s="17" t="s">
        <v>47</v>
      </c>
      <c r="Q515" t="str">
        <f>LEFT(B515,3)</f>
        <v>KUT</v>
      </c>
    </row>
    <row r="516" spans="1:17">
      <c r="A516" s="17" t="s">
        <v>2999</v>
      </c>
      <c r="B516" s="17" t="s">
        <v>1035</v>
      </c>
      <c r="C516" s="13" t="s">
        <v>1036</v>
      </c>
      <c r="D516" s="13" t="s">
        <v>1036</v>
      </c>
      <c r="E516" s="17" t="s">
        <v>331</v>
      </c>
      <c r="F516" s="17" t="s">
        <v>43</v>
      </c>
      <c r="G516" s="17" t="s">
        <v>43</v>
      </c>
      <c r="H516" s="7">
        <v>548036.20007000002</v>
      </c>
      <c r="I516" s="7">
        <v>170568.27501000001</v>
      </c>
      <c r="J516" s="80">
        <v>167.44025944526101</v>
      </c>
      <c r="K516" s="80">
        <v>-22.6627669011393</v>
      </c>
      <c r="L516" s="71">
        <v>105</v>
      </c>
      <c r="M516" s="73">
        <v>1</v>
      </c>
      <c r="N516" s="73">
        <v>1</v>
      </c>
      <c r="O516" s="73">
        <v>1</v>
      </c>
      <c r="P516" s="17" t="s">
        <v>47</v>
      </c>
      <c r="Q516" t="str">
        <f>LEFT(B516,3)</f>
        <v>KUT</v>
      </c>
    </row>
    <row r="517" spans="1:17">
      <c r="A517" s="17" t="s">
        <v>3000</v>
      </c>
      <c r="B517" s="17" t="s">
        <v>1039</v>
      </c>
      <c r="C517" s="13" t="s">
        <v>1040</v>
      </c>
      <c r="D517" s="13" t="s">
        <v>1041</v>
      </c>
      <c r="E517" s="17" t="s">
        <v>67</v>
      </c>
      <c r="F517" s="17" t="s">
        <v>68</v>
      </c>
      <c r="G517" s="17" t="s">
        <v>68</v>
      </c>
      <c r="H517" s="7">
        <v>278148</v>
      </c>
      <c r="I517" s="7">
        <v>349190</v>
      </c>
      <c r="J517" s="79">
        <v>164.82751099999999</v>
      </c>
      <c r="K517" s="79">
        <v>-21.051559000000001</v>
      </c>
      <c r="L517" s="71">
        <v>43</v>
      </c>
      <c r="M517" s="73">
        <v>1</v>
      </c>
      <c r="N517" s="73">
        <v>1</v>
      </c>
      <c r="O517" s="73">
        <v>0</v>
      </c>
      <c r="P517" s="17" t="s">
        <v>47</v>
      </c>
      <c r="Q517" t="str">
        <f>LEFT(B517,3)</f>
        <v>KVI</v>
      </c>
    </row>
    <row r="518" spans="1:17">
      <c r="A518" s="17" t="s">
        <v>3001</v>
      </c>
      <c r="B518" s="17" t="s">
        <v>1039</v>
      </c>
      <c r="C518" s="13" t="s">
        <v>1040</v>
      </c>
      <c r="D518" s="13" t="s">
        <v>1041</v>
      </c>
      <c r="E518" s="17" t="s">
        <v>67</v>
      </c>
      <c r="F518" s="17" t="s">
        <v>68</v>
      </c>
      <c r="G518" s="17" t="s">
        <v>68</v>
      </c>
      <c r="H518" s="7">
        <v>278148</v>
      </c>
      <c r="I518" s="7">
        <v>349190</v>
      </c>
      <c r="J518" s="79">
        <v>164.82751099999999</v>
      </c>
      <c r="K518" s="79">
        <v>-21.051559000000001</v>
      </c>
      <c r="L518" s="71">
        <v>150</v>
      </c>
      <c r="M518" s="73">
        <v>1</v>
      </c>
      <c r="N518" s="73">
        <v>1</v>
      </c>
      <c r="O518" s="73">
        <v>0</v>
      </c>
      <c r="P518" s="17" t="s">
        <v>47</v>
      </c>
      <c r="Q518" t="str">
        <f>LEFT(B518,3)</f>
        <v>KVI</v>
      </c>
    </row>
    <row r="519" spans="1:17">
      <c r="A519" s="17" t="s">
        <v>3002</v>
      </c>
      <c r="B519" s="17" t="s">
        <v>1039</v>
      </c>
      <c r="C519" s="13" t="s">
        <v>1040</v>
      </c>
      <c r="D519" s="13" t="s">
        <v>1041</v>
      </c>
      <c r="E519" s="17" t="s">
        <v>67</v>
      </c>
      <c r="F519" s="17" t="s">
        <v>68</v>
      </c>
      <c r="G519" s="17" t="s">
        <v>68</v>
      </c>
      <c r="H519" s="7">
        <v>278148</v>
      </c>
      <c r="I519" s="7">
        <v>349190</v>
      </c>
      <c r="J519" s="79">
        <v>164.82751099999999</v>
      </c>
      <c r="K519" s="79">
        <v>-21.051559000000001</v>
      </c>
      <c r="L519" s="71">
        <v>275</v>
      </c>
      <c r="M519" s="73">
        <v>1</v>
      </c>
      <c r="N519" s="73">
        <v>1</v>
      </c>
      <c r="O519" s="73">
        <v>0</v>
      </c>
      <c r="P519" s="17" t="s">
        <v>47</v>
      </c>
      <c r="Q519" t="str">
        <f>LEFT(B519,3)</f>
        <v>KVI</v>
      </c>
    </row>
    <row r="520" spans="1:17">
      <c r="A520" s="17" t="s">
        <v>3003</v>
      </c>
      <c r="B520" s="17" t="s">
        <v>1043</v>
      </c>
      <c r="C520" s="13" t="s">
        <v>1045</v>
      </c>
      <c r="D520" s="13" t="s">
        <v>1045</v>
      </c>
      <c r="E520" s="17" t="s">
        <v>93</v>
      </c>
      <c r="F520" s="17" t="s">
        <v>43</v>
      </c>
      <c r="G520" s="17" t="s">
        <v>50</v>
      </c>
      <c r="H520" s="7">
        <v>459351.91006999998</v>
      </c>
      <c r="I520" s="7">
        <v>217619.22506999999</v>
      </c>
      <c r="J520" s="80">
        <v>166.57577017546001</v>
      </c>
      <c r="K520" s="80">
        <v>-22.243060927605001</v>
      </c>
      <c r="L520" s="71">
        <v>357</v>
      </c>
      <c r="M520" s="73">
        <v>2</v>
      </c>
      <c r="N520" s="73">
        <v>2</v>
      </c>
      <c r="O520" s="73">
        <v>1</v>
      </c>
      <c r="P520" s="17" t="s">
        <v>37</v>
      </c>
      <c r="Q520" t="str">
        <f>LEFT(B520,3)</f>
        <v>LAC</v>
      </c>
    </row>
    <row r="521" spans="1:17">
      <c r="A521" s="17" t="s">
        <v>3004</v>
      </c>
      <c r="B521" s="17" t="s">
        <v>1043</v>
      </c>
      <c r="C521" s="13" t="s">
        <v>1045</v>
      </c>
      <c r="D521" s="13" t="s">
        <v>1045</v>
      </c>
      <c r="E521" s="17" t="s">
        <v>93</v>
      </c>
      <c r="F521" s="17" t="s">
        <v>43</v>
      </c>
      <c r="G521" s="17" t="s">
        <v>50</v>
      </c>
      <c r="H521" s="7">
        <v>459351.91006999998</v>
      </c>
      <c r="I521" s="7">
        <v>217619.22506999999</v>
      </c>
      <c r="J521" s="80">
        <v>166.57577017546001</v>
      </c>
      <c r="K521" s="80">
        <v>-22.243060927605001</v>
      </c>
      <c r="L521" s="71">
        <v>80</v>
      </c>
      <c r="M521" s="73">
        <v>2</v>
      </c>
      <c r="N521" s="73">
        <v>2</v>
      </c>
      <c r="O521" s="73">
        <v>1</v>
      </c>
      <c r="P521" s="17" t="s">
        <v>37</v>
      </c>
      <c r="Q521" t="str">
        <f>LEFT(B521,3)</f>
        <v>LAC</v>
      </c>
    </row>
    <row r="522" spans="1:17">
      <c r="A522" s="17" t="s">
        <v>3005</v>
      </c>
      <c r="B522" s="17" t="s">
        <v>1043</v>
      </c>
      <c r="C522" s="13" t="s">
        <v>1045</v>
      </c>
      <c r="D522" s="13" t="s">
        <v>1045</v>
      </c>
      <c r="E522" s="17" t="s">
        <v>93</v>
      </c>
      <c r="F522" s="17" t="s">
        <v>43</v>
      </c>
      <c r="G522" s="17" t="s">
        <v>50</v>
      </c>
      <c r="H522" s="7">
        <v>459351.91006999998</v>
      </c>
      <c r="I522" s="7">
        <v>217619.22506999999</v>
      </c>
      <c r="J522" s="80">
        <v>166.57577017546001</v>
      </c>
      <c r="K522" s="80">
        <v>-22.243060927605001</v>
      </c>
      <c r="L522" s="71">
        <v>210</v>
      </c>
      <c r="M522" s="73">
        <v>2</v>
      </c>
      <c r="N522" s="73">
        <v>2</v>
      </c>
      <c r="O522" s="73">
        <v>1</v>
      </c>
      <c r="P522" s="17" t="s">
        <v>37</v>
      </c>
      <c r="Q522" t="str">
        <f>LEFT(B522,3)</f>
        <v>LAC</v>
      </c>
    </row>
    <row r="523" spans="1:17">
      <c r="A523" s="13" t="s">
        <v>3006</v>
      </c>
      <c r="B523" s="13" t="s">
        <v>1048</v>
      </c>
      <c r="C523" s="13" t="s">
        <v>1050</v>
      </c>
      <c r="D523" s="13" t="s">
        <v>1050</v>
      </c>
      <c r="E523" s="17" t="s">
        <v>29</v>
      </c>
      <c r="F523" s="17" t="s">
        <v>43</v>
      </c>
      <c r="G523" s="17" t="s">
        <v>30</v>
      </c>
      <c r="H523" s="7">
        <v>446043.75</v>
      </c>
      <c r="I523" s="7">
        <v>210980.97880000001</v>
      </c>
      <c r="J523" s="80">
        <v>166.44685494473899</v>
      </c>
      <c r="K523" s="80">
        <v>-22.303400044498598</v>
      </c>
      <c r="L523" s="71">
        <v>20</v>
      </c>
      <c r="M523" s="73">
        <v>3</v>
      </c>
      <c r="N523" s="73">
        <v>2</v>
      </c>
      <c r="O523" s="73">
        <v>1</v>
      </c>
      <c r="P523" s="17" t="s">
        <v>37</v>
      </c>
      <c r="Q523" t="str">
        <f>LEFT(B523,3)</f>
        <v>LAN</v>
      </c>
    </row>
    <row r="524" spans="1:17">
      <c r="A524" s="13" t="s">
        <v>3007</v>
      </c>
      <c r="B524" s="13" t="s">
        <v>1048</v>
      </c>
      <c r="C524" s="13" t="s">
        <v>1050</v>
      </c>
      <c r="D524" s="13" t="s">
        <v>1050</v>
      </c>
      <c r="E524" s="17" t="s">
        <v>29</v>
      </c>
      <c r="F524" s="17" t="s">
        <v>43</v>
      </c>
      <c r="G524" s="17" t="s">
        <v>30</v>
      </c>
      <c r="H524" s="7">
        <v>446043.75</v>
      </c>
      <c r="I524" s="7">
        <v>210980.97880000001</v>
      </c>
      <c r="J524" s="80">
        <v>166.44685494473899</v>
      </c>
      <c r="K524" s="80">
        <v>-22.303400044498598</v>
      </c>
      <c r="L524" s="71">
        <v>150</v>
      </c>
      <c r="M524" s="73">
        <v>3</v>
      </c>
      <c r="N524" s="73">
        <v>2</v>
      </c>
      <c r="O524" s="73">
        <v>1</v>
      </c>
      <c r="P524" s="17" t="s">
        <v>37</v>
      </c>
      <c r="Q524" t="str">
        <f>LEFT(B524,3)</f>
        <v>LAN</v>
      </c>
    </row>
    <row r="525" spans="1:17">
      <c r="A525" s="13" t="s">
        <v>3008</v>
      </c>
      <c r="B525" s="13" t="s">
        <v>1048</v>
      </c>
      <c r="C525" s="13" t="s">
        <v>1050</v>
      </c>
      <c r="D525" s="13" t="s">
        <v>1050</v>
      </c>
      <c r="E525" s="17" t="s">
        <v>29</v>
      </c>
      <c r="F525" s="17" t="s">
        <v>43</v>
      </c>
      <c r="G525" s="17" t="s">
        <v>30</v>
      </c>
      <c r="H525" s="7">
        <v>446043.75</v>
      </c>
      <c r="I525" s="7">
        <v>210980.97880000001</v>
      </c>
      <c r="J525" s="80">
        <v>166.44685494473899</v>
      </c>
      <c r="K525" s="80">
        <v>-22.303400044498598</v>
      </c>
      <c r="L525" s="71">
        <v>270</v>
      </c>
      <c r="M525" s="73">
        <v>3</v>
      </c>
      <c r="N525" s="73">
        <v>2</v>
      </c>
      <c r="O525" s="73">
        <v>1</v>
      </c>
      <c r="P525" s="17" t="s">
        <v>37</v>
      </c>
      <c r="Q525" t="str">
        <f>LEFT(B525,3)</f>
        <v>LAN</v>
      </c>
    </row>
    <row r="526" spans="1:17">
      <c r="A526" s="17" t="s">
        <v>3009</v>
      </c>
      <c r="B526" s="17" t="s">
        <v>1053</v>
      </c>
      <c r="C526" s="13" t="s">
        <v>1054</v>
      </c>
      <c r="D526" s="13" t="s">
        <v>1054</v>
      </c>
      <c r="E526" s="17" t="s">
        <v>351</v>
      </c>
      <c r="F526" s="17" t="s">
        <v>129</v>
      </c>
      <c r="G526" s="17" t="s">
        <v>129</v>
      </c>
      <c r="H526" s="7">
        <v>595681.24708</v>
      </c>
      <c r="I526" s="7">
        <v>290817.2254</v>
      </c>
      <c r="J526" s="80">
        <v>167.88962233472199</v>
      </c>
      <c r="K526" s="80">
        <v>-21.572262147267999</v>
      </c>
      <c r="L526" s="71">
        <v>145</v>
      </c>
      <c r="M526" s="73">
        <v>1</v>
      </c>
      <c r="N526" s="73">
        <v>1</v>
      </c>
      <c r="O526" s="73">
        <v>1</v>
      </c>
      <c r="P526" s="17" t="s">
        <v>47</v>
      </c>
      <c r="Q526" t="str">
        <f>LEFT(B526,3)</f>
        <v>LAP</v>
      </c>
    </row>
    <row r="527" spans="1:17">
      <c r="A527" s="17" t="s">
        <v>3010</v>
      </c>
      <c r="B527" s="17" t="s">
        <v>1053</v>
      </c>
      <c r="C527" s="13" t="s">
        <v>1054</v>
      </c>
      <c r="D527" s="13" t="s">
        <v>1054</v>
      </c>
      <c r="E527" s="17" t="s">
        <v>351</v>
      </c>
      <c r="F527" s="17" t="s">
        <v>129</v>
      </c>
      <c r="G527" s="17" t="s">
        <v>129</v>
      </c>
      <c r="H527" s="7">
        <v>595681.24708</v>
      </c>
      <c r="I527" s="7">
        <v>290817.2254</v>
      </c>
      <c r="J527" s="80">
        <v>167.88962233472199</v>
      </c>
      <c r="K527" s="80">
        <v>-21.572262147267999</v>
      </c>
      <c r="L527" s="71">
        <v>341</v>
      </c>
      <c r="M527" s="73">
        <v>1</v>
      </c>
      <c r="N527" s="73">
        <v>1</v>
      </c>
      <c r="O527" s="73">
        <v>1</v>
      </c>
      <c r="P527" s="17" t="s">
        <v>47</v>
      </c>
      <c r="Q527" t="str">
        <f>LEFT(B527,3)</f>
        <v>LAP</v>
      </c>
    </row>
    <row r="528" spans="1:17">
      <c r="A528" s="6" t="s">
        <v>3011</v>
      </c>
      <c r="B528" s="17" t="s">
        <v>1058</v>
      </c>
      <c r="C528" s="13" t="s">
        <v>1059</v>
      </c>
      <c r="D528" s="13" t="s">
        <v>1060</v>
      </c>
      <c r="E528" s="17" t="s">
        <v>142</v>
      </c>
      <c r="F528" s="17" t="s">
        <v>43</v>
      </c>
      <c r="G528" s="17" t="s">
        <v>43</v>
      </c>
      <c r="H528" s="7">
        <v>486960</v>
      </c>
      <c r="I528" s="7">
        <v>214339</v>
      </c>
      <c r="J528" s="8">
        <v>166.843761</v>
      </c>
      <c r="K528" s="8">
        <v>-22.271550000000001</v>
      </c>
      <c r="L528" s="71">
        <v>26</v>
      </c>
      <c r="M528" s="73">
        <v>1</v>
      </c>
      <c r="N528" s="73">
        <v>1</v>
      </c>
      <c r="O528" s="73">
        <v>0</v>
      </c>
      <c r="P528" s="17" t="s">
        <v>47</v>
      </c>
      <c r="Q528" t="str">
        <f>LEFT(B528,3)</f>
        <v>LAV</v>
      </c>
    </row>
    <row r="529" spans="1:17">
      <c r="A529" s="6" t="s">
        <v>3012</v>
      </c>
      <c r="B529" s="17" t="s">
        <v>1058</v>
      </c>
      <c r="C529" s="13" t="s">
        <v>1059</v>
      </c>
      <c r="D529" s="13" t="s">
        <v>1060</v>
      </c>
      <c r="E529" s="17" t="s">
        <v>142</v>
      </c>
      <c r="F529" s="17" t="s">
        <v>43</v>
      </c>
      <c r="G529" s="17" t="s">
        <v>43</v>
      </c>
      <c r="H529" s="7">
        <v>486960</v>
      </c>
      <c r="I529" s="7">
        <v>214339</v>
      </c>
      <c r="J529" s="8">
        <v>166.843761</v>
      </c>
      <c r="K529" s="8">
        <v>-22.271550000000001</v>
      </c>
      <c r="L529" s="71">
        <v>135</v>
      </c>
      <c r="M529" s="73">
        <v>1</v>
      </c>
      <c r="N529" s="73">
        <v>1</v>
      </c>
      <c r="O529" s="73">
        <v>0</v>
      </c>
      <c r="P529" s="17" t="s">
        <v>47</v>
      </c>
      <c r="Q529" t="str">
        <f>LEFT(B529,3)</f>
        <v>LAV</v>
      </c>
    </row>
    <row r="530" spans="1:17">
      <c r="A530" s="6" t="s">
        <v>3013</v>
      </c>
      <c r="B530" s="17" t="s">
        <v>1058</v>
      </c>
      <c r="C530" s="13" t="s">
        <v>1059</v>
      </c>
      <c r="D530" s="13" t="s">
        <v>1060</v>
      </c>
      <c r="E530" s="17" t="s">
        <v>142</v>
      </c>
      <c r="F530" s="17" t="s">
        <v>43</v>
      </c>
      <c r="G530" s="17" t="s">
        <v>43</v>
      </c>
      <c r="H530" s="7">
        <v>486960</v>
      </c>
      <c r="I530" s="7">
        <v>214339</v>
      </c>
      <c r="J530" s="8">
        <v>166.843761</v>
      </c>
      <c r="K530" s="8">
        <v>-22.271550000000001</v>
      </c>
      <c r="L530" s="71">
        <v>205</v>
      </c>
      <c r="M530" s="73">
        <v>1</v>
      </c>
      <c r="N530" s="73">
        <v>1</v>
      </c>
      <c r="O530" s="73">
        <v>0</v>
      </c>
      <c r="P530" s="17" t="s">
        <v>47</v>
      </c>
      <c r="Q530" t="str">
        <f>LEFT(B530,3)</f>
        <v>LAV</v>
      </c>
    </row>
    <row r="531" spans="1:17">
      <c r="A531" s="17" t="s">
        <v>3014</v>
      </c>
      <c r="B531" s="17" t="s">
        <v>1062</v>
      </c>
      <c r="C531" s="13" t="s">
        <v>1063</v>
      </c>
      <c r="D531" s="13" t="s">
        <v>1063</v>
      </c>
      <c r="E531" s="17" t="s">
        <v>29</v>
      </c>
      <c r="F531" s="17" t="s">
        <v>43</v>
      </c>
      <c r="G531" s="17" t="s">
        <v>30</v>
      </c>
      <c r="H531" s="7">
        <v>446522.37252999999</v>
      </c>
      <c r="I531" s="7">
        <v>211085.20206000001</v>
      </c>
      <c r="J531" s="80">
        <v>166.45149097249899</v>
      </c>
      <c r="K531" s="80">
        <v>-22.302448453833001</v>
      </c>
      <c r="L531" s="71">
        <v>27</v>
      </c>
      <c r="M531" s="73">
        <v>2</v>
      </c>
      <c r="N531" s="73">
        <v>3</v>
      </c>
      <c r="O531" s="73">
        <v>1</v>
      </c>
      <c r="P531" s="17" t="s">
        <v>37</v>
      </c>
      <c r="Q531" t="str">
        <f>LEFT(B531,3)</f>
        <v>LCH</v>
      </c>
    </row>
    <row r="532" spans="1:17">
      <c r="A532" s="17" t="s">
        <v>3015</v>
      </c>
      <c r="B532" s="17" t="s">
        <v>1062</v>
      </c>
      <c r="C532" s="13" t="s">
        <v>1063</v>
      </c>
      <c r="D532" s="13" t="s">
        <v>1063</v>
      </c>
      <c r="E532" s="17" t="s">
        <v>29</v>
      </c>
      <c r="F532" s="17" t="s">
        <v>43</v>
      </c>
      <c r="G532" s="17" t="s">
        <v>30</v>
      </c>
      <c r="H532" s="7">
        <v>446522.37252999999</v>
      </c>
      <c r="I532" s="7">
        <v>211085.20206000001</v>
      </c>
      <c r="J532" s="80">
        <v>166.45149097249899</v>
      </c>
      <c r="K532" s="80">
        <v>-22.302448453833001</v>
      </c>
      <c r="L532" s="71">
        <v>251</v>
      </c>
      <c r="M532" s="73">
        <v>2</v>
      </c>
      <c r="N532" s="73">
        <v>3</v>
      </c>
      <c r="O532" s="73">
        <v>1</v>
      </c>
      <c r="P532" s="17" t="s">
        <v>37</v>
      </c>
      <c r="Q532" t="str">
        <f>LEFT(B532,3)</f>
        <v>LCH</v>
      </c>
    </row>
    <row r="533" spans="1:17">
      <c r="A533" s="17" t="s">
        <v>3016</v>
      </c>
      <c r="B533" s="17" t="s">
        <v>1062</v>
      </c>
      <c r="C533" s="13" t="s">
        <v>1063</v>
      </c>
      <c r="D533" s="13" t="s">
        <v>1063</v>
      </c>
      <c r="E533" s="17" t="s">
        <v>29</v>
      </c>
      <c r="F533" s="17" t="s">
        <v>43</v>
      </c>
      <c r="G533" s="17" t="s">
        <v>30</v>
      </c>
      <c r="H533" s="7">
        <v>446522.37252999999</v>
      </c>
      <c r="I533" s="7">
        <v>211085.20206000001</v>
      </c>
      <c r="J533" s="80">
        <v>166.45149097249899</v>
      </c>
      <c r="K533" s="80">
        <v>-22.302448453833001</v>
      </c>
      <c r="L533" s="71">
        <v>320</v>
      </c>
      <c r="M533" s="73">
        <v>2</v>
      </c>
      <c r="N533" s="73">
        <v>3</v>
      </c>
      <c r="O533" s="73">
        <v>1</v>
      </c>
      <c r="P533" s="17" t="s">
        <v>37</v>
      </c>
      <c r="Q533" t="str">
        <f>LEFT(B533,3)</f>
        <v>LCH</v>
      </c>
    </row>
    <row r="534" spans="1:17">
      <c r="A534" s="17" t="s">
        <v>3017</v>
      </c>
      <c r="B534" s="17" t="s">
        <v>1066</v>
      </c>
      <c r="C534" s="13" t="s">
        <v>1067</v>
      </c>
      <c r="D534" s="13" t="s">
        <v>1069</v>
      </c>
      <c r="E534" s="17" t="s">
        <v>191</v>
      </c>
      <c r="F534" s="17" t="s">
        <v>43</v>
      </c>
      <c r="G534" s="17" t="s">
        <v>43</v>
      </c>
      <c r="H534" s="7">
        <v>334514.08724000002</v>
      </c>
      <c r="I534" s="7">
        <v>304924.61463999999</v>
      </c>
      <c r="J534" s="80">
        <v>165.36814813631699</v>
      </c>
      <c r="K534" s="80">
        <v>-21.454319682344899</v>
      </c>
      <c r="L534" s="71">
        <v>141</v>
      </c>
      <c r="M534" s="73">
        <v>2</v>
      </c>
      <c r="N534" s="73">
        <v>1</v>
      </c>
      <c r="O534" s="73">
        <v>1</v>
      </c>
      <c r="P534" s="17" t="s">
        <v>47</v>
      </c>
      <c r="Q534" t="str">
        <f>LEFT(B534,3)</f>
        <v>LCP</v>
      </c>
    </row>
    <row r="535" spans="1:17">
      <c r="A535" s="17" t="s">
        <v>3018</v>
      </c>
      <c r="B535" s="17" t="s">
        <v>1066</v>
      </c>
      <c r="C535" s="13" t="s">
        <v>1067</v>
      </c>
      <c r="D535" s="13" t="s">
        <v>1069</v>
      </c>
      <c r="E535" s="17" t="s">
        <v>191</v>
      </c>
      <c r="F535" s="17" t="s">
        <v>43</v>
      </c>
      <c r="G535" s="17" t="s">
        <v>43</v>
      </c>
      <c r="H535" s="7">
        <v>334514.08724000002</v>
      </c>
      <c r="I535" s="7">
        <v>304924.61463999999</v>
      </c>
      <c r="J535" s="80">
        <v>165.36814813631699</v>
      </c>
      <c r="K535" s="80">
        <v>-21.454319682344899</v>
      </c>
      <c r="L535" s="71">
        <v>240</v>
      </c>
      <c r="M535" s="73">
        <v>2</v>
      </c>
      <c r="N535" s="73">
        <v>1</v>
      </c>
      <c r="O535" s="73">
        <v>1</v>
      </c>
      <c r="P535" s="17" t="s">
        <v>47</v>
      </c>
      <c r="Q535" t="str">
        <f>LEFT(B535,3)</f>
        <v>LCP</v>
      </c>
    </row>
    <row r="536" spans="1:17">
      <c r="A536" s="17" t="s">
        <v>3019</v>
      </c>
      <c r="B536" s="17" t="s">
        <v>1071</v>
      </c>
      <c r="C536" s="17" t="s">
        <v>1072</v>
      </c>
      <c r="D536" s="17" t="s">
        <v>1073</v>
      </c>
      <c r="E536" s="17" t="s">
        <v>93</v>
      </c>
      <c r="F536" s="17" t="s">
        <v>43</v>
      </c>
      <c r="G536" s="17" t="s">
        <v>50</v>
      </c>
      <c r="H536" s="22">
        <v>461719</v>
      </c>
      <c r="I536" s="22">
        <v>217953</v>
      </c>
      <c r="J536" s="80">
        <v>166.59871999999999</v>
      </c>
      <c r="K536" s="83">
        <v>-22.23996</v>
      </c>
      <c r="L536" s="71">
        <v>6</v>
      </c>
      <c r="M536" s="73">
        <v>1</v>
      </c>
      <c r="N536" s="73">
        <v>1</v>
      </c>
      <c r="O536" s="73">
        <v>0</v>
      </c>
      <c r="P536" s="17" t="s">
        <v>37</v>
      </c>
      <c r="Q536" t="str">
        <f>LEFT(B536,3)</f>
        <v>LCZ</v>
      </c>
    </row>
    <row r="537" spans="1:17">
      <c r="A537" s="17" t="s">
        <v>3020</v>
      </c>
      <c r="B537" s="17" t="s">
        <v>1076</v>
      </c>
      <c r="C537" s="13" t="s">
        <v>1078</v>
      </c>
      <c r="D537" s="13" t="s">
        <v>1078</v>
      </c>
      <c r="E537" s="17" t="s">
        <v>602</v>
      </c>
      <c r="F537" s="17" t="s">
        <v>43</v>
      </c>
      <c r="G537" s="17" t="s">
        <v>43</v>
      </c>
      <c r="H537" s="7">
        <v>376130.18057999999</v>
      </c>
      <c r="I537" s="7">
        <v>267826.02282999997</v>
      </c>
      <c r="J537" s="80">
        <v>165.769156915628</v>
      </c>
      <c r="K537" s="80">
        <v>-21.7904445351585</v>
      </c>
      <c r="L537" s="71">
        <v>45</v>
      </c>
      <c r="M537" s="73">
        <v>1</v>
      </c>
      <c r="N537" s="73">
        <v>2</v>
      </c>
      <c r="O537" s="73">
        <v>1</v>
      </c>
      <c r="P537" s="17" t="s">
        <v>47</v>
      </c>
      <c r="Q537" t="str">
        <f>LEFT(B537,3)</f>
        <v>LEB</v>
      </c>
    </row>
    <row r="538" spans="1:17">
      <c r="A538" s="17" t="s">
        <v>3021</v>
      </c>
      <c r="B538" s="17" t="s">
        <v>1076</v>
      </c>
      <c r="C538" s="13" t="s">
        <v>1078</v>
      </c>
      <c r="D538" s="13" t="s">
        <v>1078</v>
      </c>
      <c r="E538" s="17" t="s">
        <v>602</v>
      </c>
      <c r="F538" s="17" t="s">
        <v>43</v>
      </c>
      <c r="G538" s="17" t="s">
        <v>43</v>
      </c>
      <c r="H538" s="7">
        <v>376130.18057999999</v>
      </c>
      <c r="I538" s="7">
        <v>267826.02282999997</v>
      </c>
      <c r="J538" s="80">
        <v>165.769156915628</v>
      </c>
      <c r="K538" s="80">
        <v>-21.7904445351585</v>
      </c>
      <c r="L538" s="71">
        <v>130</v>
      </c>
      <c r="M538" s="73">
        <v>1</v>
      </c>
      <c r="N538" s="73">
        <v>2</v>
      </c>
      <c r="O538" s="73">
        <v>1</v>
      </c>
      <c r="P538" s="17" t="s">
        <v>47</v>
      </c>
      <c r="Q538" t="str">
        <f>LEFT(B538,3)</f>
        <v>LEB</v>
      </c>
    </row>
    <row r="539" spans="1:17">
      <c r="A539" s="17" t="s">
        <v>3022</v>
      </c>
      <c r="B539" s="17" t="s">
        <v>1076</v>
      </c>
      <c r="C539" s="13" t="s">
        <v>1078</v>
      </c>
      <c r="D539" s="13" t="s">
        <v>1078</v>
      </c>
      <c r="E539" s="17" t="s">
        <v>602</v>
      </c>
      <c r="F539" s="17" t="s">
        <v>43</v>
      </c>
      <c r="G539" s="17" t="s">
        <v>43</v>
      </c>
      <c r="H539" s="7">
        <v>376130.18057999999</v>
      </c>
      <c r="I539" s="7">
        <v>267826.02282999997</v>
      </c>
      <c r="J539" s="80">
        <v>165.769156915628</v>
      </c>
      <c r="K539" s="80">
        <v>-21.7904445351585</v>
      </c>
      <c r="L539" s="71">
        <v>210</v>
      </c>
      <c r="M539" s="73">
        <v>1</v>
      </c>
      <c r="N539" s="73">
        <v>2</v>
      </c>
      <c r="O539" s="73">
        <v>1</v>
      </c>
      <c r="P539" s="17" t="s">
        <v>47</v>
      </c>
      <c r="Q539" t="str">
        <f>LEFT(B539,3)</f>
        <v>LEB</v>
      </c>
    </row>
    <row r="540" spans="1:17">
      <c r="A540" s="17" t="s">
        <v>3023</v>
      </c>
      <c r="B540" s="17" t="s">
        <v>1076</v>
      </c>
      <c r="C540" s="13" t="s">
        <v>1078</v>
      </c>
      <c r="D540" s="13" t="s">
        <v>1078</v>
      </c>
      <c r="E540" s="17" t="s">
        <v>602</v>
      </c>
      <c r="F540" s="17" t="s">
        <v>43</v>
      </c>
      <c r="G540" s="17" t="s">
        <v>43</v>
      </c>
      <c r="H540" s="7">
        <v>376130.18057999999</v>
      </c>
      <c r="I540" s="7">
        <v>267826.02282999997</v>
      </c>
      <c r="J540" s="80">
        <v>165.769156915628</v>
      </c>
      <c r="K540" s="80">
        <v>-21.7904445351585</v>
      </c>
      <c r="L540" s="71">
        <v>319</v>
      </c>
      <c r="M540" s="73">
        <v>1</v>
      </c>
      <c r="N540" s="73">
        <v>2</v>
      </c>
      <c r="O540" s="73">
        <v>1</v>
      </c>
      <c r="P540" s="17" t="s">
        <v>47</v>
      </c>
      <c r="Q540" t="str">
        <f>LEFT(B540,3)</f>
        <v>LEB</v>
      </c>
    </row>
    <row r="541" spans="1:17">
      <c r="A541" s="17" t="s">
        <v>3024</v>
      </c>
      <c r="B541" s="17" t="s">
        <v>1081</v>
      </c>
      <c r="C541" s="17" t="s">
        <v>1082</v>
      </c>
      <c r="D541" s="17" t="s">
        <v>1082</v>
      </c>
      <c r="E541" s="17" t="s">
        <v>128</v>
      </c>
      <c r="F541" s="17" t="s">
        <v>129</v>
      </c>
      <c r="G541" s="17" t="s">
        <v>129</v>
      </c>
      <c r="H541" s="22">
        <v>451362</v>
      </c>
      <c r="I541" s="22">
        <v>389500</v>
      </c>
      <c r="J541" s="83">
        <v>166.49299999999999</v>
      </c>
      <c r="K541" s="83">
        <v>-20.690850000000001</v>
      </c>
      <c r="L541" s="73">
        <v>75</v>
      </c>
      <c r="M541" s="73">
        <v>1</v>
      </c>
      <c r="N541" s="73">
        <v>1</v>
      </c>
      <c r="O541" s="73">
        <v>0</v>
      </c>
      <c r="P541" s="17" t="s">
        <v>47</v>
      </c>
      <c r="Q541" t="str">
        <f>LEFT(B541,3)</f>
        <v>LEK</v>
      </c>
    </row>
    <row r="542" spans="1:17">
      <c r="A542" s="17" t="s">
        <v>3025</v>
      </c>
      <c r="B542" s="17" t="s">
        <v>1081</v>
      </c>
      <c r="C542" s="17" t="s">
        <v>1082</v>
      </c>
      <c r="D542" s="17" t="s">
        <v>1082</v>
      </c>
      <c r="E542" s="17" t="s">
        <v>128</v>
      </c>
      <c r="F542" s="17" t="s">
        <v>129</v>
      </c>
      <c r="G542" s="17" t="s">
        <v>129</v>
      </c>
      <c r="H542" s="22">
        <v>451362</v>
      </c>
      <c r="I542" s="22">
        <v>389500</v>
      </c>
      <c r="J542" s="83">
        <v>166.49299999999999</v>
      </c>
      <c r="K542" s="83">
        <v>-20.690850000000001</v>
      </c>
      <c r="L542" s="73">
        <v>230</v>
      </c>
      <c r="M542" s="73">
        <v>1</v>
      </c>
      <c r="N542" s="73">
        <v>1</v>
      </c>
      <c r="O542" s="73">
        <v>0</v>
      </c>
      <c r="P542" s="17" t="s">
        <v>47</v>
      </c>
      <c r="Q542" t="str">
        <f>LEFT(B542,3)</f>
        <v>LEK</v>
      </c>
    </row>
    <row r="543" spans="1:17">
      <c r="A543" s="17" t="s">
        <v>3026</v>
      </c>
      <c r="B543" s="17" t="s">
        <v>1081</v>
      </c>
      <c r="C543" s="17" t="s">
        <v>1082</v>
      </c>
      <c r="D543" s="17" t="s">
        <v>1082</v>
      </c>
      <c r="E543" s="17" t="s">
        <v>128</v>
      </c>
      <c r="F543" s="17" t="s">
        <v>129</v>
      </c>
      <c r="G543" s="17" t="s">
        <v>129</v>
      </c>
      <c r="H543" s="22">
        <v>451362</v>
      </c>
      <c r="I543" s="22">
        <v>389500</v>
      </c>
      <c r="J543" s="83">
        <v>166.49299999999999</v>
      </c>
      <c r="K543" s="83">
        <v>-20.690850000000001</v>
      </c>
      <c r="L543" s="73">
        <v>323</v>
      </c>
      <c r="M543" s="73">
        <v>1</v>
      </c>
      <c r="N543" s="73">
        <v>1</v>
      </c>
      <c r="O543" s="73">
        <v>0</v>
      </c>
      <c r="P543" s="17" t="s">
        <v>47</v>
      </c>
      <c r="Q543" t="str">
        <f>LEFT(B543,3)</f>
        <v>LEK</v>
      </c>
    </row>
    <row r="544" spans="1:17">
      <c r="A544" s="17" t="s">
        <v>3027</v>
      </c>
      <c r="B544" s="17" t="s">
        <v>1085</v>
      </c>
      <c r="C544" s="13" t="s">
        <v>1086</v>
      </c>
      <c r="D544" s="13" t="s">
        <v>1086</v>
      </c>
      <c r="E544" s="17" t="s">
        <v>351</v>
      </c>
      <c r="F544" s="17" t="s">
        <v>129</v>
      </c>
      <c r="G544" s="17" t="s">
        <v>129</v>
      </c>
      <c r="H544" s="7">
        <v>603113.12659</v>
      </c>
      <c r="I544" s="7">
        <v>302043.34133000002</v>
      </c>
      <c r="J544" s="80">
        <v>167.96002402410599</v>
      </c>
      <c r="K544" s="80">
        <v>-21.470045304997299</v>
      </c>
      <c r="L544" s="71">
        <v>74</v>
      </c>
      <c r="M544" s="73">
        <v>1</v>
      </c>
      <c r="N544" s="73">
        <v>1</v>
      </c>
      <c r="O544" s="73">
        <v>1</v>
      </c>
      <c r="P544" s="17" t="s">
        <v>47</v>
      </c>
      <c r="Q544" t="str">
        <f>LEFT(B544,3)</f>
        <v>LIM</v>
      </c>
    </row>
    <row r="545" spans="1:17">
      <c r="A545" s="17" t="s">
        <v>3028</v>
      </c>
      <c r="B545" s="17" t="s">
        <v>1085</v>
      </c>
      <c r="C545" s="13" t="s">
        <v>1086</v>
      </c>
      <c r="D545" s="13" t="s">
        <v>1086</v>
      </c>
      <c r="E545" s="17" t="s">
        <v>351</v>
      </c>
      <c r="F545" s="17" t="s">
        <v>129</v>
      </c>
      <c r="G545" s="17" t="s">
        <v>129</v>
      </c>
      <c r="H545" s="7">
        <v>603113.12659</v>
      </c>
      <c r="I545" s="7">
        <v>302043.34133000002</v>
      </c>
      <c r="J545" s="80">
        <v>167.96002402410599</v>
      </c>
      <c r="K545" s="80">
        <v>-21.470045304997299</v>
      </c>
      <c r="L545" s="71">
        <v>256</v>
      </c>
      <c r="M545" s="73">
        <v>1</v>
      </c>
      <c r="N545" s="73">
        <v>1</v>
      </c>
      <c r="O545" s="73">
        <v>1</v>
      </c>
      <c r="P545" s="17" t="s">
        <v>47</v>
      </c>
      <c r="Q545" t="str">
        <f>LEFT(B545,3)</f>
        <v>LIM</v>
      </c>
    </row>
    <row r="546" spans="1:17">
      <c r="A546" s="17" t="s">
        <v>3029</v>
      </c>
      <c r="B546" s="17" t="s">
        <v>1089</v>
      </c>
      <c r="C546" s="13" t="s">
        <v>1090</v>
      </c>
      <c r="D546" s="13" t="s">
        <v>1090</v>
      </c>
      <c r="E546" s="17" t="s">
        <v>29</v>
      </c>
      <c r="F546" s="17" t="s">
        <v>43</v>
      </c>
      <c r="G546" s="17" t="s">
        <v>30</v>
      </c>
      <c r="H546" s="7">
        <v>443346</v>
      </c>
      <c r="I546" s="7">
        <v>214784</v>
      </c>
      <c r="J546" s="79">
        <v>166.42057181199999</v>
      </c>
      <c r="K546" s="79">
        <v>-22.269123864000001</v>
      </c>
      <c r="L546" s="71">
        <v>250</v>
      </c>
      <c r="M546" s="73">
        <v>1</v>
      </c>
      <c r="N546" s="73">
        <v>2</v>
      </c>
      <c r="O546" s="73">
        <v>0</v>
      </c>
      <c r="P546" s="17" t="s">
        <v>37</v>
      </c>
      <c r="Q546" t="str">
        <f>LEFT(B546,3)</f>
        <v>LJG</v>
      </c>
    </row>
    <row r="547" spans="1:17">
      <c r="A547" s="17" t="s">
        <v>3030</v>
      </c>
      <c r="B547" s="17" t="s">
        <v>1089</v>
      </c>
      <c r="C547" s="13" t="s">
        <v>1090</v>
      </c>
      <c r="D547" s="13" t="s">
        <v>1090</v>
      </c>
      <c r="E547" s="17" t="s">
        <v>29</v>
      </c>
      <c r="F547" s="17" t="s">
        <v>43</v>
      </c>
      <c r="G547" s="17" t="s">
        <v>30</v>
      </c>
      <c r="H547" s="7">
        <v>443346</v>
      </c>
      <c r="I547" s="7">
        <v>214784</v>
      </c>
      <c r="J547" s="79">
        <v>166.42057181199999</v>
      </c>
      <c r="K547" s="79">
        <v>-22.269123864000001</v>
      </c>
      <c r="L547" s="71">
        <v>330</v>
      </c>
      <c r="M547" s="73">
        <v>1</v>
      </c>
      <c r="N547" s="73">
        <v>2</v>
      </c>
      <c r="O547" s="73">
        <v>0</v>
      </c>
      <c r="P547" s="17" t="s">
        <v>37</v>
      </c>
      <c r="Q547" t="str">
        <f>LEFT(B547,3)</f>
        <v>LJG</v>
      </c>
    </row>
    <row r="548" spans="1:17">
      <c r="A548" s="17" t="s">
        <v>3031</v>
      </c>
      <c r="B548" s="17" t="s">
        <v>1092</v>
      </c>
      <c r="C548" s="6" t="s">
        <v>1094</v>
      </c>
      <c r="D548" s="6" t="s">
        <v>1094</v>
      </c>
      <c r="E548" s="6" t="s">
        <v>148</v>
      </c>
      <c r="F548" s="17" t="s">
        <v>68</v>
      </c>
      <c r="G548" s="17" t="s">
        <v>68</v>
      </c>
      <c r="H548" s="7">
        <v>298730</v>
      </c>
      <c r="I548" s="7">
        <v>336071</v>
      </c>
      <c r="J548" s="80">
        <v>165.02476300000001</v>
      </c>
      <c r="K548" s="80">
        <v>-21.171333000000001</v>
      </c>
      <c r="L548" s="71">
        <v>340</v>
      </c>
      <c r="M548" s="73">
        <v>1</v>
      </c>
      <c r="N548" s="73">
        <v>1</v>
      </c>
      <c r="O548" s="73">
        <v>0</v>
      </c>
      <c r="P548" s="17" t="s">
        <v>47</v>
      </c>
      <c r="Q548" t="s">
        <v>1095</v>
      </c>
    </row>
    <row r="549" spans="1:17">
      <c r="A549" s="17" t="s">
        <v>3032</v>
      </c>
      <c r="B549" s="17" t="s">
        <v>1096</v>
      </c>
      <c r="C549" s="13" t="s">
        <v>1097</v>
      </c>
      <c r="D549" s="13" t="s">
        <v>1097</v>
      </c>
      <c r="E549" s="17" t="s">
        <v>373</v>
      </c>
      <c r="F549" s="17" t="s">
        <v>129</v>
      </c>
      <c r="G549" s="17" t="s">
        <v>129</v>
      </c>
      <c r="H549" s="7">
        <v>531002.91385000001</v>
      </c>
      <c r="I549" s="7">
        <v>366093.18556000001</v>
      </c>
      <c r="J549" s="80">
        <v>167.259228301326</v>
      </c>
      <c r="K549" s="80">
        <v>-20.898242121687598</v>
      </c>
      <c r="L549" s="71">
        <v>176</v>
      </c>
      <c r="M549" s="73">
        <v>2</v>
      </c>
      <c r="N549" s="73">
        <v>2</v>
      </c>
      <c r="O549" s="73">
        <v>1</v>
      </c>
      <c r="P549" s="17" t="s">
        <v>47</v>
      </c>
      <c r="Q549" t="str">
        <f>LEFT(B549,3)</f>
        <v>LLA</v>
      </c>
    </row>
    <row r="550" spans="1:17">
      <c r="A550" s="17" t="s">
        <v>3033</v>
      </c>
      <c r="B550" s="17" t="s">
        <v>1096</v>
      </c>
      <c r="C550" s="13" t="s">
        <v>1097</v>
      </c>
      <c r="D550" s="13" t="s">
        <v>1097</v>
      </c>
      <c r="E550" s="17" t="s">
        <v>373</v>
      </c>
      <c r="F550" s="17" t="s">
        <v>129</v>
      </c>
      <c r="G550" s="17" t="s">
        <v>129</v>
      </c>
      <c r="H550" s="7">
        <v>531002.91385000001</v>
      </c>
      <c r="I550" s="7">
        <v>366093.18556000001</v>
      </c>
      <c r="J550" s="80">
        <v>167.259228301326</v>
      </c>
      <c r="K550" s="80">
        <v>-20.898242121687598</v>
      </c>
      <c r="L550" s="71">
        <v>281</v>
      </c>
      <c r="M550" s="73">
        <v>2</v>
      </c>
      <c r="N550" s="73">
        <v>2</v>
      </c>
      <c r="O550" s="73">
        <v>1</v>
      </c>
      <c r="P550" s="17" t="s">
        <v>47</v>
      </c>
      <c r="Q550" t="str">
        <f>LEFT(B550,3)</f>
        <v>LLA</v>
      </c>
    </row>
    <row r="551" spans="1:17">
      <c r="A551" s="17" t="s">
        <v>3034</v>
      </c>
      <c r="B551" s="17" t="s">
        <v>1100</v>
      </c>
      <c r="C551" s="13" t="s">
        <v>1101</v>
      </c>
      <c r="D551" s="13" t="s">
        <v>1101</v>
      </c>
      <c r="E551" s="17" t="s">
        <v>373</v>
      </c>
      <c r="F551" s="17" t="s">
        <v>129</v>
      </c>
      <c r="G551" s="17" t="s">
        <v>129</v>
      </c>
      <c r="H551" s="7">
        <v>546750.00025000004</v>
      </c>
      <c r="I551" s="7">
        <v>350520.81527000002</v>
      </c>
      <c r="J551" s="80">
        <v>167.41193586763501</v>
      </c>
      <c r="K551" s="80">
        <v>-21.037677895122702</v>
      </c>
      <c r="L551" s="71">
        <v>342</v>
      </c>
      <c r="M551" s="73">
        <v>1</v>
      </c>
      <c r="N551" s="73">
        <v>1</v>
      </c>
      <c r="O551" s="73">
        <v>1</v>
      </c>
      <c r="P551" s="17" t="s">
        <v>47</v>
      </c>
      <c r="Q551" t="str">
        <f>LEFT(B551,3)</f>
        <v>LNI</v>
      </c>
    </row>
    <row r="552" spans="1:17">
      <c r="A552" s="17" t="s">
        <v>3035</v>
      </c>
      <c r="B552" s="17" t="s">
        <v>1104</v>
      </c>
      <c r="C552" s="13" t="s">
        <v>1105</v>
      </c>
      <c r="D552" s="13" t="s">
        <v>1106</v>
      </c>
      <c r="E552" s="17" t="s">
        <v>29</v>
      </c>
      <c r="F552" s="17" t="s">
        <v>43</v>
      </c>
      <c r="G552" s="17" t="s">
        <v>30</v>
      </c>
      <c r="H552" s="7">
        <v>446876</v>
      </c>
      <c r="I552" s="7">
        <v>211937</v>
      </c>
      <c r="J552" s="79">
        <v>166.454902</v>
      </c>
      <c r="K552" s="79">
        <v>-22.294744999999999</v>
      </c>
      <c r="L552" s="71">
        <v>0</v>
      </c>
      <c r="M552" s="73">
        <v>1</v>
      </c>
      <c r="N552" s="73">
        <v>1</v>
      </c>
      <c r="O552" s="73">
        <v>0</v>
      </c>
      <c r="P552" s="17" t="s">
        <v>37</v>
      </c>
      <c r="Q552" t="str">
        <f>LEFT(B552,3)</f>
        <v>LTU</v>
      </c>
    </row>
    <row r="553" spans="1:17">
      <c r="A553" s="17" t="s">
        <v>3036</v>
      </c>
      <c r="B553" s="17" t="s">
        <v>1108</v>
      </c>
      <c r="C553" s="13" t="s">
        <v>1109</v>
      </c>
      <c r="D553" s="13" t="s">
        <v>1109</v>
      </c>
      <c r="E553" s="17" t="s">
        <v>49</v>
      </c>
      <c r="F553" s="17" t="s">
        <v>43</v>
      </c>
      <c r="G553" s="17" t="s">
        <v>43</v>
      </c>
      <c r="H553" s="22">
        <v>442464</v>
      </c>
      <c r="I553" s="22">
        <v>225260</v>
      </c>
      <c r="J553" s="80">
        <v>166.41175000000001</v>
      </c>
      <c r="K553" s="83">
        <v>-22.17454</v>
      </c>
      <c r="L553" s="71">
        <v>47</v>
      </c>
      <c r="M553" s="73">
        <v>2</v>
      </c>
      <c r="N553" s="73">
        <v>2</v>
      </c>
      <c r="O553" s="73">
        <v>0</v>
      </c>
      <c r="P553" s="17" t="s">
        <v>37</v>
      </c>
      <c r="Q553" t="str">
        <f>LEFT(B553,3)</f>
        <v>LUZ</v>
      </c>
    </row>
    <row r="554" spans="1:17">
      <c r="A554" s="17" t="s">
        <v>3037</v>
      </c>
      <c r="B554" s="17" t="s">
        <v>1108</v>
      </c>
      <c r="C554" s="13" t="s">
        <v>1109</v>
      </c>
      <c r="D554" s="13" t="s">
        <v>1109</v>
      </c>
      <c r="E554" s="17" t="s">
        <v>49</v>
      </c>
      <c r="F554" s="17" t="s">
        <v>43</v>
      </c>
      <c r="G554" s="17" t="s">
        <v>43</v>
      </c>
      <c r="H554" s="22">
        <v>442464</v>
      </c>
      <c r="I554" s="22">
        <v>225260</v>
      </c>
      <c r="J554" s="80">
        <v>166.41175000000001</v>
      </c>
      <c r="K554" s="83">
        <v>-22.17454</v>
      </c>
      <c r="L554" s="71">
        <v>157</v>
      </c>
      <c r="M554" s="73">
        <v>2</v>
      </c>
      <c r="N554" s="73">
        <v>2</v>
      </c>
      <c r="O554" s="73">
        <v>0</v>
      </c>
      <c r="P554" s="17" t="s">
        <v>37</v>
      </c>
      <c r="Q554" t="str">
        <f>LEFT(B554,3)</f>
        <v>LUZ</v>
      </c>
    </row>
    <row r="555" spans="1:17">
      <c r="A555" s="17" t="s">
        <v>3038</v>
      </c>
      <c r="B555" s="17" t="s">
        <v>1108</v>
      </c>
      <c r="C555" s="13" t="s">
        <v>1109</v>
      </c>
      <c r="D555" s="13" t="s">
        <v>1109</v>
      </c>
      <c r="E555" s="17" t="s">
        <v>49</v>
      </c>
      <c r="F555" s="17" t="s">
        <v>43</v>
      </c>
      <c r="G555" s="17" t="s">
        <v>43</v>
      </c>
      <c r="H555" s="22">
        <v>442464</v>
      </c>
      <c r="I555" s="22">
        <v>225260</v>
      </c>
      <c r="J555" s="80">
        <v>166.41175000000001</v>
      </c>
      <c r="K555" s="83">
        <v>-22.17454</v>
      </c>
      <c r="L555" s="71">
        <v>315</v>
      </c>
      <c r="M555" s="73">
        <v>2</v>
      </c>
      <c r="N555" s="73">
        <v>2</v>
      </c>
      <c r="O555" s="73">
        <v>0</v>
      </c>
      <c r="P555" s="17" t="s">
        <v>37</v>
      </c>
      <c r="Q555" t="str">
        <f>LEFT(B555,3)</f>
        <v>LUZ</v>
      </c>
    </row>
    <row r="556" spans="1:17">
      <c r="A556" s="17" t="s">
        <v>3039</v>
      </c>
      <c r="B556" s="17" t="s">
        <v>1112</v>
      </c>
      <c r="C556" s="13" t="s">
        <v>1113</v>
      </c>
      <c r="D556" s="13" t="s">
        <v>1113</v>
      </c>
      <c r="E556" s="17" t="s">
        <v>29</v>
      </c>
      <c r="F556" s="17" t="s">
        <v>43</v>
      </c>
      <c r="G556" s="17" t="s">
        <v>30</v>
      </c>
      <c r="H556" s="7">
        <v>447873</v>
      </c>
      <c r="I556" s="7">
        <v>215026</v>
      </c>
      <c r="J556" s="79">
        <v>166.46449000000001</v>
      </c>
      <c r="K556" s="79">
        <v>-22.266819999999999</v>
      </c>
      <c r="L556" s="71">
        <v>0</v>
      </c>
      <c r="M556" s="73">
        <v>1</v>
      </c>
      <c r="N556" s="73">
        <v>1</v>
      </c>
      <c r="O556" s="73">
        <v>0</v>
      </c>
      <c r="P556" s="17" t="s">
        <v>37</v>
      </c>
      <c r="Q556" t="str">
        <f>LEFT(B556,3)</f>
        <v>MAG</v>
      </c>
    </row>
    <row r="557" spans="1:17">
      <c r="A557" s="17" t="s">
        <v>3040</v>
      </c>
      <c r="B557" s="17" t="s">
        <v>1112</v>
      </c>
      <c r="C557" s="13" t="s">
        <v>1113</v>
      </c>
      <c r="D557" s="13" t="s">
        <v>1113</v>
      </c>
      <c r="E557" s="17" t="s">
        <v>29</v>
      </c>
      <c r="F557" s="17" t="s">
        <v>43</v>
      </c>
      <c r="G557" s="17" t="s">
        <v>43</v>
      </c>
      <c r="H557" s="7">
        <v>447873</v>
      </c>
      <c r="I557" s="7">
        <v>215026</v>
      </c>
      <c r="J557" s="79">
        <v>166.46449000000001</v>
      </c>
      <c r="K557" s="79">
        <v>-22.266819999999999</v>
      </c>
      <c r="L557" s="71">
        <v>240</v>
      </c>
      <c r="M557" s="73">
        <v>1</v>
      </c>
      <c r="N557" s="73">
        <v>1</v>
      </c>
      <c r="O557" s="73">
        <v>0</v>
      </c>
      <c r="P557" s="17" t="s">
        <v>37</v>
      </c>
      <c r="Q557" t="str">
        <f>LEFT(B557,3)</f>
        <v>MAG</v>
      </c>
    </row>
    <row r="558" spans="1:17">
      <c r="A558" s="13" t="s">
        <v>3041</v>
      </c>
      <c r="B558" s="13" t="s">
        <v>1116</v>
      </c>
      <c r="C558" s="13" t="s">
        <v>1117</v>
      </c>
      <c r="D558" s="13" t="s">
        <v>1117</v>
      </c>
      <c r="E558" s="17" t="s">
        <v>297</v>
      </c>
      <c r="F558" s="17" t="s">
        <v>68</v>
      </c>
      <c r="G558" s="17" t="s">
        <v>68</v>
      </c>
      <c r="H558" s="19">
        <v>241219</v>
      </c>
      <c r="I558" s="19">
        <v>432204</v>
      </c>
      <c r="J558" s="80">
        <v>164.47995800349801</v>
      </c>
      <c r="K558" s="80">
        <v>-20.298903870331401</v>
      </c>
      <c r="L558" s="71">
        <v>126</v>
      </c>
      <c r="M558" s="73">
        <v>1</v>
      </c>
      <c r="N558" s="73">
        <v>1</v>
      </c>
      <c r="O558" s="73">
        <v>1</v>
      </c>
      <c r="P558" s="17" t="s">
        <v>47</v>
      </c>
      <c r="Q558" t="str">
        <f>LEFT(B558,3)</f>
        <v>MAH</v>
      </c>
    </row>
    <row r="559" spans="1:17">
      <c r="A559" s="13" t="s">
        <v>3042</v>
      </c>
      <c r="B559" s="13" t="s">
        <v>1116</v>
      </c>
      <c r="C559" s="13" t="s">
        <v>1117</v>
      </c>
      <c r="D559" s="13" t="s">
        <v>1117</v>
      </c>
      <c r="E559" s="17" t="s">
        <v>297</v>
      </c>
      <c r="F559" s="17" t="s">
        <v>68</v>
      </c>
      <c r="G559" s="17" t="s">
        <v>68</v>
      </c>
      <c r="H559" s="19">
        <v>241219</v>
      </c>
      <c r="I559" s="19">
        <v>432204</v>
      </c>
      <c r="J559" s="80">
        <v>164.47995800349801</v>
      </c>
      <c r="K559" s="80">
        <v>-20.298903870331401</v>
      </c>
      <c r="L559" s="71">
        <v>308</v>
      </c>
      <c r="M559" s="73">
        <v>1</v>
      </c>
      <c r="N559" s="73">
        <v>1</v>
      </c>
      <c r="O559" s="73">
        <v>1</v>
      </c>
      <c r="P559" s="17" t="s">
        <v>47</v>
      </c>
      <c r="Q559" t="str">
        <f>LEFT(B559,3)</f>
        <v>MAH</v>
      </c>
    </row>
    <row r="560" spans="1:17">
      <c r="A560" s="26" t="s">
        <v>3043</v>
      </c>
      <c r="B560" s="26" t="s">
        <v>1120</v>
      </c>
      <c r="C560" s="26" t="s">
        <v>1121</v>
      </c>
      <c r="D560" s="26" t="s">
        <v>1121</v>
      </c>
      <c r="E560" s="25" t="s">
        <v>609</v>
      </c>
      <c r="F560" s="25" t="s">
        <v>68</v>
      </c>
      <c r="G560" s="25" t="s">
        <v>68</v>
      </c>
      <c r="H560" s="27">
        <v>376005</v>
      </c>
      <c r="I560" s="27">
        <v>310866</v>
      </c>
      <c r="J560" s="81">
        <v>165.76856428092901</v>
      </c>
      <c r="K560" s="81">
        <v>-21.401692446866299</v>
      </c>
      <c r="L560" s="75">
        <v>0</v>
      </c>
      <c r="M560" s="76">
        <v>1</v>
      </c>
      <c r="N560" s="76">
        <v>0</v>
      </c>
      <c r="O560" s="76">
        <v>1</v>
      </c>
      <c r="P560" s="25" t="s">
        <v>47</v>
      </c>
      <c r="Q560" t="str">
        <f>LEFT(B560,3)</f>
        <v>MAI</v>
      </c>
    </row>
    <row r="561" spans="1:17">
      <c r="A561" s="17" t="s">
        <v>3044</v>
      </c>
      <c r="B561" s="17" t="s">
        <v>1122</v>
      </c>
      <c r="C561" s="13" t="s">
        <v>1123</v>
      </c>
      <c r="D561" s="13" t="s">
        <v>1123</v>
      </c>
      <c r="E561" s="17" t="s">
        <v>142</v>
      </c>
      <c r="F561" s="17" t="s">
        <v>43</v>
      </c>
      <c r="G561" s="17" t="s">
        <v>43</v>
      </c>
      <c r="H561" s="7">
        <v>492025</v>
      </c>
      <c r="I561" s="7">
        <v>237838</v>
      </c>
      <c r="J561" s="80">
        <v>166.891605</v>
      </c>
      <c r="K561" s="80">
        <v>-22.059076999999998</v>
      </c>
      <c r="L561" s="71">
        <v>70</v>
      </c>
      <c r="M561" s="73">
        <v>1</v>
      </c>
      <c r="N561" s="73">
        <v>1</v>
      </c>
      <c r="O561" s="73">
        <v>0</v>
      </c>
      <c r="P561" s="17" t="s">
        <v>47</v>
      </c>
      <c r="Q561" t="str">
        <f>LEFT(B561,3)</f>
        <v>MAM</v>
      </c>
    </row>
    <row r="562" spans="1:17">
      <c r="A562" s="17" t="s">
        <v>3045</v>
      </c>
      <c r="B562" s="17" t="s">
        <v>1122</v>
      </c>
      <c r="C562" s="13" t="s">
        <v>1123</v>
      </c>
      <c r="D562" s="13" t="s">
        <v>1123</v>
      </c>
      <c r="E562" s="17" t="s">
        <v>142</v>
      </c>
      <c r="F562" s="17" t="s">
        <v>43</v>
      </c>
      <c r="G562" s="17" t="s">
        <v>43</v>
      </c>
      <c r="H562" s="7">
        <v>492025</v>
      </c>
      <c r="I562" s="7">
        <v>237838</v>
      </c>
      <c r="J562" s="80">
        <v>166.891605</v>
      </c>
      <c r="K562" s="80">
        <v>-22.059076999999998</v>
      </c>
      <c r="L562" s="71">
        <v>150</v>
      </c>
      <c r="M562" s="73">
        <v>1</v>
      </c>
      <c r="N562" s="73">
        <v>1</v>
      </c>
      <c r="O562" s="73">
        <v>0</v>
      </c>
      <c r="P562" s="17" t="s">
        <v>47</v>
      </c>
      <c r="Q562" t="str">
        <f>LEFT(B562,3)</f>
        <v>MAM</v>
      </c>
    </row>
    <row r="563" spans="1:17">
      <c r="A563" s="17" t="s">
        <v>3046</v>
      </c>
      <c r="B563" s="17" t="s">
        <v>1122</v>
      </c>
      <c r="C563" s="13" t="s">
        <v>1123</v>
      </c>
      <c r="D563" s="13" t="s">
        <v>1123</v>
      </c>
      <c r="E563" s="17" t="s">
        <v>142</v>
      </c>
      <c r="F563" s="17" t="s">
        <v>43</v>
      </c>
      <c r="G563" s="17" t="s">
        <v>43</v>
      </c>
      <c r="H563" s="7">
        <v>492025</v>
      </c>
      <c r="I563" s="7">
        <v>237838</v>
      </c>
      <c r="J563" s="80">
        <v>166.891605</v>
      </c>
      <c r="K563" s="80">
        <v>-22.059076999999998</v>
      </c>
      <c r="L563" s="71">
        <v>300</v>
      </c>
      <c r="M563" s="73">
        <v>1</v>
      </c>
      <c r="N563" s="73">
        <v>1</v>
      </c>
      <c r="O563" s="73">
        <v>0</v>
      </c>
      <c r="P563" s="17" t="s">
        <v>47</v>
      </c>
      <c r="Q563" t="str">
        <f>LEFT(B563,3)</f>
        <v>MAM</v>
      </c>
    </row>
    <row r="564" spans="1:17">
      <c r="A564" s="17" t="s">
        <v>3047</v>
      </c>
      <c r="B564" s="17" t="s">
        <v>1126</v>
      </c>
      <c r="C564" s="13" t="s">
        <v>228</v>
      </c>
      <c r="D564" s="13" t="s">
        <v>228</v>
      </c>
      <c r="E564" s="17" t="s">
        <v>297</v>
      </c>
      <c r="F564" s="17" t="s">
        <v>68</v>
      </c>
      <c r="G564" s="17" t="s">
        <v>68</v>
      </c>
      <c r="H564" s="7">
        <v>246772.65925</v>
      </c>
      <c r="I564" s="7">
        <v>421399.73358</v>
      </c>
      <c r="J564" s="80">
        <v>164.53215323559499</v>
      </c>
      <c r="K564" s="80">
        <v>-20.396958929040199</v>
      </c>
      <c r="L564" s="71">
        <v>99</v>
      </c>
      <c r="M564" s="73">
        <v>1</v>
      </c>
      <c r="N564" s="73">
        <v>1</v>
      </c>
      <c r="O564" s="73">
        <v>1</v>
      </c>
      <c r="P564" s="17" t="s">
        <v>47</v>
      </c>
      <c r="Q564" t="str">
        <f>LEFT(B564,3)</f>
        <v>MAN</v>
      </c>
    </row>
    <row r="565" spans="1:17">
      <c r="A565" s="17" t="s">
        <v>3048</v>
      </c>
      <c r="B565" s="17" t="s">
        <v>1126</v>
      </c>
      <c r="C565" s="13" t="s">
        <v>228</v>
      </c>
      <c r="D565" s="13" t="s">
        <v>228</v>
      </c>
      <c r="E565" s="17" t="s">
        <v>297</v>
      </c>
      <c r="F565" s="17" t="s">
        <v>68</v>
      </c>
      <c r="G565" s="17" t="s">
        <v>68</v>
      </c>
      <c r="H565" s="7">
        <v>246772.65925</v>
      </c>
      <c r="I565" s="7">
        <v>421399.73358</v>
      </c>
      <c r="J565" s="80">
        <v>164.53215323559499</v>
      </c>
      <c r="K565" s="80">
        <v>-20.396958929040199</v>
      </c>
      <c r="L565" s="71">
        <v>231</v>
      </c>
      <c r="M565" s="73">
        <v>1</v>
      </c>
      <c r="N565" s="73">
        <v>1</v>
      </c>
      <c r="O565" s="73">
        <v>1</v>
      </c>
      <c r="P565" s="17" t="s">
        <v>47</v>
      </c>
      <c r="Q565" t="str">
        <f>LEFT(B565,3)</f>
        <v>MAN</v>
      </c>
    </row>
    <row r="566" spans="1:17">
      <c r="A566" s="17" t="s">
        <v>3049</v>
      </c>
      <c r="B566" s="17" t="s">
        <v>1129</v>
      </c>
      <c r="C566" s="13" t="s">
        <v>468</v>
      </c>
      <c r="D566" s="13" t="s">
        <v>468</v>
      </c>
      <c r="E566" s="17" t="s">
        <v>42</v>
      </c>
      <c r="F566" s="17" t="s">
        <v>43</v>
      </c>
      <c r="G566" s="17" t="s">
        <v>43</v>
      </c>
      <c r="H566" s="7">
        <v>379838</v>
      </c>
      <c r="I566" s="7">
        <v>289563</v>
      </c>
      <c r="J566" s="80">
        <v>165.80527821707801</v>
      </c>
      <c r="K566" s="80">
        <v>-21.5941576780356</v>
      </c>
      <c r="L566" s="71">
        <v>151</v>
      </c>
      <c r="M566" s="73">
        <v>1</v>
      </c>
      <c r="N566" s="73">
        <v>1</v>
      </c>
      <c r="O566" s="73">
        <v>1</v>
      </c>
      <c r="P566" s="17" t="s">
        <v>47</v>
      </c>
      <c r="Q566" t="str">
        <f>LEFT(B566,3)</f>
        <v>MAT</v>
      </c>
    </row>
    <row r="567" spans="1:17">
      <c r="A567" s="17" t="s">
        <v>3050</v>
      </c>
      <c r="B567" s="17" t="s">
        <v>1129</v>
      </c>
      <c r="C567" s="13" t="s">
        <v>468</v>
      </c>
      <c r="D567" s="13" t="s">
        <v>468</v>
      </c>
      <c r="E567" s="17" t="s">
        <v>42</v>
      </c>
      <c r="F567" s="17" t="s">
        <v>43</v>
      </c>
      <c r="G567" s="17" t="s">
        <v>43</v>
      </c>
      <c r="H567" s="7">
        <v>379838</v>
      </c>
      <c r="I567" s="7">
        <v>289563</v>
      </c>
      <c r="J567" s="80">
        <v>165.80527821707801</v>
      </c>
      <c r="K567" s="80">
        <v>-21.5941576780356</v>
      </c>
      <c r="L567" s="71">
        <v>330</v>
      </c>
      <c r="M567" s="73">
        <v>1</v>
      </c>
      <c r="N567" s="73">
        <v>1</v>
      </c>
      <c r="O567" s="73">
        <v>1</v>
      </c>
      <c r="P567" s="17" t="s">
        <v>47</v>
      </c>
      <c r="Q567" t="str">
        <f>LEFT(B567,3)</f>
        <v>MAT</v>
      </c>
    </row>
    <row r="568" spans="1:17">
      <c r="A568" s="17" t="s">
        <v>3051</v>
      </c>
      <c r="B568" s="17" t="s">
        <v>1131</v>
      </c>
      <c r="C568" s="13" t="s">
        <v>1132</v>
      </c>
      <c r="D568" s="13" t="s">
        <v>1133</v>
      </c>
      <c r="E568" s="17" t="s">
        <v>351</v>
      </c>
      <c r="F568" s="17" t="s">
        <v>129</v>
      </c>
      <c r="G568" s="17" t="s">
        <v>129</v>
      </c>
      <c r="H568" s="7">
        <v>591737</v>
      </c>
      <c r="I568" s="7">
        <v>297254</v>
      </c>
      <c r="J568" s="80">
        <v>167.85080400000001</v>
      </c>
      <c r="K568" s="80">
        <v>-21.514551000000001</v>
      </c>
      <c r="L568" s="71">
        <v>60</v>
      </c>
      <c r="M568" s="73">
        <v>1</v>
      </c>
      <c r="N568" s="73">
        <v>1</v>
      </c>
      <c r="O568" s="73">
        <v>0</v>
      </c>
      <c r="P568" s="17" t="s">
        <v>47</v>
      </c>
      <c r="Q568" t="str">
        <f>LEFT(B568,3)</f>
        <v>MBT</v>
      </c>
    </row>
    <row r="569" spans="1:17">
      <c r="A569" s="17" t="s">
        <v>3052</v>
      </c>
      <c r="B569" s="17" t="s">
        <v>1131</v>
      </c>
      <c r="C569" s="13" t="s">
        <v>1132</v>
      </c>
      <c r="D569" s="13" t="s">
        <v>1133</v>
      </c>
      <c r="E569" s="17" t="s">
        <v>351</v>
      </c>
      <c r="F569" s="17" t="s">
        <v>129</v>
      </c>
      <c r="G569" s="17" t="s">
        <v>129</v>
      </c>
      <c r="H569" s="7">
        <v>591737</v>
      </c>
      <c r="I569" s="7">
        <v>297254</v>
      </c>
      <c r="J569" s="80">
        <v>167.85080400000001</v>
      </c>
      <c r="K569" s="80">
        <v>-21.514551000000001</v>
      </c>
      <c r="L569" s="71">
        <v>165</v>
      </c>
      <c r="M569" s="73">
        <v>1</v>
      </c>
      <c r="N569" s="73">
        <v>1</v>
      </c>
      <c r="O569" s="73">
        <v>0</v>
      </c>
      <c r="P569" s="17" t="s">
        <v>47</v>
      </c>
      <c r="Q569" t="str">
        <f>LEFT(B569,3)</f>
        <v>MBT</v>
      </c>
    </row>
    <row r="570" spans="1:17">
      <c r="A570" s="17" t="s">
        <v>3053</v>
      </c>
      <c r="B570" s="17" t="s">
        <v>1131</v>
      </c>
      <c r="C570" s="13" t="s">
        <v>1132</v>
      </c>
      <c r="D570" s="13" t="s">
        <v>1133</v>
      </c>
      <c r="E570" s="17" t="s">
        <v>351</v>
      </c>
      <c r="F570" s="17" t="s">
        <v>129</v>
      </c>
      <c r="G570" s="17" t="s">
        <v>129</v>
      </c>
      <c r="H570" s="7">
        <v>591737</v>
      </c>
      <c r="I570" s="7">
        <v>297254</v>
      </c>
      <c r="J570" s="80">
        <v>167.85080400000001</v>
      </c>
      <c r="K570" s="80">
        <v>-21.514551000000001</v>
      </c>
      <c r="L570" s="71">
        <v>310</v>
      </c>
      <c r="M570" s="73">
        <v>1</v>
      </c>
      <c r="N570" s="73">
        <v>1</v>
      </c>
      <c r="O570" s="73">
        <v>0</v>
      </c>
      <c r="P570" s="17" t="s">
        <v>47</v>
      </c>
      <c r="Q570" t="str">
        <f>LEFT(B570,3)</f>
        <v>MBT</v>
      </c>
    </row>
    <row r="571" spans="1:17">
      <c r="A571" s="17" t="s">
        <v>3054</v>
      </c>
      <c r="B571" s="17" t="s">
        <v>1135</v>
      </c>
      <c r="C571" s="13" t="s">
        <v>1136</v>
      </c>
      <c r="D571" s="13" t="s">
        <v>1133</v>
      </c>
      <c r="E571" s="17" t="s">
        <v>351</v>
      </c>
      <c r="F571" s="17" t="s">
        <v>129</v>
      </c>
      <c r="G571" s="17" t="s">
        <v>129</v>
      </c>
      <c r="H571" s="7">
        <v>592172</v>
      </c>
      <c r="I571" s="7">
        <v>296816</v>
      </c>
      <c r="J571" s="80">
        <v>167.855053</v>
      </c>
      <c r="K571" s="80">
        <v>-21.518460000000001</v>
      </c>
      <c r="L571" s="71">
        <v>0</v>
      </c>
      <c r="M571" s="73">
        <v>1</v>
      </c>
      <c r="N571" s="73">
        <v>1</v>
      </c>
      <c r="O571" s="73">
        <v>0</v>
      </c>
      <c r="P571" s="17" t="s">
        <v>47</v>
      </c>
      <c r="Q571" t="str">
        <f>LEFT(B571,3)</f>
        <v>MBU</v>
      </c>
    </row>
    <row r="572" spans="1:17">
      <c r="A572" s="13" t="s">
        <v>3055</v>
      </c>
      <c r="B572" s="13" t="s">
        <v>1139</v>
      </c>
      <c r="C572" s="13" t="s">
        <v>3056</v>
      </c>
      <c r="D572" s="13" t="s">
        <v>1141</v>
      </c>
      <c r="E572" s="17" t="s">
        <v>29</v>
      </c>
      <c r="F572" s="17" t="s">
        <v>43</v>
      </c>
      <c r="G572" s="17" t="s">
        <v>30</v>
      </c>
      <c r="H572" s="7">
        <v>446389</v>
      </c>
      <c r="I572" s="7">
        <v>210146</v>
      </c>
      <c r="J572" s="80">
        <v>166.450226474532</v>
      </c>
      <c r="K572" s="80">
        <v>-22.310931685908599</v>
      </c>
      <c r="L572" s="71">
        <v>21</v>
      </c>
      <c r="M572" s="73">
        <v>1</v>
      </c>
      <c r="N572" s="73">
        <v>1</v>
      </c>
      <c r="O572" s="73">
        <v>1</v>
      </c>
      <c r="P572" s="17" t="s">
        <v>37</v>
      </c>
      <c r="Q572" t="str">
        <f>LEFT(B572,3)</f>
        <v>MCH</v>
      </c>
    </row>
    <row r="573" spans="1:17">
      <c r="A573" s="17" t="s">
        <v>3057</v>
      </c>
      <c r="B573" s="17" t="s">
        <v>1143</v>
      </c>
      <c r="C573" s="13" t="s">
        <v>1144</v>
      </c>
      <c r="D573" s="13" t="s">
        <v>1145</v>
      </c>
      <c r="E573" s="17" t="s">
        <v>29</v>
      </c>
      <c r="F573" s="17" t="s">
        <v>43</v>
      </c>
      <c r="G573" s="17" t="s">
        <v>43</v>
      </c>
      <c r="H573" s="7">
        <v>446421</v>
      </c>
      <c r="I573" s="7">
        <v>216341</v>
      </c>
      <c r="J573" s="8">
        <v>166.45036400000001</v>
      </c>
      <c r="K573" s="8">
        <v>-22.254985999999999</v>
      </c>
      <c r="L573" s="71">
        <v>130</v>
      </c>
      <c r="M573" s="73">
        <v>1</v>
      </c>
      <c r="N573" s="73">
        <v>2</v>
      </c>
      <c r="O573" s="73">
        <v>0</v>
      </c>
      <c r="P573" s="17" t="s">
        <v>47</v>
      </c>
      <c r="Q573" t="str">
        <f>LEFT(B573,3)</f>
        <v>MCP</v>
      </c>
    </row>
    <row r="574" spans="1:17">
      <c r="A574" s="17" t="s">
        <v>3058</v>
      </c>
      <c r="B574" s="17" t="s">
        <v>1143</v>
      </c>
      <c r="C574" s="13" t="s">
        <v>1144</v>
      </c>
      <c r="D574" s="13" t="s">
        <v>1145</v>
      </c>
      <c r="E574" s="17" t="s">
        <v>29</v>
      </c>
      <c r="F574" s="17" t="s">
        <v>43</v>
      </c>
      <c r="G574" s="17" t="s">
        <v>43</v>
      </c>
      <c r="H574" s="7">
        <v>446421</v>
      </c>
      <c r="I574" s="7">
        <v>216341</v>
      </c>
      <c r="J574" s="8">
        <v>166.45036400000001</v>
      </c>
      <c r="K574" s="8">
        <v>-22.254985999999999</v>
      </c>
      <c r="L574" s="71">
        <v>230</v>
      </c>
      <c r="M574" s="73">
        <v>1</v>
      </c>
      <c r="N574" s="73">
        <v>2</v>
      </c>
      <c r="O574" s="73">
        <v>0</v>
      </c>
      <c r="P574" s="17" t="s">
        <v>47</v>
      </c>
      <c r="Q574" t="str">
        <f>LEFT(B574,3)</f>
        <v>MCP</v>
      </c>
    </row>
    <row r="575" spans="1:17">
      <c r="A575" s="17" t="s">
        <v>3059</v>
      </c>
      <c r="B575" s="17" t="s">
        <v>1143</v>
      </c>
      <c r="C575" s="13" t="s">
        <v>1144</v>
      </c>
      <c r="D575" s="13" t="s">
        <v>1145</v>
      </c>
      <c r="E575" s="17" t="s">
        <v>29</v>
      </c>
      <c r="F575" s="17" t="s">
        <v>43</v>
      </c>
      <c r="G575" s="17" t="s">
        <v>43</v>
      </c>
      <c r="H575" s="7">
        <v>446421</v>
      </c>
      <c r="I575" s="7">
        <v>216341</v>
      </c>
      <c r="J575" s="8">
        <v>166.45036400000001</v>
      </c>
      <c r="K575" s="8">
        <v>-22.254985999999999</v>
      </c>
      <c r="L575" s="71">
        <v>330</v>
      </c>
      <c r="M575" s="73">
        <v>1</v>
      </c>
      <c r="N575" s="73">
        <v>2</v>
      </c>
      <c r="O575" s="73">
        <v>0</v>
      </c>
      <c r="P575" s="17" t="s">
        <v>47</v>
      </c>
      <c r="Q575" t="str">
        <f>LEFT(B575,3)</f>
        <v>MCP</v>
      </c>
    </row>
    <row r="576" spans="1:17">
      <c r="A576" s="13" t="s">
        <v>3060</v>
      </c>
      <c r="B576" s="13" t="s">
        <v>1147</v>
      </c>
      <c r="C576" s="13" t="s">
        <v>1148</v>
      </c>
      <c r="D576" s="13" t="s">
        <v>1148</v>
      </c>
      <c r="E576" s="17" t="s">
        <v>207</v>
      </c>
      <c r="F576" s="13" t="s">
        <v>43</v>
      </c>
      <c r="G576" s="17" t="s">
        <v>43</v>
      </c>
      <c r="H576" s="7">
        <v>399981.89140000002</v>
      </c>
      <c r="I576" s="7">
        <v>271913.60421000002</v>
      </c>
      <c r="J576" s="80">
        <v>165.999825968664</v>
      </c>
      <c r="K576" s="80">
        <v>-21.753680685675999</v>
      </c>
      <c r="L576" s="71">
        <v>250</v>
      </c>
      <c r="M576" s="73">
        <v>1</v>
      </c>
      <c r="N576" s="73">
        <v>2</v>
      </c>
      <c r="O576" s="73">
        <v>1</v>
      </c>
      <c r="P576" s="17" t="s">
        <v>47</v>
      </c>
      <c r="Q576" t="str">
        <f>LEFT(B576,3)</f>
        <v>MD2</v>
      </c>
    </row>
    <row r="577" spans="1:17">
      <c r="A577" s="17" t="s">
        <v>3061</v>
      </c>
      <c r="B577" s="17" t="s">
        <v>1151</v>
      </c>
      <c r="C577" s="13" t="s">
        <v>1079</v>
      </c>
      <c r="D577" s="13" t="s">
        <v>1079</v>
      </c>
      <c r="E577" s="17" t="s">
        <v>207</v>
      </c>
      <c r="F577" s="17" t="s">
        <v>43</v>
      </c>
      <c r="G577" s="17" t="s">
        <v>43</v>
      </c>
      <c r="H577" s="7">
        <v>399981.89140000002</v>
      </c>
      <c r="I577" s="7">
        <v>271913.60421000002</v>
      </c>
      <c r="J577" s="80">
        <v>165.999825968664</v>
      </c>
      <c r="K577" s="80">
        <v>-21.753680685675999</v>
      </c>
      <c r="L577" s="71">
        <v>66</v>
      </c>
      <c r="M577" s="73">
        <v>2</v>
      </c>
      <c r="N577" s="73">
        <v>2</v>
      </c>
      <c r="O577" s="73">
        <v>1</v>
      </c>
      <c r="P577" s="17" t="s">
        <v>47</v>
      </c>
      <c r="Q577" t="str">
        <f>LEFT(B577,3)</f>
        <v>MDO</v>
      </c>
    </row>
    <row r="578" spans="1:17">
      <c r="A578" s="17" t="s">
        <v>3062</v>
      </c>
      <c r="B578" s="17" t="s">
        <v>1151</v>
      </c>
      <c r="C578" s="13" t="s">
        <v>1079</v>
      </c>
      <c r="D578" s="13" t="s">
        <v>1079</v>
      </c>
      <c r="E578" s="17" t="s">
        <v>207</v>
      </c>
      <c r="F578" s="17" t="s">
        <v>43</v>
      </c>
      <c r="G578" s="17" t="s">
        <v>43</v>
      </c>
      <c r="H578" s="7">
        <v>399981.89140000002</v>
      </c>
      <c r="I578" s="7">
        <v>271913.60421000002</v>
      </c>
      <c r="J578" s="80">
        <v>165.999825968664</v>
      </c>
      <c r="K578" s="80">
        <v>-21.753680685675999</v>
      </c>
      <c r="L578" s="71">
        <v>202</v>
      </c>
      <c r="M578" s="73">
        <v>2</v>
      </c>
      <c r="N578" s="73">
        <v>2</v>
      </c>
      <c r="O578" s="73">
        <v>1</v>
      </c>
      <c r="P578" s="17" t="s">
        <v>47</v>
      </c>
      <c r="Q578" t="str">
        <f>LEFT(B578,3)</f>
        <v>MDO</v>
      </c>
    </row>
    <row r="579" spans="1:17">
      <c r="A579" s="17" t="s">
        <v>3063</v>
      </c>
      <c r="B579" s="17" t="s">
        <v>1151</v>
      </c>
      <c r="C579" s="13" t="s">
        <v>1079</v>
      </c>
      <c r="D579" s="13" t="s">
        <v>1079</v>
      </c>
      <c r="E579" s="17" t="s">
        <v>207</v>
      </c>
      <c r="F579" s="17" t="s">
        <v>43</v>
      </c>
      <c r="G579" s="17" t="s">
        <v>43</v>
      </c>
      <c r="H579" s="7">
        <v>399981.89140000002</v>
      </c>
      <c r="I579" s="7">
        <v>271913.60421000002</v>
      </c>
      <c r="J579" s="80">
        <v>165.999825968664</v>
      </c>
      <c r="K579" s="80">
        <v>-21.753680685675999</v>
      </c>
      <c r="L579" s="71">
        <v>250</v>
      </c>
      <c r="M579" s="73">
        <v>2</v>
      </c>
      <c r="N579" s="73">
        <v>2</v>
      </c>
      <c r="O579" s="73">
        <v>1</v>
      </c>
      <c r="P579" s="17" t="s">
        <v>47</v>
      </c>
      <c r="Q579" t="str">
        <f>LEFT(B579,3)</f>
        <v>MDO</v>
      </c>
    </row>
    <row r="580" spans="1:17">
      <c r="A580" s="17" t="s">
        <v>3064</v>
      </c>
      <c r="B580" s="17" t="s">
        <v>1151</v>
      </c>
      <c r="C580" s="13" t="s">
        <v>1079</v>
      </c>
      <c r="D580" s="13" t="s">
        <v>1079</v>
      </c>
      <c r="E580" s="17" t="s">
        <v>207</v>
      </c>
      <c r="F580" s="17" t="s">
        <v>43</v>
      </c>
      <c r="G580" s="17" t="s">
        <v>43</v>
      </c>
      <c r="H580" s="7">
        <v>399981.89140000002</v>
      </c>
      <c r="I580" s="7">
        <v>271913.60421000002</v>
      </c>
      <c r="J580" s="80">
        <v>165.999825968664</v>
      </c>
      <c r="K580" s="80">
        <v>-21.753680685675999</v>
      </c>
      <c r="L580" s="71">
        <v>285</v>
      </c>
      <c r="M580" s="73">
        <v>0</v>
      </c>
      <c r="N580" s="73">
        <v>2</v>
      </c>
      <c r="O580" s="73">
        <v>0</v>
      </c>
      <c r="P580" s="17" t="s">
        <v>47</v>
      </c>
      <c r="Q580" t="str">
        <f>LEFT(B580,3)</f>
        <v>MDO</v>
      </c>
    </row>
    <row r="581" spans="1:17">
      <c r="A581" s="17" t="s">
        <v>3065</v>
      </c>
      <c r="B581" s="17" t="s">
        <v>1154</v>
      </c>
      <c r="C581" s="6" t="s">
        <v>1155</v>
      </c>
      <c r="D581" s="6" t="s">
        <v>1156</v>
      </c>
      <c r="E581" s="17" t="s">
        <v>93</v>
      </c>
      <c r="F581" s="17" t="s">
        <v>43</v>
      </c>
      <c r="G581" s="17" t="s">
        <v>43</v>
      </c>
      <c r="H581" s="7">
        <v>454360</v>
      </c>
      <c r="I581" s="7">
        <v>220003</v>
      </c>
      <c r="J581" s="8">
        <v>166.527265</v>
      </c>
      <c r="K581" s="8">
        <v>-22.221689999999999</v>
      </c>
      <c r="L581" s="71">
        <v>148</v>
      </c>
      <c r="M581" s="73">
        <v>1</v>
      </c>
      <c r="N581" s="73">
        <v>2</v>
      </c>
      <c r="O581" s="73">
        <v>0</v>
      </c>
      <c r="P581" s="17" t="s">
        <v>47</v>
      </c>
      <c r="Q581" t="str">
        <f>LEFT(B581,3)</f>
        <v>MDR</v>
      </c>
    </row>
    <row r="582" spans="1:17">
      <c r="A582" s="17" t="s">
        <v>3066</v>
      </c>
      <c r="B582" s="17" t="s">
        <v>1154</v>
      </c>
      <c r="C582" s="6" t="s">
        <v>1155</v>
      </c>
      <c r="D582" s="6" t="s">
        <v>1156</v>
      </c>
      <c r="E582" s="17" t="s">
        <v>93</v>
      </c>
      <c r="F582" s="17" t="s">
        <v>43</v>
      </c>
      <c r="G582" s="17" t="s">
        <v>43</v>
      </c>
      <c r="H582" s="7">
        <v>454360</v>
      </c>
      <c r="I582" s="7">
        <v>220003</v>
      </c>
      <c r="J582" s="8">
        <v>166.527265</v>
      </c>
      <c r="K582" s="8">
        <v>-22.221689999999999</v>
      </c>
      <c r="L582" s="71">
        <v>264</v>
      </c>
      <c r="M582" s="73">
        <v>1</v>
      </c>
      <c r="N582" s="73">
        <v>2</v>
      </c>
      <c r="O582" s="73">
        <v>0</v>
      </c>
      <c r="P582" s="17" t="s">
        <v>47</v>
      </c>
      <c r="Q582" t="str">
        <f>LEFT(B582,3)</f>
        <v>MDR</v>
      </c>
    </row>
    <row r="583" spans="1:17">
      <c r="A583" s="17" t="s">
        <v>3067</v>
      </c>
      <c r="B583" s="17" t="s">
        <v>1158</v>
      </c>
      <c r="C583" s="13" t="s">
        <v>1159</v>
      </c>
      <c r="D583" s="13" t="s">
        <v>1159</v>
      </c>
      <c r="E583" s="17" t="s">
        <v>609</v>
      </c>
      <c r="F583" s="17" t="s">
        <v>68</v>
      </c>
      <c r="G583" s="17" t="s">
        <v>68</v>
      </c>
      <c r="H583" s="7">
        <v>375904</v>
      </c>
      <c r="I583" s="7">
        <v>304915</v>
      </c>
      <c r="J583" s="79">
        <v>165.767505</v>
      </c>
      <c r="K583" s="79">
        <v>-21.455444</v>
      </c>
      <c r="L583" s="71">
        <v>95</v>
      </c>
      <c r="M583" s="73">
        <v>1</v>
      </c>
      <c r="N583" s="73">
        <v>1</v>
      </c>
      <c r="O583" s="73">
        <v>1</v>
      </c>
      <c r="P583" s="17" t="s">
        <v>47</v>
      </c>
      <c r="Q583" t="str">
        <f>LEFT(B583,3)</f>
        <v>MEA</v>
      </c>
    </row>
    <row r="584" spans="1:17">
      <c r="A584" s="17" t="s">
        <v>3068</v>
      </c>
      <c r="B584" s="17" t="s">
        <v>1158</v>
      </c>
      <c r="C584" s="13" t="s">
        <v>1159</v>
      </c>
      <c r="D584" s="13" t="s">
        <v>1159</v>
      </c>
      <c r="E584" s="17" t="s">
        <v>609</v>
      </c>
      <c r="F584" s="17" t="s">
        <v>68</v>
      </c>
      <c r="G584" s="17" t="s">
        <v>68</v>
      </c>
      <c r="H584" s="7">
        <v>375904</v>
      </c>
      <c r="I584" s="7">
        <v>304915</v>
      </c>
      <c r="J584" s="79">
        <v>165.767505</v>
      </c>
      <c r="K584" s="79">
        <v>-21.455444</v>
      </c>
      <c r="L584" s="71">
        <v>180</v>
      </c>
      <c r="M584" s="73">
        <v>1</v>
      </c>
      <c r="N584" s="73">
        <v>1</v>
      </c>
      <c r="O584" s="73">
        <v>1</v>
      </c>
      <c r="P584" s="17" t="s">
        <v>47</v>
      </c>
      <c r="Q584" t="str">
        <f>LEFT(B584,3)</f>
        <v>MEA</v>
      </c>
    </row>
    <row r="585" spans="1:17">
      <c r="A585" s="17" t="s">
        <v>3069</v>
      </c>
      <c r="B585" s="17" t="s">
        <v>1158</v>
      </c>
      <c r="C585" s="13" t="s">
        <v>1159</v>
      </c>
      <c r="D585" s="13" t="s">
        <v>1159</v>
      </c>
      <c r="E585" s="17" t="s">
        <v>609</v>
      </c>
      <c r="F585" s="17" t="s">
        <v>68</v>
      </c>
      <c r="G585" s="17" t="s">
        <v>68</v>
      </c>
      <c r="H585" s="7">
        <v>375904</v>
      </c>
      <c r="I585" s="7">
        <v>304915</v>
      </c>
      <c r="J585" s="79">
        <v>165.767505</v>
      </c>
      <c r="K585" s="79">
        <v>-21.455444</v>
      </c>
      <c r="L585" s="71">
        <v>322</v>
      </c>
      <c r="M585" s="73">
        <v>1</v>
      </c>
      <c r="N585" s="73">
        <v>1</v>
      </c>
      <c r="O585" s="73">
        <v>1</v>
      </c>
      <c r="P585" s="17" t="s">
        <v>47</v>
      </c>
      <c r="Q585" t="str">
        <f>LEFT(B585,3)</f>
        <v>MEA</v>
      </c>
    </row>
    <row r="586" spans="1:17">
      <c r="A586" s="17" t="s">
        <v>3070</v>
      </c>
      <c r="B586" s="17" t="s">
        <v>1162</v>
      </c>
      <c r="C586" s="13" t="s">
        <v>1164</v>
      </c>
      <c r="D586" s="13" t="s">
        <v>1164</v>
      </c>
      <c r="E586" s="17" t="s">
        <v>609</v>
      </c>
      <c r="F586" s="17" t="s">
        <v>68</v>
      </c>
      <c r="G586" s="17" t="s">
        <v>68</v>
      </c>
      <c r="H586" s="7">
        <v>370765.49258000002</v>
      </c>
      <c r="I586" s="7">
        <v>299664.39805000002</v>
      </c>
      <c r="J586" s="80">
        <v>165.71782869640299</v>
      </c>
      <c r="K586" s="80">
        <v>-21.502796582650198</v>
      </c>
      <c r="L586" s="71">
        <v>62</v>
      </c>
      <c r="M586" s="73">
        <v>1</v>
      </c>
      <c r="N586" s="73">
        <v>1</v>
      </c>
      <c r="O586" s="73">
        <v>1</v>
      </c>
      <c r="P586" s="17" t="s">
        <v>47</v>
      </c>
      <c r="Q586" t="str">
        <f>LEFT(B586,3)</f>
        <v>MEB</v>
      </c>
    </row>
    <row r="587" spans="1:17">
      <c r="A587" s="17" t="s">
        <v>3071</v>
      </c>
      <c r="B587" s="17" t="s">
        <v>1162</v>
      </c>
      <c r="C587" s="13" t="s">
        <v>1164</v>
      </c>
      <c r="D587" s="13" t="s">
        <v>1164</v>
      </c>
      <c r="E587" s="17" t="s">
        <v>609</v>
      </c>
      <c r="F587" s="17" t="s">
        <v>68</v>
      </c>
      <c r="G587" s="17" t="s">
        <v>68</v>
      </c>
      <c r="H587" s="7">
        <v>370765.49258000002</v>
      </c>
      <c r="I587" s="7">
        <v>299664.39805000002</v>
      </c>
      <c r="J587" s="80">
        <v>165.71782869640299</v>
      </c>
      <c r="K587" s="80">
        <v>-21.502796582650198</v>
      </c>
      <c r="L587" s="71">
        <v>291</v>
      </c>
      <c r="M587" s="73">
        <v>1</v>
      </c>
      <c r="N587" s="73">
        <v>1</v>
      </c>
      <c r="O587" s="73">
        <v>1</v>
      </c>
      <c r="P587" s="17" t="s">
        <v>47</v>
      </c>
      <c r="Q587" t="str">
        <f>LEFT(B587,3)</f>
        <v>MEB</v>
      </c>
    </row>
    <row r="588" spans="1:17">
      <c r="A588" s="17" t="s">
        <v>3072</v>
      </c>
      <c r="B588" s="17" t="s">
        <v>1166</v>
      </c>
      <c r="C588" s="13" t="s">
        <v>1167</v>
      </c>
      <c r="D588" s="13" t="s">
        <v>1167</v>
      </c>
      <c r="E588" s="17" t="s">
        <v>351</v>
      </c>
      <c r="F588" s="17" t="s">
        <v>129</v>
      </c>
      <c r="G588" s="17" t="s">
        <v>129</v>
      </c>
      <c r="H588" s="7">
        <v>602286.08476999996</v>
      </c>
      <c r="I588" s="7">
        <v>285281.13772</v>
      </c>
      <c r="J588" s="80">
        <v>167.954066156577</v>
      </c>
      <c r="K588" s="80">
        <v>-21.621527942811898</v>
      </c>
      <c r="L588" s="71">
        <v>220</v>
      </c>
      <c r="M588" s="73">
        <v>1</v>
      </c>
      <c r="N588" s="73">
        <v>1</v>
      </c>
      <c r="O588" s="73">
        <v>1</v>
      </c>
      <c r="P588" s="17" t="s">
        <v>47</v>
      </c>
      <c r="Q588" t="str">
        <f>LEFT(B588,3)</f>
        <v>MED</v>
      </c>
    </row>
    <row r="589" spans="1:17">
      <c r="A589" s="17" t="s">
        <v>3073</v>
      </c>
      <c r="B589" s="17" t="s">
        <v>1166</v>
      </c>
      <c r="C589" s="13" t="s">
        <v>1167</v>
      </c>
      <c r="D589" s="13" t="s">
        <v>1167</v>
      </c>
      <c r="E589" s="17" t="s">
        <v>351</v>
      </c>
      <c r="F589" s="17" t="s">
        <v>129</v>
      </c>
      <c r="G589" s="17" t="s">
        <v>129</v>
      </c>
      <c r="H589" s="7">
        <v>602286.08476999996</v>
      </c>
      <c r="I589" s="7">
        <v>285281.13772</v>
      </c>
      <c r="J589" s="80">
        <v>167.954066156577</v>
      </c>
      <c r="K589" s="80">
        <v>-21.621527942811898</v>
      </c>
      <c r="L589" s="71">
        <v>320</v>
      </c>
      <c r="M589" s="73">
        <v>1</v>
      </c>
      <c r="N589" s="73">
        <v>1</v>
      </c>
      <c r="O589" s="73">
        <v>1</v>
      </c>
      <c r="P589" s="17" t="s">
        <v>47</v>
      </c>
      <c r="Q589" t="str">
        <f>LEFT(B589,3)</f>
        <v>MED</v>
      </c>
    </row>
    <row r="590" spans="1:17">
      <c r="A590" s="17" t="s">
        <v>3074</v>
      </c>
      <c r="B590" s="17" t="s">
        <v>1170</v>
      </c>
      <c r="C590" s="13" t="s">
        <v>1171</v>
      </c>
      <c r="D590" s="13" t="s">
        <v>1171</v>
      </c>
      <c r="E590" s="17" t="s">
        <v>178</v>
      </c>
      <c r="F590" s="17" t="s">
        <v>68</v>
      </c>
      <c r="G590" s="17" t="s">
        <v>68</v>
      </c>
      <c r="H590" s="7">
        <v>288134.31682000001</v>
      </c>
      <c r="I590" s="7">
        <v>327233.20922000002</v>
      </c>
      <c r="J590" s="80">
        <v>164.92213880710099</v>
      </c>
      <c r="K590" s="80">
        <v>-21.250532968566301</v>
      </c>
      <c r="L590" s="71">
        <v>131</v>
      </c>
      <c r="M590" s="73">
        <v>1</v>
      </c>
      <c r="N590" s="73">
        <v>1</v>
      </c>
      <c r="O590" s="73">
        <v>1</v>
      </c>
      <c r="P590" s="17" t="s">
        <v>47</v>
      </c>
      <c r="Q590" t="str">
        <f>LEFT(B590,3)</f>
        <v>MEM</v>
      </c>
    </row>
    <row r="591" spans="1:17">
      <c r="A591" s="17" t="s">
        <v>3075</v>
      </c>
      <c r="B591" s="17" t="s">
        <v>1170</v>
      </c>
      <c r="C591" s="13" t="s">
        <v>1171</v>
      </c>
      <c r="D591" s="13" t="s">
        <v>1171</v>
      </c>
      <c r="E591" s="17" t="s">
        <v>178</v>
      </c>
      <c r="F591" s="17" t="s">
        <v>68</v>
      </c>
      <c r="G591" s="17" t="s">
        <v>68</v>
      </c>
      <c r="H591" s="7">
        <v>288134.31682000001</v>
      </c>
      <c r="I591" s="7">
        <v>327233.20922000002</v>
      </c>
      <c r="J591" s="80">
        <v>164.92213880710099</v>
      </c>
      <c r="K591" s="80">
        <v>-21.250532968566301</v>
      </c>
      <c r="L591" s="71">
        <v>306</v>
      </c>
      <c r="M591" s="73">
        <v>1</v>
      </c>
      <c r="N591" s="73">
        <v>1</v>
      </c>
      <c r="O591" s="73">
        <v>1</v>
      </c>
      <c r="P591" s="17" t="s">
        <v>47</v>
      </c>
      <c r="Q591" t="str">
        <f>LEFT(B591,3)</f>
        <v>MEM</v>
      </c>
    </row>
    <row r="592" spans="1:17">
      <c r="A592" s="17" t="s">
        <v>3076</v>
      </c>
      <c r="B592" s="17" t="s">
        <v>1174</v>
      </c>
      <c r="C592" s="13" t="s">
        <v>1175</v>
      </c>
      <c r="D592" s="13" t="s">
        <v>1175</v>
      </c>
      <c r="E592" s="17" t="s">
        <v>351</v>
      </c>
      <c r="F592" s="17" t="s">
        <v>129</v>
      </c>
      <c r="G592" s="17" t="s">
        <v>129</v>
      </c>
      <c r="H592" s="7">
        <v>604311.67134</v>
      </c>
      <c r="I592" s="7">
        <v>305177.81618000002</v>
      </c>
      <c r="J592" s="80">
        <v>167.97121160206399</v>
      </c>
      <c r="K592" s="80">
        <v>-21.441594504605099</v>
      </c>
      <c r="L592" s="71">
        <v>181</v>
      </c>
      <c r="M592" s="73">
        <v>1</v>
      </c>
      <c r="N592" s="73">
        <v>1</v>
      </c>
      <c r="O592" s="73">
        <v>1</v>
      </c>
      <c r="P592" s="17" t="s">
        <v>47</v>
      </c>
      <c r="Q592" t="str">
        <f>LEFT(B592,3)</f>
        <v>MEN</v>
      </c>
    </row>
    <row r="593" spans="1:17">
      <c r="A593" s="17" t="s">
        <v>3077</v>
      </c>
      <c r="B593" s="17" t="s">
        <v>1174</v>
      </c>
      <c r="C593" s="13" t="s">
        <v>1175</v>
      </c>
      <c r="D593" s="13" t="s">
        <v>1175</v>
      </c>
      <c r="E593" s="17" t="s">
        <v>351</v>
      </c>
      <c r="F593" s="17" t="s">
        <v>129</v>
      </c>
      <c r="G593" s="17" t="s">
        <v>129</v>
      </c>
      <c r="H593" s="7">
        <v>604311.67134</v>
      </c>
      <c r="I593" s="7">
        <v>305177.81618000002</v>
      </c>
      <c r="J593" s="80">
        <v>167.97121160206399</v>
      </c>
      <c r="K593" s="80">
        <v>-21.441594504605099</v>
      </c>
      <c r="L593" s="71">
        <v>301</v>
      </c>
      <c r="M593" s="73">
        <v>1</v>
      </c>
      <c r="N593" s="73">
        <v>1</v>
      </c>
      <c r="O593" s="73">
        <v>1</v>
      </c>
      <c r="P593" s="17" t="s">
        <v>47</v>
      </c>
      <c r="Q593" t="str">
        <f>LEFT(B593,3)</f>
        <v>MEN</v>
      </c>
    </row>
    <row r="594" spans="1:17">
      <c r="A594" s="17" t="s">
        <v>3078</v>
      </c>
      <c r="B594" s="17" t="s">
        <v>1178</v>
      </c>
      <c r="C594" s="13" t="s">
        <v>1179</v>
      </c>
      <c r="D594" s="13" t="s">
        <v>1179</v>
      </c>
      <c r="E594" s="17" t="s">
        <v>29</v>
      </c>
      <c r="F594" s="17" t="s">
        <v>43</v>
      </c>
      <c r="G594" s="17" t="s">
        <v>30</v>
      </c>
      <c r="H594" s="7">
        <v>446366.96642000001</v>
      </c>
      <c r="I594" s="7">
        <v>210185.53044999999</v>
      </c>
      <c r="J594" s="80">
        <v>166.45001183809299</v>
      </c>
      <c r="K594" s="80">
        <v>-22.310571033022502</v>
      </c>
      <c r="L594" s="71">
        <v>66</v>
      </c>
      <c r="M594" s="73">
        <v>3</v>
      </c>
      <c r="N594" s="73">
        <v>2</v>
      </c>
      <c r="O594" s="73">
        <v>1</v>
      </c>
      <c r="P594" s="17" t="s">
        <v>37</v>
      </c>
      <c r="Q594" t="str">
        <f>LEFT(B594,3)</f>
        <v>MER</v>
      </c>
    </row>
    <row r="595" spans="1:17">
      <c r="A595" s="17" t="s">
        <v>3079</v>
      </c>
      <c r="B595" s="17" t="s">
        <v>1178</v>
      </c>
      <c r="C595" s="13" t="s">
        <v>1179</v>
      </c>
      <c r="D595" s="13" t="s">
        <v>1179</v>
      </c>
      <c r="E595" s="17" t="s">
        <v>29</v>
      </c>
      <c r="F595" s="17" t="s">
        <v>43</v>
      </c>
      <c r="G595" s="17" t="s">
        <v>30</v>
      </c>
      <c r="H595" s="7">
        <v>446366.96642000001</v>
      </c>
      <c r="I595" s="7">
        <v>210185.53044999999</v>
      </c>
      <c r="J595" s="80">
        <v>166.45001183809299</v>
      </c>
      <c r="K595" s="80">
        <v>-22.310571033022502</v>
      </c>
      <c r="L595" s="71">
        <v>175</v>
      </c>
      <c r="M595" s="73">
        <v>3</v>
      </c>
      <c r="N595" s="73">
        <v>2</v>
      </c>
      <c r="O595" s="73">
        <v>1</v>
      </c>
      <c r="P595" s="17" t="s">
        <v>37</v>
      </c>
      <c r="Q595" t="str">
        <f>LEFT(B595,3)</f>
        <v>MER</v>
      </c>
    </row>
    <row r="596" spans="1:17">
      <c r="A596" s="17" t="s">
        <v>3080</v>
      </c>
      <c r="B596" s="17" t="s">
        <v>1178</v>
      </c>
      <c r="C596" s="13" t="s">
        <v>1179</v>
      </c>
      <c r="D596" s="13" t="s">
        <v>1179</v>
      </c>
      <c r="E596" s="17" t="s">
        <v>29</v>
      </c>
      <c r="F596" s="17" t="s">
        <v>43</v>
      </c>
      <c r="G596" s="17" t="s">
        <v>30</v>
      </c>
      <c r="H596" s="7">
        <v>446366.96642000001</v>
      </c>
      <c r="I596" s="7">
        <v>210185.53044999999</v>
      </c>
      <c r="J596" s="80">
        <v>166.45001183809299</v>
      </c>
      <c r="K596" s="80">
        <v>-22.310571033022502</v>
      </c>
      <c r="L596" s="71">
        <v>318</v>
      </c>
      <c r="M596" s="73">
        <v>3</v>
      </c>
      <c r="N596" s="73">
        <v>2</v>
      </c>
      <c r="O596" s="73">
        <v>1</v>
      </c>
      <c r="P596" s="17" t="s">
        <v>37</v>
      </c>
      <c r="Q596" t="str">
        <f>LEFT(B596,3)</f>
        <v>MER</v>
      </c>
    </row>
    <row r="597" spans="1:17">
      <c r="A597" s="17" t="s">
        <v>3081</v>
      </c>
      <c r="B597" s="17" t="s">
        <v>1182</v>
      </c>
      <c r="C597" s="13" t="s">
        <v>1183</v>
      </c>
      <c r="D597" s="13" t="s">
        <v>1114</v>
      </c>
      <c r="E597" s="17" t="s">
        <v>29</v>
      </c>
      <c r="F597" s="17" t="s">
        <v>43</v>
      </c>
      <c r="G597" s="17" t="s">
        <v>30</v>
      </c>
      <c r="H597" s="7">
        <v>448530</v>
      </c>
      <c r="I597" s="7">
        <v>215082</v>
      </c>
      <c r="J597" s="80">
        <v>166.47086100000001</v>
      </c>
      <c r="K597" s="80">
        <v>-22.266299</v>
      </c>
      <c r="L597" s="71">
        <v>20</v>
      </c>
      <c r="M597" s="73">
        <v>1</v>
      </c>
      <c r="N597" s="73">
        <v>1</v>
      </c>
      <c r="O597" s="73">
        <v>0</v>
      </c>
      <c r="P597" s="17" t="s">
        <v>37</v>
      </c>
      <c r="Q597" t="str">
        <f>LEFT(B597,3)</f>
        <v>MGP</v>
      </c>
    </row>
    <row r="598" spans="1:17">
      <c r="A598" s="17" t="s">
        <v>3082</v>
      </c>
      <c r="B598" s="17" t="s">
        <v>1182</v>
      </c>
      <c r="C598" s="13" t="s">
        <v>1183</v>
      </c>
      <c r="D598" s="13" t="s">
        <v>1114</v>
      </c>
      <c r="E598" s="17" t="s">
        <v>29</v>
      </c>
      <c r="F598" s="17" t="s">
        <v>43</v>
      </c>
      <c r="G598" s="17" t="s">
        <v>30</v>
      </c>
      <c r="H598" s="7">
        <v>448530</v>
      </c>
      <c r="I598" s="7">
        <v>215082</v>
      </c>
      <c r="J598" s="80">
        <v>166.47086100000001</v>
      </c>
      <c r="K598" s="80">
        <v>-22.266299</v>
      </c>
      <c r="L598" s="71">
        <v>140</v>
      </c>
      <c r="M598" s="73">
        <v>1</v>
      </c>
      <c r="N598" s="73">
        <v>1</v>
      </c>
      <c r="O598" s="73">
        <v>0</v>
      </c>
      <c r="P598" s="17" t="s">
        <v>37</v>
      </c>
      <c r="Q598" t="str">
        <f>LEFT(B598,3)</f>
        <v>MGP</v>
      </c>
    </row>
    <row r="599" spans="1:17">
      <c r="A599" s="17" t="s">
        <v>3083</v>
      </c>
      <c r="B599" s="17" t="s">
        <v>1182</v>
      </c>
      <c r="C599" s="13" t="s">
        <v>1183</v>
      </c>
      <c r="D599" s="13" t="s">
        <v>1114</v>
      </c>
      <c r="E599" s="17" t="s">
        <v>29</v>
      </c>
      <c r="F599" s="17" t="s">
        <v>43</v>
      </c>
      <c r="G599" s="17" t="s">
        <v>30</v>
      </c>
      <c r="H599" s="7">
        <v>448530</v>
      </c>
      <c r="I599" s="7">
        <v>215082</v>
      </c>
      <c r="J599" s="80">
        <v>166.47086100000001</v>
      </c>
      <c r="K599" s="80">
        <v>-22.266299</v>
      </c>
      <c r="L599" s="71">
        <v>206</v>
      </c>
      <c r="M599" s="73">
        <v>1</v>
      </c>
      <c r="N599" s="73">
        <v>1</v>
      </c>
      <c r="O599" s="73">
        <v>0</v>
      </c>
      <c r="P599" s="17" t="s">
        <v>37</v>
      </c>
      <c r="Q599" t="str">
        <f>LEFT(B599,3)</f>
        <v>MGP</v>
      </c>
    </row>
    <row r="600" spans="1:17">
      <c r="A600" s="6" t="s">
        <v>3084</v>
      </c>
      <c r="B600" s="6" t="s">
        <v>1186</v>
      </c>
      <c r="C600" s="13" t="s">
        <v>1187</v>
      </c>
      <c r="D600" s="13" t="s">
        <v>1188</v>
      </c>
      <c r="E600" s="17" t="s">
        <v>29</v>
      </c>
      <c r="F600" s="17" t="s">
        <v>43</v>
      </c>
      <c r="G600" s="17" t="s">
        <v>30</v>
      </c>
      <c r="H600" s="7">
        <v>447797</v>
      </c>
      <c r="I600" s="7">
        <v>214812</v>
      </c>
      <c r="J600" s="80">
        <v>166.46375699999999</v>
      </c>
      <c r="K600" s="80">
        <v>-22.268757000000001</v>
      </c>
      <c r="L600" s="71">
        <v>123</v>
      </c>
      <c r="M600" s="73">
        <v>1</v>
      </c>
      <c r="N600" s="73">
        <v>3</v>
      </c>
      <c r="O600" s="73">
        <v>0</v>
      </c>
      <c r="P600" s="17" t="s">
        <v>37</v>
      </c>
      <c r="Q600" t="str">
        <f>LEFT(B600,3)</f>
        <v>MGT</v>
      </c>
    </row>
    <row r="601" spans="1:17">
      <c r="A601" s="6" t="s">
        <v>3085</v>
      </c>
      <c r="B601" s="6" t="s">
        <v>1186</v>
      </c>
      <c r="C601" s="13" t="s">
        <v>1187</v>
      </c>
      <c r="D601" s="13" t="s">
        <v>1188</v>
      </c>
      <c r="E601" s="17" t="s">
        <v>29</v>
      </c>
      <c r="F601" s="17" t="s">
        <v>43</v>
      </c>
      <c r="G601" s="17" t="s">
        <v>30</v>
      </c>
      <c r="H601" s="7">
        <v>447797</v>
      </c>
      <c r="I601" s="7">
        <v>214812</v>
      </c>
      <c r="J601" s="80">
        <v>166.46375699999999</v>
      </c>
      <c r="K601" s="80">
        <v>-22.268757000000001</v>
      </c>
      <c r="L601" s="71">
        <v>263</v>
      </c>
      <c r="M601" s="73">
        <v>1</v>
      </c>
      <c r="N601" s="73">
        <v>3</v>
      </c>
      <c r="O601" s="73">
        <v>0</v>
      </c>
      <c r="P601" s="17" t="s">
        <v>37</v>
      </c>
      <c r="Q601" t="str">
        <f>LEFT(B601,3)</f>
        <v>MGT</v>
      </c>
    </row>
    <row r="602" spans="1:17">
      <c r="A602" s="6" t="s">
        <v>3086</v>
      </c>
      <c r="B602" s="6" t="s">
        <v>1186</v>
      </c>
      <c r="C602" s="13" t="s">
        <v>1187</v>
      </c>
      <c r="D602" s="13" t="s">
        <v>1188</v>
      </c>
      <c r="E602" s="17" t="s">
        <v>29</v>
      </c>
      <c r="F602" s="17" t="s">
        <v>43</v>
      </c>
      <c r="G602" s="17" t="s">
        <v>30</v>
      </c>
      <c r="H602" s="7">
        <v>447797</v>
      </c>
      <c r="I602" s="7">
        <v>214812</v>
      </c>
      <c r="J602" s="80">
        <v>166.46375699999999</v>
      </c>
      <c r="K602" s="80">
        <v>-22.268757000000001</v>
      </c>
      <c r="L602" s="71">
        <v>345</v>
      </c>
      <c r="M602" s="73">
        <v>1</v>
      </c>
      <c r="N602" s="73">
        <v>3</v>
      </c>
      <c r="O602" s="73">
        <v>0</v>
      </c>
      <c r="P602" s="17" t="s">
        <v>37</v>
      </c>
      <c r="Q602" t="str">
        <f>LEFT(B602,3)</f>
        <v>MGT</v>
      </c>
    </row>
    <row r="603" spans="1:17">
      <c r="A603" s="17" t="s">
        <v>3087</v>
      </c>
      <c r="B603" s="17" t="s">
        <v>1190</v>
      </c>
      <c r="C603" s="13" t="s">
        <v>1191</v>
      </c>
      <c r="D603" s="13" t="s">
        <v>1191</v>
      </c>
      <c r="E603" s="17" t="s">
        <v>331</v>
      </c>
      <c r="F603" s="17" t="s">
        <v>43</v>
      </c>
      <c r="G603" s="17" t="s">
        <v>43</v>
      </c>
      <c r="H603" s="7">
        <v>556189.37861999997</v>
      </c>
      <c r="I603" s="7">
        <v>179641.77421</v>
      </c>
      <c r="J603" s="80">
        <v>167.518718427756</v>
      </c>
      <c r="K603" s="80">
        <v>-22.580140267147101</v>
      </c>
      <c r="L603" s="71">
        <v>110</v>
      </c>
      <c r="M603" s="73">
        <v>1</v>
      </c>
      <c r="N603" s="73">
        <v>1</v>
      </c>
      <c r="O603" s="73">
        <v>1</v>
      </c>
      <c r="P603" s="17" t="s">
        <v>37</v>
      </c>
      <c r="Q603" t="str">
        <f>LEFT(B603,3)</f>
        <v>MID</v>
      </c>
    </row>
    <row r="604" spans="1:17">
      <c r="A604" s="17" t="s">
        <v>3088</v>
      </c>
      <c r="B604" s="17" t="s">
        <v>1190</v>
      </c>
      <c r="C604" s="13" t="s">
        <v>1191</v>
      </c>
      <c r="D604" s="13" t="s">
        <v>1191</v>
      </c>
      <c r="E604" s="17" t="s">
        <v>331</v>
      </c>
      <c r="F604" s="17" t="s">
        <v>43</v>
      </c>
      <c r="G604" s="17" t="s">
        <v>43</v>
      </c>
      <c r="H604" s="7">
        <v>556189.37861999997</v>
      </c>
      <c r="I604" s="7">
        <v>179641.77421</v>
      </c>
      <c r="J604" s="80">
        <v>167.518718427756</v>
      </c>
      <c r="K604" s="80">
        <v>-22.580140267147101</v>
      </c>
      <c r="L604" s="71">
        <v>264</v>
      </c>
      <c r="M604" s="73">
        <v>1</v>
      </c>
      <c r="N604" s="73">
        <v>1</v>
      </c>
      <c r="O604" s="73">
        <v>1</v>
      </c>
      <c r="P604" s="17" t="s">
        <v>37</v>
      </c>
      <c r="Q604" t="str">
        <f>LEFT(B604,3)</f>
        <v>MID</v>
      </c>
    </row>
    <row r="605" spans="1:17">
      <c r="A605" s="17" t="s">
        <v>3089</v>
      </c>
      <c r="B605" s="17" t="s">
        <v>1194</v>
      </c>
      <c r="C605" s="13" t="s">
        <v>1195</v>
      </c>
      <c r="D605" s="13" t="s">
        <v>1195</v>
      </c>
      <c r="E605" s="17" t="s">
        <v>249</v>
      </c>
      <c r="F605" s="17" t="s">
        <v>43</v>
      </c>
      <c r="G605" s="17" t="s">
        <v>68</v>
      </c>
      <c r="H605" s="7">
        <v>275076</v>
      </c>
      <c r="I605" s="7">
        <v>356057</v>
      </c>
      <c r="J605" s="80">
        <v>164.798460515356</v>
      </c>
      <c r="K605" s="80">
        <v>-20.989322845437599</v>
      </c>
      <c r="L605" s="71">
        <v>0</v>
      </c>
      <c r="M605" s="73">
        <v>1</v>
      </c>
      <c r="N605" s="73">
        <v>1</v>
      </c>
      <c r="O605" s="73">
        <v>1</v>
      </c>
      <c r="P605" s="17" t="s">
        <v>47</v>
      </c>
      <c r="Q605" t="str">
        <f>LEFT(B605,3)</f>
        <v>MIN</v>
      </c>
    </row>
    <row r="606" spans="1:17">
      <c r="A606" s="17" t="s">
        <v>3090</v>
      </c>
      <c r="B606" s="17" t="s">
        <v>1194</v>
      </c>
      <c r="C606" s="13" t="s">
        <v>1195</v>
      </c>
      <c r="D606" s="13" t="s">
        <v>1195</v>
      </c>
      <c r="E606" s="17" t="s">
        <v>249</v>
      </c>
      <c r="F606" s="17" t="s">
        <v>43</v>
      </c>
      <c r="G606" s="17" t="s">
        <v>68</v>
      </c>
      <c r="H606" s="7">
        <v>275076</v>
      </c>
      <c r="I606" s="7">
        <v>356057</v>
      </c>
      <c r="J606" s="80">
        <v>164.798460515356</v>
      </c>
      <c r="K606" s="80">
        <v>-20.989322845437599</v>
      </c>
      <c r="L606" s="71">
        <v>86</v>
      </c>
      <c r="M606" s="73">
        <v>1</v>
      </c>
      <c r="N606" s="73">
        <v>1</v>
      </c>
      <c r="O606" s="73">
        <v>1</v>
      </c>
      <c r="P606" s="17" t="s">
        <v>47</v>
      </c>
      <c r="Q606" t="str">
        <f>LEFT(B606,3)</f>
        <v>MIN</v>
      </c>
    </row>
    <row r="607" spans="1:17">
      <c r="A607" s="17" t="s">
        <v>3091</v>
      </c>
      <c r="B607" s="17" t="s">
        <v>1194</v>
      </c>
      <c r="C607" s="13" t="s">
        <v>1195</v>
      </c>
      <c r="D607" s="13" t="s">
        <v>1195</v>
      </c>
      <c r="E607" s="17" t="s">
        <v>249</v>
      </c>
      <c r="F607" s="17" t="s">
        <v>43</v>
      </c>
      <c r="G607" s="17" t="s">
        <v>68</v>
      </c>
      <c r="H607" s="7">
        <v>275076</v>
      </c>
      <c r="I607" s="7">
        <v>356057</v>
      </c>
      <c r="J607" s="80">
        <v>164.798460515356</v>
      </c>
      <c r="K607" s="80">
        <v>-20.989322845437599</v>
      </c>
      <c r="L607" s="71">
        <v>245</v>
      </c>
      <c r="M607" s="73">
        <v>1</v>
      </c>
      <c r="N607" s="73">
        <v>1</v>
      </c>
      <c r="O607" s="73">
        <v>1</v>
      </c>
      <c r="P607" s="17" t="s">
        <v>47</v>
      </c>
      <c r="Q607" t="str">
        <f>LEFT(B607,3)</f>
        <v>MIN</v>
      </c>
    </row>
    <row r="608" spans="1:17">
      <c r="A608" s="17" t="s">
        <v>3092</v>
      </c>
      <c r="B608" s="17" t="s">
        <v>1198</v>
      </c>
      <c r="C608" s="13" t="s">
        <v>1199</v>
      </c>
      <c r="D608" s="13" t="s">
        <v>1199</v>
      </c>
      <c r="E608" s="17" t="s">
        <v>402</v>
      </c>
      <c r="F608" s="17" t="s">
        <v>68</v>
      </c>
      <c r="G608" s="17" t="s">
        <v>68</v>
      </c>
      <c r="H608" s="7">
        <v>367756</v>
      </c>
      <c r="I608" s="7">
        <v>316582</v>
      </c>
      <c r="J608" s="8">
        <v>165.689111</v>
      </c>
      <c r="K608" s="8">
        <v>-21.349933</v>
      </c>
      <c r="L608" s="71">
        <v>91</v>
      </c>
      <c r="M608" s="73">
        <v>1</v>
      </c>
      <c r="N608" s="73">
        <v>1</v>
      </c>
      <c r="O608" s="73">
        <v>1</v>
      </c>
      <c r="P608" s="17" t="s">
        <v>47</v>
      </c>
      <c r="Q608" t="str">
        <f>LEFT(B608,3)</f>
        <v>MKA</v>
      </c>
    </row>
    <row r="609" spans="1:17">
      <c r="A609" s="17" t="s">
        <v>3093</v>
      </c>
      <c r="B609" s="17" t="s">
        <v>1198</v>
      </c>
      <c r="C609" s="13" t="s">
        <v>1199</v>
      </c>
      <c r="D609" s="13" t="s">
        <v>1199</v>
      </c>
      <c r="E609" s="17" t="s">
        <v>402</v>
      </c>
      <c r="F609" s="17" t="s">
        <v>68</v>
      </c>
      <c r="G609" s="17" t="s">
        <v>68</v>
      </c>
      <c r="H609" s="7">
        <v>367756</v>
      </c>
      <c r="I609" s="7">
        <v>316582</v>
      </c>
      <c r="J609" s="8">
        <v>165.689111</v>
      </c>
      <c r="K609" s="8">
        <v>-21.349933</v>
      </c>
      <c r="L609" s="71">
        <v>166</v>
      </c>
      <c r="M609" s="73">
        <v>1</v>
      </c>
      <c r="N609" s="73">
        <v>1</v>
      </c>
      <c r="O609" s="73">
        <v>1</v>
      </c>
      <c r="P609" s="17" t="s">
        <v>47</v>
      </c>
      <c r="Q609" t="str">
        <f>LEFT(B609,3)</f>
        <v>MKA</v>
      </c>
    </row>
    <row r="610" spans="1:17">
      <c r="A610" s="17" t="s">
        <v>3094</v>
      </c>
      <c r="B610" s="17" t="s">
        <v>1198</v>
      </c>
      <c r="C610" s="13" t="s">
        <v>1199</v>
      </c>
      <c r="D610" s="13" t="s">
        <v>1199</v>
      </c>
      <c r="E610" s="17" t="s">
        <v>402</v>
      </c>
      <c r="F610" s="17" t="s">
        <v>68</v>
      </c>
      <c r="G610" s="17" t="s">
        <v>68</v>
      </c>
      <c r="H610" s="7">
        <v>367756</v>
      </c>
      <c r="I610" s="7">
        <v>316582</v>
      </c>
      <c r="J610" s="8">
        <v>165.689111</v>
      </c>
      <c r="K610" s="8">
        <v>-21.349933</v>
      </c>
      <c r="L610" s="71">
        <v>301</v>
      </c>
      <c r="M610" s="73">
        <v>1</v>
      </c>
      <c r="N610" s="73">
        <v>2</v>
      </c>
      <c r="O610" s="73">
        <v>1</v>
      </c>
      <c r="P610" s="17" t="s">
        <v>47</v>
      </c>
      <c r="Q610" t="str">
        <f>LEFT(B610,3)</f>
        <v>MKA</v>
      </c>
    </row>
    <row r="611" spans="1:17">
      <c r="A611" s="17" t="s">
        <v>3095</v>
      </c>
      <c r="B611" s="17" t="s">
        <v>1203</v>
      </c>
      <c r="C611" s="13" t="s">
        <v>1205</v>
      </c>
      <c r="D611" s="13" t="s">
        <v>1205</v>
      </c>
      <c r="E611" s="17" t="s">
        <v>93</v>
      </c>
      <c r="F611" s="17" t="s">
        <v>43</v>
      </c>
      <c r="G611" s="17" t="s">
        <v>50</v>
      </c>
      <c r="H611" s="7">
        <v>474169.40312999999</v>
      </c>
      <c r="I611" s="7">
        <v>208352.95249</v>
      </c>
      <c r="J611" s="80">
        <v>166.71992112947501</v>
      </c>
      <c r="K611" s="80">
        <v>-22.3261845863179</v>
      </c>
      <c r="L611" s="71">
        <v>4</v>
      </c>
      <c r="M611" s="73">
        <v>1</v>
      </c>
      <c r="N611" s="73">
        <v>2</v>
      </c>
      <c r="O611" s="73">
        <v>1</v>
      </c>
      <c r="P611" s="17" t="s">
        <v>47</v>
      </c>
      <c r="Q611" t="str">
        <f>LEFT(B611,3)</f>
        <v>MKO</v>
      </c>
    </row>
    <row r="612" spans="1:17">
      <c r="A612" s="17" t="s">
        <v>3096</v>
      </c>
      <c r="B612" s="17" t="s">
        <v>1203</v>
      </c>
      <c r="C612" s="13" t="s">
        <v>1205</v>
      </c>
      <c r="D612" s="13" t="s">
        <v>1205</v>
      </c>
      <c r="E612" s="17" t="s">
        <v>93</v>
      </c>
      <c r="F612" s="17" t="s">
        <v>43</v>
      </c>
      <c r="G612" s="17" t="s">
        <v>50</v>
      </c>
      <c r="H612" s="7">
        <v>474169.40312999999</v>
      </c>
      <c r="I612" s="7">
        <v>208352.95249</v>
      </c>
      <c r="J612" s="80">
        <v>166.71992112947501</v>
      </c>
      <c r="K612" s="80">
        <v>-22.3261845863179</v>
      </c>
      <c r="L612" s="71">
        <v>85</v>
      </c>
      <c r="M612" s="73">
        <v>1</v>
      </c>
      <c r="N612" s="73">
        <v>2</v>
      </c>
      <c r="O612" s="73">
        <v>1</v>
      </c>
      <c r="P612" s="17" t="s">
        <v>47</v>
      </c>
      <c r="Q612" t="str">
        <f>LEFT(B612,3)</f>
        <v>MKO</v>
      </c>
    </row>
    <row r="613" spans="1:17">
      <c r="A613" s="17" t="s">
        <v>3097</v>
      </c>
      <c r="B613" s="17" t="s">
        <v>1203</v>
      </c>
      <c r="C613" s="13" t="s">
        <v>1205</v>
      </c>
      <c r="D613" s="13" t="s">
        <v>1205</v>
      </c>
      <c r="E613" s="17" t="s">
        <v>93</v>
      </c>
      <c r="F613" s="17" t="s">
        <v>43</v>
      </c>
      <c r="G613" s="17" t="s">
        <v>50</v>
      </c>
      <c r="H613" s="7">
        <v>474169.40312999999</v>
      </c>
      <c r="I613" s="7">
        <v>208352.95249</v>
      </c>
      <c r="J613" s="80">
        <v>166.71992112947501</v>
      </c>
      <c r="K613" s="80">
        <v>-22.3261845863179</v>
      </c>
      <c r="L613" s="71">
        <v>127</v>
      </c>
      <c r="M613" s="73">
        <v>1</v>
      </c>
      <c r="N613" s="73">
        <v>2</v>
      </c>
      <c r="O613" s="73">
        <v>1</v>
      </c>
      <c r="P613" s="17" t="s">
        <v>47</v>
      </c>
      <c r="Q613" t="str">
        <f>LEFT(B613,3)</f>
        <v>MKO</v>
      </c>
    </row>
    <row r="614" spans="1:17">
      <c r="A614" s="17" t="s">
        <v>3098</v>
      </c>
      <c r="B614" s="17" t="s">
        <v>1208</v>
      </c>
      <c r="C614" s="13" t="s">
        <v>1210</v>
      </c>
      <c r="D614" s="13" t="s">
        <v>1210</v>
      </c>
      <c r="E614" s="17" t="s">
        <v>123</v>
      </c>
      <c r="F614" s="17" t="s">
        <v>68</v>
      </c>
      <c r="G614" s="17" t="s">
        <v>68</v>
      </c>
      <c r="H614" s="7">
        <v>202231.01427000001</v>
      </c>
      <c r="I614" s="7">
        <v>432673.04285999999</v>
      </c>
      <c r="J614" s="80">
        <v>164.106805417939</v>
      </c>
      <c r="K614" s="80">
        <v>-20.290824097968802</v>
      </c>
      <c r="L614" s="71">
        <v>130</v>
      </c>
      <c r="M614" s="73">
        <v>1</v>
      </c>
      <c r="N614" s="73">
        <v>1</v>
      </c>
      <c r="O614" s="73">
        <v>1</v>
      </c>
      <c r="P614" s="17" t="s">
        <v>47</v>
      </c>
      <c r="Q614" t="str">
        <f>LEFT(B614,3)</f>
        <v>MLB</v>
      </c>
    </row>
    <row r="615" spans="1:17">
      <c r="A615" s="17" t="s">
        <v>3099</v>
      </c>
      <c r="B615" s="17" t="s">
        <v>1212</v>
      </c>
      <c r="C615" s="13" t="s">
        <v>1213</v>
      </c>
      <c r="D615" s="13" t="s">
        <v>1213</v>
      </c>
      <c r="E615" s="17" t="s">
        <v>128</v>
      </c>
      <c r="F615" s="17" t="s">
        <v>129</v>
      </c>
      <c r="G615" s="17" t="s">
        <v>129</v>
      </c>
      <c r="H615" s="7">
        <v>444055.07504999998</v>
      </c>
      <c r="I615" s="7">
        <v>385949.18031000003</v>
      </c>
      <c r="J615" s="80">
        <v>166.42295761798499</v>
      </c>
      <c r="K615" s="80">
        <v>-20.723119682424699</v>
      </c>
      <c r="L615" s="71">
        <v>55</v>
      </c>
      <c r="M615" s="73">
        <v>1</v>
      </c>
      <c r="N615" s="73">
        <v>1</v>
      </c>
      <c r="O615" s="73">
        <v>1</v>
      </c>
      <c r="P615" s="17" t="s">
        <v>47</v>
      </c>
      <c r="Q615" t="str">
        <f>LEFT(B615,3)</f>
        <v>MLI</v>
      </c>
    </row>
    <row r="616" spans="1:17">
      <c r="A616" s="17" t="s">
        <v>3100</v>
      </c>
      <c r="B616" s="17" t="s">
        <v>1212</v>
      </c>
      <c r="C616" s="13" t="s">
        <v>1213</v>
      </c>
      <c r="D616" s="13" t="s">
        <v>1213</v>
      </c>
      <c r="E616" s="17" t="s">
        <v>128</v>
      </c>
      <c r="F616" s="17" t="s">
        <v>129</v>
      </c>
      <c r="G616" s="17" t="s">
        <v>129</v>
      </c>
      <c r="H616" s="7">
        <v>444055.07504999998</v>
      </c>
      <c r="I616" s="7">
        <v>385949.18031000003</v>
      </c>
      <c r="J616" s="80">
        <v>166.42295761798499</v>
      </c>
      <c r="K616" s="80">
        <v>-20.723119682424699</v>
      </c>
      <c r="L616" s="71">
        <v>273</v>
      </c>
      <c r="M616" s="73">
        <v>1</v>
      </c>
      <c r="N616" s="73">
        <v>1</v>
      </c>
      <c r="O616" s="73">
        <v>1</v>
      </c>
      <c r="P616" s="17" t="s">
        <v>47</v>
      </c>
      <c r="Q616" t="str">
        <f>LEFT(B616,3)</f>
        <v>MLI</v>
      </c>
    </row>
    <row r="617" spans="1:17">
      <c r="A617" s="17" t="s">
        <v>3101</v>
      </c>
      <c r="B617" s="17" t="s">
        <v>1216</v>
      </c>
      <c r="C617" s="13" t="s">
        <v>1217</v>
      </c>
      <c r="D617" s="13" t="s">
        <v>1218</v>
      </c>
      <c r="E617" s="17" t="s">
        <v>93</v>
      </c>
      <c r="F617" s="17" t="s">
        <v>43</v>
      </c>
      <c r="G617" s="17" t="s">
        <v>50</v>
      </c>
      <c r="H617" s="7">
        <v>453977.91375000001</v>
      </c>
      <c r="I617" s="7">
        <v>219104.23235000001</v>
      </c>
      <c r="J617" s="80">
        <v>166.52358948455</v>
      </c>
      <c r="K617" s="80">
        <v>-22.2298207722461</v>
      </c>
      <c r="L617" s="71">
        <v>50</v>
      </c>
      <c r="M617" s="73">
        <v>1</v>
      </c>
      <c r="N617" s="73">
        <v>2</v>
      </c>
      <c r="O617" s="73">
        <v>1</v>
      </c>
      <c r="P617" s="17" t="s">
        <v>37</v>
      </c>
      <c r="Q617" t="str">
        <f>LEFT(B617,3)</f>
        <v>MMD</v>
      </c>
    </row>
    <row r="618" spans="1:17">
      <c r="A618" s="17" t="s">
        <v>3102</v>
      </c>
      <c r="B618" s="17" t="s">
        <v>1216</v>
      </c>
      <c r="C618" s="13" t="s">
        <v>1217</v>
      </c>
      <c r="D618" s="13" t="s">
        <v>1218</v>
      </c>
      <c r="E618" s="17" t="s">
        <v>93</v>
      </c>
      <c r="F618" s="17" t="s">
        <v>43</v>
      </c>
      <c r="G618" s="17" t="s">
        <v>50</v>
      </c>
      <c r="H618" s="7">
        <v>453977.91375000001</v>
      </c>
      <c r="I618" s="7">
        <v>219104.23235000001</v>
      </c>
      <c r="J618" s="80">
        <v>166.52358948455</v>
      </c>
      <c r="K618" s="80">
        <v>-22.2298207722461</v>
      </c>
      <c r="L618" s="71">
        <v>150</v>
      </c>
      <c r="M618" s="73">
        <v>1</v>
      </c>
      <c r="N618" s="73">
        <v>2</v>
      </c>
      <c r="O618" s="73">
        <v>1</v>
      </c>
      <c r="P618" s="17" t="s">
        <v>37</v>
      </c>
      <c r="Q618" t="str">
        <f>LEFT(B618,3)</f>
        <v>MMD</v>
      </c>
    </row>
    <row r="619" spans="1:17">
      <c r="A619" s="17" t="s">
        <v>3103</v>
      </c>
      <c r="B619" s="17" t="s">
        <v>1216</v>
      </c>
      <c r="C619" s="13" t="s">
        <v>1217</v>
      </c>
      <c r="D619" s="13" t="s">
        <v>1218</v>
      </c>
      <c r="E619" s="17" t="s">
        <v>93</v>
      </c>
      <c r="F619" s="17" t="s">
        <v>43</v>
      </c>
      <c r="G619" s="17" t="s">
        <v>50</v>
      </c>
      <c r="H619" s="7">
        <v>453977.91375000001</v>
      </c>
      <c r="I619" s="7">
        <v>219104.23235000001</v>
      </c>
      <c r="J619" s="80">
        <v>166.52358948455</v>
      </c>
      <c r="K619" s="80">
        <v>-22.2298207722461</v>
      </c>
      <c r="L619" s="71">
        <v>340</v>
      </c>
      <c r="M619" s="73">
        <v>1</v>
      </c>
      <c r="N619" s="73">
        <v>2</v>
      </c>
      <c r="O619" s="73">
        <v>1</v>
      </c>
      <c r="P619" s="17" t="s">
        <v>37</v>
      </c>
      <c r="Q619" t="str">
        <f>LEFT(B619,3)</f>
        <v>MMD</v>
      </c>
    </row>
    <row r="620" spans="1:17">
      <c r="A620" s="13" t="s">
        <v>3104</v>
      </c>
      <c r="B620" s="13" t="s">
        <v>1220</v>
      </c>
      <c r="C620" s="13" t="s">
        <v>1221</v>
      </c>
      <c r="D620" s="13" t="s">
        <v>1222</v>
      </c>
      <c r="E620" s="17" t="s">
        <v>56</v>
      </c>
      <c r="F620" s="17" t="s">
        <v>43</v>
      </c>
      <c r="G620" s="17" t="s">
        <v>50</v>
      </c>
      <c r="H620" s="7">
        <v>438495</v>
      </c>
      <c r="I620" s="7">
        <v>234043</v>
      </c>
      <c r="J620" s="80">
        <v>166.37305843057601</v>
      </c>
      <c r="K620" s="80">
        <v>-22.095306385950501</v>
      </c>
      <c r="L620" s="71">
        <v>90</v>
      </c>
      <c r="M620" s="73">
        <v>1</v>
      </c>
      <c r="N620" s="73">
        <v>2</v>
      </c>
      <c r="O620" s="73">
        <v>1</v>
      </c>
      <c r="P620" s="17" t="s">
        <v>47</v>
      </c>
      <c r="Q620" t="str">
        <f>LEFT(B620,3)</f>
        <v>MME</v>
      </c>
    </row>
    <row r="621" spans="1:17">
      <c r="A621" s="13" t="s">
        <v>3105</v>
      </c>
      <c r="B621" s="13" t="s">
        <v>1220</v>
      </c>
      <c r="C621" s="13" t="s">
        <v>1221</v>
      </c>
      <c r="D621" s="13" t="s">
        <v>1222</v>
      </c>
      <c r="E621" s="17" t="s">
        <v>56</v>
      </c>
      <c r="F621" s="17" t="s">
        <v>43</v>
      </c>
      <c r="G621" s="17" t="s">
        <v>50</v>
      </c>
      <c r="H621" s="7">
        <v>438495</v>
      </c>
      <c r="I621" s="7">
        <v>234043</v>
      </c>
      <c r="J621" s="80">
        <v>166.37305843057601</v>
      </c>
      <c r="K621" s="80">
        <v>-22.095306385950501</v>
      </c>
      <c r="L621" s="71">
        <v>190</v>
      </c>
      <c r="M621" s="73">
        <v>1</v>
      </c>
      <c r="N621" s="73">
        <v>2</v>
      </c>
      <c r="O621" s="73">
        <v>1</v>
      </c>
      <c r="P621" s="17" t="s">
        <v>47</v>
      </c>
      <c r="Q621" t="str">
        <f>LEFT(B621,3)</f>
        <v>MME</v>
      </c>
    </row>
    <row r="622" spans="1:17">
      <c r="A622" s="13" t="s">
        <v>3106</v>
      </c>
      <c r="B622" s="13" t="s">
        <v>1220</v>
      </c>
      <c r="C622" s="13" t="s">
        <v>1221</v>
      </c>
      <c r="D622" s="13" t="s">
        <v>1222</v>
      </c>
      <c r="E622" s="17" t="s">
        <v>56</v>
      </c>
      <c r="F622" s="17" t="s">
        <v>43</v>
      </c>
      <c r="G622" s="17" t="s">
        <v>50</v>
      </c>
      <c r="H622" s="7">
        <v>438495</v>
      </c>
      <c r="I622" s="7">
        <v>234043</v>
      </c>
      <c r="J622" s="80">
        <v>166.37305843057601</v>
      </c>
      <c r="K622" s="80">
        <v>-22.095306385950501</v>
      </c>
      <c r="L622" s="71">
        <v>290</v>
      </c>
      <c r="M622" s="73">
        <v>1</v>
      </c>
      <c r="N622" s="73">
        <v>2</v>
      </c>
      <c r="O622" s="73">
        <v>1</v>
      </c>
      <c r="P622" s="17" t="s">
        <v>47</v>
      </c>
      <c r="Q622" t="str">
        <f>LEFT(B622,3)</f>
        <v>MME</v>
      </c>
    </row>
    <row r="623" spans="1:17">
      <c r="A623" s="13" t="s">
        <v>3107</v>
      </c>
      <c r="B623" s="13" t="s">
        <v>1224</v>
      </c>
      <c r="C623" s="13" t="s">
        <v>1225</v>
      </c>
      <c r="D623" s="13" t="s">
        <v>1225</v>
      </c>
      <c r="E623" s="17" t="s">
        <v>56</v>
      </c>
      <c r="F623" s="17" t="s">
        <v>43</v>
      </c>
      <c r="G623" s="17" t="s">
        <v>50</v>
      </c>
      <c r="H623" s="7">
        <v>438335</v>
      </c>
      <c r="I623" s="7">
        <v>233642.9688</v>
      </c>
      <c r="J623" s="80">
        <v>166.37151707488599</v>
      </c>
      <c r="K623" s="80">
        <v>-22.098922340839302</v>
      </c>
      <c r="L623" s="71">
        <v>85</v>
      </c>
      <c r="M623" s="73">
        <v>2</v>
      </c>
      <c r="N623" s="73">
        <v>2</v>
      </c>
      <c r="O623" s="73">
        <v>1</v>
      </c>
      <c r="P623" s="17" t="s">
        <v>47</v>
      </c>
      <c r="Q623" t="str">
        <f>LEFT(B623,3)</f>
        <v>MMO</v>
      </c>
    </row>
    <row r="624" spans="1:17">
      <c r="A624" s="13" t="s">
        <v>3108</v>
      </c>
      <c r="B624" s="13" t="s">
        <v>1224</v>
      </c>
      <c r="C624" s="13" t="s">
        <v>1225</v>
      </c>
      <c r="D624" s="13" t="s">
        <v>1225</v>
      </c>
      <c r="E624" s="17" t="s">
        <v>56</v>
      </c>
      <c r="F624" s="17" t="s">
        <v>43</v>
      </c>
      <c r="G624" s="17" t="s">
        <v>50</v>
      </c>
      <c r="H624" s="7">
        <v>438335</v>
      </c>
      <c r="I624" s="7">
        <v>233642.9688</v>
      </c>
      <c r="J624" s="80">
        <v>166.37151707488599</v>
      </c>
      <c r="K624" s="80">
        <v>-22.098922340839302</v>
      </c>
      <c r="L624" s="71">
        <v>160</v>
      </c>
      <c r="M624" s="73">
        <v>2</v>
      </c>
      <c r="N624" s="73">
        <v>2</v>
      </c>
      <c r="O624" s="73">
        <v>1</v>
      </c>
      <c r="P624" s="17" t="s">
        <v>47</v>
      </c>
      <c r="Q624" t="str">
        <f>LEFT(B624,3)</f>
        <v>MMO</v>
      </c>
    </row>
    <row r="625" spans="1:17">
      <c r="A625" s="13" t="s">
        <v>3109</v>
      </c>
      <c r="B625" s="13" t="s">
        <v>1224</v>
      </c>
      <c r="C625" s="13" t="s">
        <v>1225</v>
      </c>
      <c r="D625" s="13" t="s">
        <v>1225</v>
      </c>
      <c r="E625" s="17" t="s">
        <v>56</v>
      </c>
      <c r="F625" s="17" t="s">
        <v>43</v>
      </c>
      <c r="G625" s="17" t="s">
        <v>50</v>
      </c>
      <c r="H625" s="7">
        <v>438335</v>
      </c>
      <c r="I625" s="7">
        <v>233642.9688</v>
      </c>
      <c r="J625" s="80">
        <v>166.37151707488599</v>
      </c>
      <c r="K625" s="80">
        <v>-22.098922340839302</v>
      </c>
      <c r="L625" s="71">
        <v>300</v>
      </c>
      <c r="M625" s="73">
        <v>2</v>
      </c>
      <c r="N625" s="73">
        <v>2</v>
      </c>
      <c r="O625" s="73">
        <v>1</v>
      </c>
      <c r="P625" s="17" t="s">
        <v>47</v>
      </c>
      <c r="Q625" t="str">
        <f>LEFT(B625,3)</f>
        <v>MMO</v>
      </c>
    </row>
    <row r="626" spans="1:17">
      <c r="A626" s="17" t="s">
        <v>3110</v>
      </c>
      <c r="B626" s="17" t="s">
        <v>1227</v>
      </c>
      <c r="C626" s="13" t="s">
        <v>1229</v>
      </c>
      <c r="D626" s="13" t="s">
        <v>1228</v>
      </c>
      <c r="E626" s="17" t="s">
        <v>29</v>
      </c>
      <c r="F626" s="17" t="s">
        <v>43</v>
      </c>
      <c r="G626" s="17" t="s">
        <v>30</v>
      </c>
      <c r="H626" s="7">
        <v>446894</v>
      </c>
      <c r="I626" s="7">
        <v>211347</v>
      </c>
      <c r="J626" s="80">
        <v>166.45509376971299</v>
      </c>
      <c r="K626" s="80">
        <v>-22.300072681200099</v>
      </c>
      <c r="L626" s="71">
        <v>15</v>
      </c>
      <c r="M626" s="73">
        <v>2</v>
      </c>
      <c r="N626" s="73">
        <v>2</v>
      </c>
      <c r="O626" s="73">
        <v>1</v>
      </c>
      <c r="P626" s="17" t="s">
        <v>37</v>
      </c>
      <c r="Q626" t="str">
        <f>LEFT(B626,3)</f>
        <v>MMR</v>
      </c>
    </row>
    <row r="627" spans="1:17">
      <c r="A627" s="17" t="s">
        <v>3111</v>
      </c>
      <c r="B627" s="17" t="s">
        <v>1227</v>
      </c>
      <c r="C627" s="13" t="s">
        <v>1229</v>
      </c>
      <c r="D627" s="13" t="s">
        <v>1228</v>
      </c>
      <c r="E627" s="17" t="s">
        <v>29</v>
      </c>
      <c r="F627" s="17" t="s">
        <v>43</v>
      </c>
      <c r="G627" s="17" t="s">
        <v>30</v>
      </c>
      <c r="H627" s="7">
        <v>446894</v>
      </c>
      <c r="I627" s="7">
        <v>211347</v>
      </c>
      <c r="J627" s="80">
        <v>166.45509376971299</v>
      </c>
      <c r="K627" s="80">
        <v>-22.300072681200099</v>
      </c>
      <c r="L627" s="71">
        <v>150</v>
      </c>
      <c r="M627" s="73">
        <v>2</v>
      </c>
      <c r="N627" s="73">
        <v>2</v>
      </c>
      <c r="O627" s="73">
        <v>1</v>
      </c>
      <c r="P627" s="17" t="s">
        <v>37</v>
      </c>
      <c r="Q627" t="str">
        <f>LEFT(B627,3)</f>
        <v>MMR</v>
      </c>
    </row>
    <row r="628" spans="1:17">
      <c r="A628" s="17" t="s">
        <v>3112</v>
      </c>
      <c r="B628" s="17" t="s">
        <v>1227</v>
      </c>
      <c r="C628" s="13" t="s">
        <v>1229</v>
      </c>
      <c r="D628" s="13" t="s">
        <v>1228</v>
      </c>
      <c r="E628" s="17" t="s">
        <v>29</v>
      </c>
      <c r="F628" s="17" t="s">
        <v>43</v>
      </c>
      <c r="G628" s="17" t="s">
        <v>30</v>
      </c>
      <c r="H628" s="7">
        <v>446894</v>
      </c>
      <c r="I628" s="7">
        <v>211347</v>
      </c>
      <c r="J628" s="80">
        <v>166.45509376971299</v>
      </c>
      <c r="K628" s="80">
        <v>-22.300072681200099</v>
      </c>
      <c r="L628" s="71">
        <v>260</v>
      </c>
      <c r="M628" s="73">
        <v>2</v>
      </c>
      <c r="N628" s="73">
        <v>2</v>
      </c>
      <c r="O628" s="73">
        <v>1</v>
      </c>
      <c r="P628" s="17" t="s">
        <v>37</v>
      </c>
      <c r="Q628" t="str">
        <f>LEFT(B628,3)</f>
        <v>MMR</v>
      </c>
    </row>
    <row r="629" spans="1:17">
      <c r="A629" s="17" t="s">
        <v>3113</v>
      </c>
      <c r="B629" s="17" t="s">
        <v>1231</v>
      </c>
      <c r="C629" s="13" t="s">
        <v>1232</v>
      </c>
      <c r="D629" s="13" t="s">
        <v>1232</v>
      </c>
      <c r="E629" s="17" t="s">
        <v>602</v>
      </c>
      <c r="F629" s="17" t="s">
        <v>43</v>
      </c>
      <c r="G629" s="17" t="s">
        <v>43</v>
      </c>
      <c r="H629" s="7">
        <v>389092.04551999999</v>
      </c>
      <c r="I629" s="7">
        <v>279833.93235000002</v>
      </c>
      <c r="J629" s="80">
        <v>165.89458866086801</v>
      </c>
      <c r="K629" s="80">
        <v>-21.682112860008498</v>
      </c>
      <c r="L629" s="71">
        <v>24</v>
      </c>
      <c r="M629" s="73">
        <v>1</v>
      </c>
      <c r="N629" s="73">
        <v>1</v>
      </c>
      <c r="O629" s="73">
        <v>1</v>
      </c>
      <c r="P629" s="17" t="s">
        <v>47</v>
      </c>
      <c r="Q629" t="str">
        <f>LEFT(B629,3)</f>
        <v>MMU</v>
      </c>
    </row>
    <row r="630" spans="1:17">
      <c r="A630" s="17" t="s">
        <v>3114</v>
      </c>
      <c r="B630" s="17" t="s">
        <v>1231</v>
      </c>
      <c r="C630" s="13" t="s">
        <v>1232</v>
      </c>
      <c r="D630" s="13" t="s">
        <v>1232</v>
      </c>
      <c r="E630" s="17" t="s">
        <v>602</v>
      </c>
      <c r="F630" s="17" t="s">
        <v>43</v>
      </c>
      <c r="G630" s="17" t="s">
        <v>43</v>
      </c>
      <c r="H630" s="7">
        <v>389092.04551999999</v>
      </c>
      <c r="I630" s="7">
        <v>279833.93235000002</v>
      </c>
      <c r="J630" s="80">
        <v>165.89458866086801</v>
      </c>
      <c r="K630" s="80">
        <v>-21.682112860008498</v>
      </c>
      <c r="L630" s="71">
        <v>121</v>
      </c>
      <c r="M630" s="73">
        <v>1</v>
      </c>
      <c r="N630" s="73">
        <v>1</v>
      </c>
      <c r="O630" s="73">
        <v>1</v>
      </c>
      <c r="P630" s="17" t="s">
        <v>47</v>
      </c>
      <c r="Q630" t="str">
        <f>LEFT(B630,3)</f>
        <v>MMU</v>
      </c>
    </row>
    <row r="631" spans="1:17">
      <c r="A631" s="17" t="s">
        <v>3115</v>
      </c>
      <c r="B631" s="17" t="s">
        <v>1231</v>
      </c>
      <c r="C631" s="13" t="s">
        <v>1232</v>
      </c>
      <c r="D631" s="13" t="s">
        <v>1232</v>
      </c>
      <c r="E631" s="17" t="s">
        <v>602</v>
      </c>
      <c r="F631" s="17" t="s">
        <v>43</v>
      </c>
      <c r="G631" s="17" t="s">
        <v>43</v>
      </c>
      <c r="H631" s="7">
        <v>389092.04551999999</v>
      </c>
      <c r="I631" s="7">
        <v>279833.93235000002</v>
      </c>
      <c r="J631" s="80">
        <v>165.89458866086801</v>
      </c>
      <c r="K631" s="80">
        <v>-21.682112860008498</v>
      </c>
      <c r="L631" s="71">
        <v>237</v>
      </c>
      <c r="M631" s="73">
        <v>1</v>
      </c>
      <c r="N631" s="73">
        <v>1</v>
      </c>
      <c r="O631" s="73">
        <v>1</v>
      </c>
      <c r="P631" s="17" t="s">
        <v>47</v>
      </c>
      <c r="Q631" t="str">
        <f>LEFT(B631,3)</f>
        <v>MMU</v>
      </c>
    </row>
    <row r="632" spans="1:17">
      <c r="A632" s="17" t="s">
        <v>3116</v>
      </c>
      <c r="B632" s="17" t="s">
        <v>1235</v>
      </c>
      <c r="C632" s="13" t="s">
        <v>1236</v>
      </c>
      <c r="D632" s="13" t="s">
        <v>1237</v>
      </c>
      <c r="E632" s="17" t="s">
        <v>978</v>
      </c>
      <c r="F632" s="17" t="s">
        <v>68</v>
      </c>
      <c r="G632" s="17" t="s">
        <v>68</v>
      </c>
      <c r="H632" s="7">
        <v>300594</v>
      </c>
      <c r="I632" s="7">
        <v>385247</v>
      </c>
      <c r="J632" s="79">
        <v>165.04560000000001</v>
      </c>
      <c r="K632" s="79">
        <v>-20.727260000000001</v>
      </c>
      <c r="L632" s="71">
        <v>118</v>
      </c>
      <c r="M632" s="73">
        <v>1</v>
      </c>
      <c r="N632" s="73">
        <v>1</v>
      </c>
      <c r="O632" s="73">
        <v>1</v>
      </c>
      <c r="P632" s="17" t="s">
        <v>47</v>
      </c>
      <c r="Q632" t="str">
        <f>LEFT(B632,3)</f>
        <v>MNA</v>
      </c>
    </row>
    <row r="633" spans="1:17">
      <c r="A633" s="17" t="s">
        <v>3117</v>
      </c>
      <c r="B633" s="17" t="s">
        <v>1235</v>
      </c>
      <c r="C633" s="13" t="s">
        <v>1236</v>
      </c>
      <c r="D633" s="13" t="s">
        <v>1237</v>
      </c>
      <c r="E633" s="17" t="s">
        <v>978</v>
      </c>
      <c r="F633" s="17" t="s">
        <v>68</v>
      </c>
      <c r="G633" s="17" t="s">
        <v>68</v>
      </c>
      <c r="H633" s="7">
        <v>300594</v>
      </c>
      <c r="I633" s="7">
        <v>385247</v>
      </c>
      <c r="J633" s="79">
        <v>165.04560000000001</v>
      </c>
      <c r="K633" s="79">
        <v>-20.727260000000001</v>
      </c>
      <c r="L633" s="71">
        <v>185</v>
      </c>
      <c r="M633" s="73">
        <v>1</v>
      </c>
      <c r="N633" s="73">
        <v>1</v>
      </c>
      <c r="O633" s="73">
        <v>1</v>
      </c>
      <c r="P633" s="17" t="s">
        <v>47</v>
      </c>
      <c r="Q633" t="str">
        <f>LEFT(B633,3)</f>
        <v>MNA</v>
      </c>
    </row>
    <row r="634" spans="1:17">
      <c r="A634" s="17" t="s">
        <v>3118</v>
      </c>
      <c r="B634" s="17" t="s">
        <v>1235</v>
      </c>
      <c r="C634" s="13" t="s">
        <v>1236</v>
      </c>
      <c r="D634" s="13" t="s">
        <v>1237</v>
      </c>
      <c r="E634" s="17" t="s">
        <v>978</v>
      </c>
      <c r="F634" s="17" t="s">
        <v>68</v>
      </c>
      <c r="G634" s="17" t="s">
        <v>68</v>
      </c>
      <c r="H634" s="7">
        <v>300594</v>
      </c>
      <c r="I634" s="7">
        <v>385247</v>
      </c>
      <c r="J634" s="79">
        <v>165.04560000000001</v>
      </c>
      <c r="K634" s="79">
        <v>-20.727260000000001</v>
      </c>
      <c r="L634" s="71">
        <v>285</v>
      </c>
      <c r="M634" s="73">
        <v>1</v>
      </c>
      <c r="N634" s="73">
        <v>1</v>
      </c>
      <c r="O634" s="73">
        <v>1</v>
      </c>
      <c r="P634" s="17" t="s">
        <v>47</v>
      </c>
      <c r="Q634" t="str">
        <f>LEFT(B634,3)</f>
        <v>MNA</v>
      </c>
    </row>
    <row r="635" spans="1:17">
      <c r="A635" s="17" t="s">
        <v>3119</v>
      </c>
      <c r="B635" s="17" t="s">
        <v>1239</v>
      </c>
      <c r="C635" s="13" t="s">
        <v>1240</v>
      </c>
      <c r="D635" s="13" t="s">
        <v>1241</v>
      </c>
      <c r="E635" s="17" t="s">
        <v>29</v>
      </c>
      <c r="F635" s="17" t="s">
        <v>43</v>
      </c>
      <c r="G635" s="17" t="s">
        <v>30</v>
      </c>
      <c r="H635" s="7">
        <v>446275</v>
      </c>
      <c r="I635" s="7">
        <v>211198</v>
      </c>
      <c r="J635" s="79">
        <v>166.44908899999999</v>
      </c>
      <c r="K635" s="79">
        <v>-22.301438999999998</v>
      </c>
      <c r="L635" s="71">
        <v>0</v>
      </c>
      <c r="M635" s="73">
        <v>3</v>
      </c>
      <c r="N635" s="73">
        <v>0</v>
      </c>
      <c r="O635" s="73">
        <v>0</v>
      </c>
      <c r="P635" s="17" t="s">
        <v>37</v>
      </c>
      <c r="Q635" t="str">
        <f>LEFT(B635,3)</f>
        <v>MOB</v>
      </c>
    </row>
    <row r="636" spans="1:17">
      <c r="A636" s="17" t="s">
        <v>3120</v>
      </c>
      <c r="B636" s="17" t="s">
        <v>1239</v>
      </c>
      <c r="C636" s="13" t="s">
        <v>1240</v>
      </c>
      <c r="D636" s="13" t="s">
        <v>1241</v>
      </c>
      <c r="E636" s="17" t="s">
        <v>29</v>
      </c>
      <c r="F636" s="17" t="s">
        <v>43</v>
      </c>
      <c r="G636" s="17" t="s">
        <v>30</v>
      </c>
      <c r="H636" s="7">
        <v>446275</v>
      </c>
      <c r="I636" s="7">
        <v>211198</v>
      </c>
      <c r="J636" s="79">
        <v>166.44908899999999</v>
      </c>
      <c r="K636" s="79">
        <v>-22.301438999999998</v>
      </c>
      <c r="L636" s="71">
        <v>120</v>
      </c>
      <c r="M636" s="73">
        <v>3</v>
      </c>
      <c r="N636" s="73">
        <v>0</v>
      </c>
      <c r="O636" s="73">
        <v>0</v>
      </c>
      <c r="P636" s="17" t="s">
        <v>37</v>
      </c>
      <c r="Q636" t="str">
        <f>LEFT(B636,3)</f>
        <v>MOB</v>
      </c>
    </row>
    <row r="637" spans="1:17">
      <c r="A637" s="17" t="s">
        <v>3121</v>
      </c>
      <c r="B637" s="17" t="s">
        <v>1239</v>
      </c>
      <c r="C637" s="13" t="s">
        <v>1240</v>
      </c>
      <c r="D637" s="13" t="s">
        <v>1241</v>
      </c>
      <c r="E637" s="17" t="s">
        <v>29</v>
      </c>
      <c r="F637" s="17" t="s">
        <v>43</v>
      </c>
      <c r="G637" s="17" t="s">
        <v>30</v>
      </c>
      <c r="H637" s="7">
        <v>446275</v>
      </c>
      <c r="I637" s="7">
        <v>211198</v>
      </c>
      <c r="J637" s="79">
        <v>166.44908899999999</v>
      </c>
      <c r="K637" s="79">
        <v>-22.301438999999998</v>
      </c>
      <c r="L637" s="71">
        <v>240</v>
      </c>
      <c r="M637" s="73">
        <v>3</v>
      </c>
      <c r="N637" s="73">
        <v>0</v>
      </c>
      <c r="O637" s="73">
        <v>0</v>
      </c>
      <c r="P637" s="17" t="s">
        <v>37</v>
      </c>
      <c r="Q637" t="str">
        <f>LEFT(B637,3)</f>
        <v>MOB</v>
      </c>
    </row>
    <row r="638" spans="1:17">
      <c r="A638" s="17" t="s">
        <v>3122</v>
      </c>
      <c r="B638" s="17" t="s">
        <v>1243</v>
      </c>
      <c r="C638" s="13" t="s">
        <v>1244</v>
      </c>
      <c r="D638" s="13" t="s">
        <v>1244</v>
      </c>
      <c r="E638" s="17" t="s">
        <v>29</v>
      </c>
      <c r="F638" s="17" t="s">
        <v>43</v>
      </c>
      <c r="G638" s="17" t="s">
        <v>30</v>
      </c>
      <c r="H638" s="7">
        <v>445197.74446000002</v>
      </c>
      <c r="I638" s="7">
        <v>211903.91047999999</v>
      </c>
      <c r="J638" s="80">
        <v>166.43861946301101</v>
      </c>
      <c r="K638" s="80">
        <v>-22.2950863800496</v>
      </c>
      <c r="L638" s="71">
        <v>180</v>
      </c>
      <c r="M638" s="73">
        <v>3</v>
      </c>
      <c r="N638" s="73">
        <v>2</v>
      </c>
      <c r="O638" s="73">
        <v>1</v>
      </c>
      <c r="P638" s="17" t="s">
        <v>37</v>
      </c>
      <c r="Q638" t="str">
        <f>LEFT(B638,3)</f>
        <v>MOC</v>
      </c>
    </row>
    <row r="639" spans="1:17">
      <c r="A639" s="17" t="s">
        <v>3123</v>
      </c>
      <c r="B639" s="17" t="s">
        <v>1243</v>
      </c>
      <c r="C639" s="13" t="s">
        <v>1244</v>
      </c>
      <c r="D639" s="13" t="s">
        <v>1244</v>
      </c>
      <c r="E639" s="17" t="s">
        <v>29</v>
      </c>
      <c r="F639" s="17" t="s">
        <v>43</v>
      </c>
      <c r="G639" s="17" t="s">
        <v>30</v>
      </c>
      <c r="H639" s="7">
        <v>445197.74446000002</v>
      </c>
      <c r="I639" s="7">
        <v>211903.91047999999</v>
      </c>
      <c r="J639" s="80">
        <v>166.43861946301101</v>
      </c>
      <c r="K639" s="80">
        <v>-22.2950863800496</v>
      </c>
      <c r="L639" s="71">
        <v>350</v>
      </c>
      <c r="M639" s="73">
        <v>3</v>
      </c>
      <c r="N639" s="73">
        <v>2</v>
      </c>
      <c r="O639" s="73">
        <v>1</v>
      </c>
      <c r="P639" s="17" t="s">
        <v>37</v>
      </c>
      <c r="Q639" t="str">
        <f>LEFT(B639,3)</f>
        <v>MOC</v>
      </c>
    </row>
    <row r="640" spans="1:17">
      <c r="A640" s="13" t="s">
        <v>3124</v>
      </c>
      <c r="B640" s="13" t="s">
        <v>1247</v>
      </c>
      <c r="C640" s="13" t="s">
        <v>1248</v>
      </c>
      <c r="D640" s="13" t="s">
        <v>1248</v>
      </c>
      <c r="E640" s="17" t="s">
        <v>148</v>
      </c>
      <c r="F640" s="17" t="s">
        <v>68</v>
      </c>
      <c r="G640" s="17" t="s">
        <v>68</v>
      </c>
      <c r="H640" s="7">
        <v>325994.98489999998</v>
      </c>
      <c r="I640" s="7">
        <v>325215.91470000002</v>
      </c>
      <c r="J640" s="80">
        <v>165.28684545463301</v>
      </c>
      <c r="K640" s="80">
        <v>-21.270710526030498</v>
      </c>
      <c r="L640" s="71">
        <v>140</v>
      </c>
      <c r="M640" s="73">
        <v>1</v>
      </c>
      <c r="N640" s="73">
        <v>1</v>
      </c>
      <c r="O640" s="73">
        <v>1</v>
      </c>
      <c r="P640" s="17" t="s">
        <v>47</v>
      </c>
      <c r="Q640" t="str">
        <f>LEFT(B640,3)</f>
        <v>MOF</v>
      </c>
    </row>
    <row r="641" spans="1:17">
      <c r="A641" s="13" t="s">
        <v>3125</v>
      </c>
      <c r="B641" s="13" t="s">
        <v>1247</v>
      </c>
      <c r="C641" s="13" t="s">
        <v>1248</v>
      </c>
      <c r="D641" s="13" t="s">
        <v>1248</v>
      </c>
      <c r="E641" s="17" t="s">
        <v>148</v>
      </c>
      <c r="F641" s="17" t="s">
        <v>68</v>
      </c>
      <c r="G641" s="17" t="s">
        <v>68</v>
      </c>
      <c r="H641" s="7">
        <v>325994.98489999998</v>
      </c>
      <c r="I641" s="7">
        <v>325215.91470000002</v>
      </c>
      <c r="J641" s="80">
        <v>165.28684545463301</v>
      </c>
      <c r="K641" s="80">
        <v>-21.270710526030498</v>
      </c>
      <c r="L641" s="71">
        <v>300</v>
      </c>
      <c r="M641" s="73">
        <v>1</v>
      </c>
      <c r="N641" s="73">
        <v>1</v>
      </c>
      <c r="O641" s="73">
        <v>1</v>
      </c>
      <c r="P641" s="17" t="s">
        <v>47</v>
      </c>
      <c r="Q641" t="str">
        <f>LEFT(B641,3)</f>
        <v>MOF</v>
      </c>
    </row>
    <row r="642" spans="1:17">
      <c r="A642" s="17" t="s">
        <v>3126</v>
      </c>
      <c r="B642" s="17" t="s">
        <v>1251</v>
      </c>
      <c r="C642" s="13" t="s">
        <v>421</v>
      </c>
      <c r="D642" s="13" t="s">
        <v>421</v>
      </c>
      <c r="E642" s="17" t="s">
        <v>421</v>
      </c>
      <c r="F642" s="17" t="s">
        <v>43</v>
      </c>
      <c r="G642" s="17" t="s">
        <v>43</v>
      </c>
      <c r="H642" s="7">
        <v>366629.76136</v>
      </c>
      <c r="I642" s="7">
        <v>278773.58786000003</v>
      </c>
      <c r="J642" s="80">
        <v>165.67750252668699</v>
      </c>
      <c r="K642" s="80">
        <v>-21.691409312824302</v>
      </c>
      <c r="L642" s="71">
        <v>142</v>
      </c>
      <c r="M642" s="73">
        <v>1</v>
      </c>
      <c r="N642" s="73">
        <v>2</v>
      </c>
      <c r="O642" s="73">
        <v>1</v>
      </c>
      <c r="P642" s="17" t="s">
        <v>47</v>
      </c>
      <c r="Q642" t="str">
        <f>LEFT(B642,3)</f>
        <v>MOI</v>
      </c>
    </row>
    <row r="643" spans="1:17">
      <c r="A643" s="17" t="s">
        <v>3127</v>
      </c>
      <c r="B643" s="17" t="s">
        <v>1251</v>
      </c>
      <c r="C643" s="13" t="s">
        <v>421</v>
      </c>
      <c r="D643" s="13" t="s">
        <v>421</v>
      </c>
      <c r="E643" s="17" t="s">
        <v>421</v>
      </c>
      <c r="F643" s="17" t="s">
        <v>43</v>
      </c>
      <c r="G643" s="17" t="s">
        <v>43</v>
      </c>
      <c r="H643" s="7">
        <v>366629.76136</v>
      </c>
      <c r="I643" s="7">
        <v>278773.58786000003</v>
      </c>
      <c r="J643" s="80">
        <v>165.67750252668699</v>
      </c>
      <c r="K643" s="80">
        <v>-21.691409312824302</v>
      </c>
      <c r="L643" s="71">
        <v>243</v>
      </c>
      <c r="M643" s="73">
        <v>1</v>
      </c>
      <c r="N643" s="73">
        <v>1</v>
      </c>
      <c r="O643" s="73">
        <v>1</v>
      </c>
      <c r="P643" s="17" t="s">
        <v>47</v>
      </c>
      <c r="Q643" t="str">
        <f>LEFT(B643,3)</f>
        <v>MOI</v>
      </c>
    </row>
    <row r="644" spans="1:17">
      <c r="A644" s="17" t="s">
        <v>3128</v>
      </c>
      <c r="B644" s="17" t="s">
        <v>1251</v>
      </c>
      <c r="C644" s="13" t="s">
        <v>421</v>
      </c>
      <c r="D644" s="13" t="s">
        <v>421</v>
      </c>
      <c r="E644" s="17" t="s">
        <v>421</v>
      </c>
      <c r="F644" s="17" t="s">
        <v>43</v>
      </c>
      <c r="G644" s="17" t="s">
        <v>43</v>
      </c>
      <c r="H644" s="7">
        <v>366629.76136</v>
      </c>
      <c r="I644" s="7">
        <v>278773.58786000003</v>
      </c>
      <c r="J644" s="80">
        <v>165.67750252668699</v>
      </c>
      <c r="K644" s="80">
        <v>-21.691409312824302</v>
      </c>
      <c r="L644" s="71">
        <v>341</v>
      </c>
      <c r="M644" s="73">
        <v>1</v>
      </c>
      <c r="N644" s="73">
        <v>1</v>
      </c>
      <c r="O644" s="73">
        <v>1</v>
      </c>
      <c r="P644" s="17" t="s">
        <v>47</v>
      </c>
      <c r="Q644" t="str">
        <f>LEFT(B644,3)</f>
        <v>MOI</v>
      </c>
    </row>
    <row r="645" spans="1:17">
      <c r="A645" s="13" t="s">
        <v>3129</v>
      </c>
      <c r="B645" s="13" t="s">
        <v>1254</v>
      </c>
      <c r="C645" s="13" t="s">
        <v>1255</v>
      </c>
      <c r="D645" s="2" t="s">
        <v>1256</v>
      </c>
      <c r="E645" s="17" t="s">
        <v>402</v>
      </c>
      <c r="F645" s="13" t="s">
        <v>68</v>
      </c>
      <c r="G645" s="17" t="s">
        <v>68</v>
      </c>
      <c r="H645" s="19">
        <v>341198</v>
      </c>
      <c r="I645" s="19">
        <v>319204</v>
      </c>
      <c r="J645" s="80">
        <v>165.43313873601099</v>
      </c>
      <c r="K645" s="80">
        <v>-21.325576332869201</v>
      </c>
      <c r="L645" s="71">
        <v>50</v>
      </c>
      <c r="M645" s="73">
        <v>1</v>
      </c>
      <c r="N645" s="73">
        <v>1</v>
      </c>
      <c r="O645" s="73">
        <v>1</v>
      </c>
      <c r="P645" s="17" t="s">
        <v>47</v>
      </c>
      <c r="Q645" t="str">
        <f>LEFT(B645,3)</f>
        <v>MOO</v>
      </c>
    </row>
    <row r="646" spans="1:17">
      <c r="A646" s="13" t="s">
        <v>3130</v>
      </c>
      <c r="B646" s="13" t="s">
        <v>1254</v>
      </c>
      <c r="C646" s="13" t="s">
        <v>1255</v>
      </c>
      <c r="D646" s="2" t="s">
        <v>1256</v>
      </c>
      <c r="E646" s="17" t="s">
        <v>402</v>
      </c>
      <c r="F646" s="13" t="s">
        <v>68</v>
      </c>
      <c r="G646" s="17" t="s">
        <v>68</v>
      </c>
      <c r="H646" s="19">
        <v>341198</v>
      </c>
      <c r="I646" s="19">
        <v>319204</v>
      </c>
      <c r="J646" s="80">
        <v>165.43313873601099</v>
      </c>
      <c r="K646" s="80">
        <v>-21.325576332869201</v>
      </c>
      <c r="L646" s="71">
        <v>120</v>
      </c>
      <c r="M646" s="73">
        <v>1</v>
      </c>
      <c r="N646" s="73">
        <v>1</v>
      </c>
      <c r="O646" s="73">
        <v>1</v>
      </c>
      <c r="P646" s="17" t="s">
        <v>47</v>
      </c>
      <c r="Q646" t="str">
        <f>LEFT(B646,3)</f>
        <v>MOO</v>
      </c>
    </row>
    <row r="647" spans="1:17">
      <c r="A647" s="13" t="s">
        <v>3131</v>
      </c>
      <c r="B647" s="13" t="s">
        <v>1254</v>
      </c>
      <c r="C647" s="13" t="s">
        <v>1255</v>
      </c>
      <c r="D647" s="2" t="s">
        <v>1256</v>
      </c>
      <c r="E647" s="17" t="s">
        <v>402</v>
      </c>
      <c r="F647" s="13" t="s">
        <v>68</v>
      </c>
      <c r="G647" s="17" t="s">
        <v>68</v>
      </c>
      <c r="H647" s="19">
        <v>341198</v>
      </c>
      <c r="I647" s="19">
        <v>319204</v>
      </c>
      <c r="J647" s="80">
        <v>165.43313873601099</v>
      </c>
      <c r="K647" s="80">
        <v>-21.325576332869201</v>
      </c>
      <c r="L647" s="71">
        <v>255</v>
      </c>
      <c r="M647" s="73">
        <v>1</v>
      </c>
      <c r="N647" s="73">
        <v>1</v>
      </c>
      <c r="O647" s="73">
        <v>1</v>
      </c>
      <c r="P647" s="17" t="s">
        <v>47</v>
      </c>
      <c r="Q647" t="str">
        <f>LEFT(B647,3)</f>
        <v>MOO</v>
      </c>
    </row>
    <row r="648" spans="1:17">
      <c r="A648" s="17" t="s">
        <v>3132</v>
      </c>
      <c r="B648" s="17" t="s">
        <v>1259</v>
      </c>
      <c r="C648" s="13" t="s">
        <v>1260</v>
      </c>
      <c r="D648" s="13" t="s">
        <v>1261</v>
      </c>
      <c r="E648" s="17" t="s">
        <v>373</v>
      </c>
      <c r="F648" s="17" t="s">
        <v>129</v>
      </c>
      <c r="G648" s="17" t="s">
        <v>129</v>
      </c>
      <c r="H648" s="7">
        <v>544390.06449999998</v>
      </c>
      <c r="I648" s="7">
        <v>344232.07874999999</v>
      </c>
      <c r="J648" s="80">
        <v>167.389768563372</v>
      </c>
      <c r="K648" s="80">
        <v>-21.094673006524999</v>
      </c>
      <c r="L648" s="71">
        <v>62</v>
      </c>
      <c r="M648" s="73">
        <v>1</v>
      </c>
      <c r="N648" s="73">
        <v>2</v>
      </c>
      <c r="O648" s="73">
        <v>1</v>
      </c>
      <c r="P648" s="17" t="s">
        <v>47</v>
      </c>
      <c r="Q648" t="str">
        <f>LEFT(B648,3)</f>
        <v>MOU</v>
      </c>
    </row>
    <row r="649" spans="1:17">
      <c r="A649" s="17" t="s">
        <v>3133</v>
      </c>
      <c r="B649" s="17" t="s">
        <v>1259</v>
      </c>
      <c r="C649" s="13" t="s">
        <v>1260</v>
      </c>
      <c r="D649" s="13" t="s">
        <v>1261</v>
      </c>
      <c r="E649" s="17" t="s">
        <v>373</v>
      </c>
      <c r="F649" s="17" t="s">
        <v>129</v>
      </c>
      <c r="G649" s="17" t="s">
        <v>129</v>
      </c>
      <c r="H649" s="7">
        <v>544390.06449999998</v>
      </c>
      <c r="I649" s="7">
        <v>344232.07874999999</v>
      </c>
      <c r="J649" s="80">
        <v>167.389768563372</v>
      </c>
      <c r="K649" s="80">
        <v>-21.094673006524999</v>
      </c>
      <c r="L649" s="71">
        <v>160</v>
      </c>
      <c r="M649" s="73">
        <v>1</v>
      </c>
      <c r="N649" s="73">
        <v>2</v>
      </c>
      <c r="O649" s="73">
        <v>1</v>
      </c>
      <c r="P649" s="17" t="s">
        <v>47</v>
      </c>
      <c r="Q649" t="str">
        <f>LEFT(B649,3)</f>
        <v>MOU</v>
      </c>
    </row>
    <row r="650" spans="1:17">
      <c r="A650" s="17" t="s">
        <v>3134</v>
      </c>
      <c r="B650" s="17" t="s">
        <v>1259</v>
      </c>
      <c r="C650" s="13" t="s">
        <v>1260</v>
      </c>
      <c r="D650" s="13" t="s">
        <v>1261</v>
      </c>
      <c r="E650" s="17" t="s">
        <v>373</v>
      </c>
      <c r="F650" s="17" t="s">
        <v>129</v>
      </c>
      <c r="G650" s="17" t="s">
        <v>129</v>
      </c>
      <c r="H650" s="7">
        <v>544390.06449999998</v>
      </c>
      <c r="I650" s="7">
        <v>344232.07874999999</v>
      </c>
      <c r="J650" s="80">
        <v>167.389768563372</v>
      </c>
      <c r="K650" s="80">
        <v>-21.094673006524999</v>
      </c>
      <c r="L650" s="71">
        <v>330</v>
      </c>
      <c r="M650" s="73">
        <v>1</v>
      </c>
      <c r="N650" s="73">
        <v>2</v>
      </c>
      <c r="O650" s="73">
        <v>1</v>
      </c>
      <c r="P650" s="17" t="s">
        <v>47</v>
      </c>
      <c r="Q650" t="str">
        <f>LEFT(B650,3)</f>
        <v>MOU</v>
      </c>
    </row>
    <row r="651" spans="1:17">
      <c r="A651" s="17" t="s">
        <v>3135</v>
      </c>
      <c r="B651" s="17" t="s">
        <v>1262</v>
      </c>
      <c r="C651" s="13" t="s">
        <v>1263</v>
      </c>
      <c r="D651" s="13" t="s">
        <v>1264</v>
      </c>
      <c r="E651" s="17" t="s">
        <v>56</v>
      </c>
      <c r="F651" s="17" t="s">
        <v>43</v>
      </c>
      <c r="G651" s="17" t="s">
        <v>50</v>
      </c>
      <c r="H651" s="7">
        <v>437279</v>
      </c>
      <c r="I651" s="7">
        <v>230308</v>
      </c>
      <c r="J651" s="79">
        <v>166.36135999999999</v>
      </c>
      <c r="K651" s="79">
        <v>-22.129059999999999</v>
      </c>
      <c r="L651" s="71">
        <v>118</v>
      </c>
      <c r="M651" s="73">
        <v>3</v>
      </c>
      <c r="N651" s="73">
        <v>2</v>
      </c>
      <c r="O651" s="73">
        <v>0</v>
      </c>
      <c r="P651" s="17" t="s">
        <v>37</v>
      </c>
      <c r="Q651" t="str">
        <f>LEFT(B651,3)</f>
        <v>MPA</v>
      </c>
    </row>
    <row r="652" spans="1:17">
      <c r="A652" s="17" t="s">
        <v>3136</v>
      </c>
      <c r="B652" s="17" t="s">
        <v>1262</v>
      </c>
      <c r="C652" s="13" t="s">
        <v>1263</v>
      </c>
      <c r="D652" s="13" t="s">
        <v>1264</v>
      </c>
      <c r="E652" s="17" t="s">
        <v>56</v>
      </c>
      <c r="F652" s="17" t="s">
        <v>43</v>
      </c>
      <c r="G652" s="17" t="s">
        <v>50</v>
      </c>
      <c r="H652" s="7">
        <v>437279</v>
      </c>
      <c r="I652" s="7">
        <v>230308</v>
      </c>
      <c r="J652" s="79">
        <v>166.36135999999999</v>
      </c>
      <c r="K652" s="79">
        <v>-22.129059999999999</v>
      </c>
      <c r="L652" s="71">
        <v>205</v>
      </c>
      <c r="M652" s="73">
        <v>3</v>
      </c>
      <c r="N652" s="73">
        <v>2</v>
      </c>
      <c r="O652" s="73">
        <v>0</v>
      </c>
      <c r="P652" s="17" t="s">
        <v>37</v>
      </c>
      <c r="Q652" t="str">
        <f>LEFT(B652,3)</f>
        <v>MPA</v>
      </c>
    </row>
    <row r="653" spans="1:17">
      <c r="A653" s="17" t="s">
        <v>3137</v>
      </c>
      <c r="B653" s="17" t="s">
        <v>1262</v>
      </c>
      <c r="C653" s="13" t="s">
        <v>1263</v>
      </c>
      <c r="D653" s="13" t="s">
        <v>1264</v>
      </c>
      <c r="E653" s="17" t="s">
        <v>56</v>
      </c>
      <c r="F653" s="17" t="s">
        <v>43</v>
      </c>
      <c r="G653" s="17" t="s">
        <v>50</v>
      </c>
      <c r="H653" s="7">
        <v>437279</v>
      </c>
      <c r="I653" s="7">
        <v>230308</v>
      </c>
      <c r="J653" s="79">
        <v>166.36135999999999</v>
      </c>
      <c r="K653" s="79">
        <v>-22.129059999999999</v>
      </c>
      <c r="L653" s="71">
        <v>297</v>
      </c>
      <c r="M653" s="73">
        <v>3</v>
      </c>
      <c r="N653" s="73">
        <v>2</v>
      </c>
      <c r="O653" s="73">
        <v>0</v>
      </c>
      <c r="P653" s="17" t="s">
        <v>37</v>
      </c>
      <c r="Q653" t="str">
        <f>LEFT(B653,3)</f>
        <v>MPA</v>
      </c>
    </row>
    <row r="654" spans="1:17">
      <c r="A654" s="2" t="s">
        <v>3138</v>
      </c>
      <c r="B654" s="2" t="s">
        <v>1266</v>
      </c>
      <c r="C654" s="6" t="s">
        <v>1267</v>
      </c>
      <c r="D654" s="6" t="s">
        <v>1267</v>
      </c>
      <c r="E654" s="2" t="s">
        <v>29</v>
      </c>
      <c r="F654" s="2" t="s">
        <v>43</v>
      </c>
      <c r="G654" s="2" t="s">
        <v>30</v>
      </c>
      <c r="H654" s="7">
        <v>446555</v>
      </c>
      <c r="I654" s="7">
        <v>216815</v>
      </c>
      <c r="J654" s="79">
        <v>166.451651</v>
      </c>
      <c r="K654" s="79">
        <v>-22.250700999999999</v>
      </c>
      <c r="L654" s="74">
        <v>105</v>
      </c>
      <c r="M654" s="73">
        <v>2</v>
      </c>
      <c r="N654" s="73">
        <v>2</v>
      </c>
      <c r="O654" s="73">
        <v>1</v>
      </c>
      <c r="P654" s="17" t="s">
        <v>37</v>
      </c>
      <c r="Q654" t="str">
        <f>LEFT(B654,3)</f>
        <v>MRA</v>
      </c>
    </row>
    <row r="655" spans="1:17">
      <c r="A655" s="2" t="s">
        <v>3139</v>
      </c>
      <c r="B655" s="2" t="s">
        <v>1266</v>
      </c>
      <c r="C655" s="6" t="s">
        <v>1267</v>
      </c>
      <c r="D655" s="6" t="s">
        <v>1267</v>
      </c>
      <c r="E655" s="2" t="s">
        <v>29</v>
      </c>
      <c r="F655" s="2" t="s">
        <v>43</v>
      </c>
      <c r="G655" s="2" t="s">
        <v>30</v>
      </c>
      <c r="H655" s="7">
        <v>446555</v>
      </c>
      <c r="I655" s="7">
        <v>216815</v>
      </c>
      <c r="J655" s="79">
        <v>166.451651</v>
      </c>
      <c r="K655" s="79">
        <v>-22.250700999999999</v>
      </c>
      <c r="L655" s="74">
        <v>340</v>
      </c>
      <c r="M655" s="73">
        <v>2</v>
      </c>
      <c r="N655" s="73">
        <v>2</v>
      </c>
      <c r="O655" s="73">
        <v>1</v>
      </c>
      <c r="P655" s="17" t="s">
        <v>37</v>
      </c>
      <c r="Q655" t="str">
        <f>LEFT(B655,3)</f>
        <v>MRA</v>
      </c>
    </row>
    <row r="656" spans="1:17">
      <c r="A656" s="17" t="s">
        <v>3140</v>
      </c>
      <c r="B656" s="17" t="s">
        <v>1270</v>
      </c>
      <c r="C656" s="13" t="s">
        <v>1271</v>
      </c>
      <c r="D656" s="13" t="s">
        <v>1271</v>
      </c>
      <c r="E656" s="17" t="s">
        <v>602</v>
      </c>
      <c r="F656" s="17" t="s">
        <v>43</v>
      </c>
      <c r="G656" s="17" t="s">
        <v>43</v>
      </c>
      <c r="H656" s="7">
        <v>384863.65919999999</v>
      </c>
      <c r="I656" s="7">
        <v>276781.51113</v>
      </c>
      <c r="J656" s="80">
        <v>165.85370307290501</v>
      </c>
      <c r="K656" s="80">
        <v>-21.709648334029598</v>
      </c>
      <c r="L656" s="71">
        <v>20</v>
      </c>
      <c r="M656" s="73">
        <v>2</v>
      </c>
      <c r="N656" s="73">
        <v>2</v>
      </c>
      <c r="O656" s="73">
        <v>1</v>
      </c>
      <c r="P656" s="17" t="s">
        <v>47</v>
      </c>
      <c r="Q656" t="str">
        <f>LEFT(B656,3)</f>
        <v>MRE</v>
      </c>
    </row>
    <row r="657" spans="1:17">
      <c r="A657" s="17" t="s">
        <v>3141</v>
      </c>
      <c r="B657" s="17" t="s">
        <v>1270</v>
      </c>
      <c r="C657" s="13" t="s">
        <v>1271</v>
      </c>
      <c r="D657" s="13" t="s">
        <v>1271</v>
      </c>
      <c r="E657" s="17" t="s">
        <v>602</v>
      </c>
      <c r="F657" s="17" t="s">
        <v>43</v>
      </c>
      <c r="G657" s="17" t="s">
        <v>43</v>
      </c>
      <c r="H657" s="7">
        <v>384863.65919999999</v>
      </c>
      <c r="I657" s="7">
        <v>276781.51113</v>
      </c>
      <c r="J657" s="80">
        <v>165.85370307290501</v>
      </c>
      <c r="K657" s="80">
        <v>-21.709648334029598</v>
      </c>
      <c r="L657" s="71">
        <v>125</v>
      </c>
      <c r="M657" s="73">
        <v>2</v>
      </c>
      <c r="N657" s="73">
        <v>2</v>
      </c>
      <c r="O657" s="73">
        <v>1</v>
      </c>
      <c r="P657" s="17" t="s">
        <v>47</v>
      </c>
      <c r="Q657" t="str">
        <f>LEFT(B657,3)</f>
        <v>MRE</v>
      </c>
    </row>
    <row r="658" spans="1:17">
      <c r="A658" s="17" t="s">
        <v>3142</v>
      </c>
      <c r="B658" s="17" t="s">
        <v>1270</v>
      </c>
      <c r="C658" s="13" t="s">
        <v>1271</v>
      </c>
      <c r="D658" s="13" t="s">
        <v>1271</v>
      </c>
      <c r="E658" s="17" t="s">
        <v>602</v>
      </c>
      <c r="F658" s="17" t="s">
        <v>43</v>
      </c>
      <c r="G658" s="17" t="s">
        <v>43</v>
      </c>
      <c r="H658" s="7">
        <v>384863.65919999999</v>
      </c>
      <c r="I658" s="7">
        <v>276781.51113</v>
      </c>
      <c r="J658" s="80">
        <v>165.85370307290501</v>
      </c>
      <c r="K658" s="80">
        <v>-21.709648334029598</v>
      </c>
      <c r="L658" s="71">
        <v>225</v>
      </c>
      <c r="M658" s="73">
        <v>1</v>
      </c>
      <c r="N658" s="73">
        <v>2</v>
      </c>
      <c r="O658" s="73">
        <v>1</v>
      </c>
      <c r="P658" s="17" t="s">
        <v>47</v>
      </c>
      <c r="Q658" t="str">
        <f>LEFT(B658,3)</f>
        <v>MRE</v>
      </c>
    </row>
    <row r="659" spans="1:17">
      <c r="A659" s="17" t="s">
        <v>3143</v>
      </c>
      <c r="B659" s="17" t="s">
        <v>1274</v>
      </c>
      <c r="C659" s="13" t="s">
        <v>1275</v>
      </c>
      <c r="D659" s="13" t="s">
        <v>1276</v>
      </c>
      <c r="E659" s="17" t="s">
        <v>93</v>
      </c>
      <c r="F659" s="17" t="s">
        <v>43</v>
      </c>
      <c r="G659" s="17" t="s">
        <v>50</v>
      </c>
      <c r="H659" s="7">
        <v>466367</v>
      </c>
      <c r="I659" s="7">
        <v>219730</v>
      </c>
      <c r="J659" s="79">
        <v>166.64374000000001</v>
      </c>
      <c r="K659" s="79">
        <v>-22.223749999999999</v>
      </c>
      <c r="L659" s="71">
        <v>240</v>
      </c>
      <c r="M659" s="73">
        <v>1</v>
      </c>
      <c r="N659" s="73">
        <v>1</v>
      </c>
      <c r="O659" s="73">
        <v>0</v>
      </c>
      <c r="P659" s="17" t="s">
        <v>47</v>
      </c>
      <c r="Q659" t="str">
        <f>LEFT(B659,3)</f>
        <v>MRG</v>
      </c>
    </row>
    <row r="660" spans="1:17">
      <c r="A660" s="17" t="s">
        <v>3144</v>
      </c>
      <c r="B660" s="17" t="s">
        <v>1274</v>
      </c>
      <c r="C660" s="13" t="s">
        <v>1275</v>
      </c>
      <c r="D660" s="13" t="s">
        <v>1276</v>
      </c>
      <c r="E660" s="17" t="s">
        <v>93</v>
      </c>
      <c r="F660" s="17" t="s">
        <v>43</v>
      </c>
      <c r="G660" s="17" t="s">
        <v>50</v>
      </c>
      <c r="H660" s="7">
        <v>466367</v>
      </c>
      <c r="I660" s="7">
        <v>219730</v>
      </c>
      <c r="J660" s="79">
        <v>166.64374000000001</v>
      </c>
      <c r="K660" s="79">
        <v>-22.223749999999999</v>
      </c>
      <c r="L660" s="71">
        <v>340</v>
      </c>
      <c r="M660" s="73">
        <v>1</v>
      </c>
      <c r="N660" s="73">
        <v>1</v>
      </c>
      <c r="O660" s="73">
        <v>0</v>
      </c>
      <c r="P660" s="17" t="s">
        <v>47</v>
      </c>
      <c r="Q660" t="str">
        <f>LEFT(B660,3)</f>
        <v>MRG</v>
      </c>
    </row>
    <row r="661" spans="1:17">
      <c r="A661" s="17" t="s">
        <v>3145</v>
      </c>
      <c r="B661" s="17" t="s">
        <v>1278</v>
      </c>
      <c r="C661" s="13" t="s">
        <v>1279</v>
      </c>
      <c r="D661" s="13" t="s">
        <v>1279</v>
      </c>
      <c r="E661" s="17" t="s">
        <v>29</v>
      </c>
      <c r="F661" s="17" t="s">
        <v>43</v>
      </c>
      <c r="G661" s="17" t="s">
        <v>30</v>
      </c>
      <c r="H661" s="7">
        <v>447465</v>
      </c>
      <c r="I661" s="7">
        <v>217099</v>
      </c>
      <c r="J661" s="79">
        <v>166.46047071416999</v>
      </c>
      <c r="K661" s="79">
        <v>-22.248112751192501</v>
      </c>
      <c r="L661" s="71">
        <v>0</v>
      </c>
      <c r="M661" s="73">
        <v>2</v>
      </c>
      <c r="N661" s="73">
        <v>3</v>
      </c>
      <c r="O661" s="73">
        <v>1</v>
      </c>
      <c r="P661" s="17" t="s">
        <v>37</v>
      </c>
      <c r="Q661" t="str">
        <f>LEFT(B661,3)</f>
        <v>MTE</v>
      </c>
    </row>
    <row r="662" spans="1:17">
      <c r="A662" s="17" t="s">
        <v>3146</v>
      </c>
      <c r="B662" s="17" t="s">
        <v>1278</v>
      </c>
      <c r="C662" s="13" t="s">
        <v>1279</v>
      </c>
      <c r="D662" s="13" t="s">
        <v>1279</v>
      </c>
      <c r="E662" s="17" t="s">
        <v>29</v>
      </c>
      <c r="F662" s="17" t="s">
        <v>43</v>
      </c>
      <c r="G662" s="17" t="s">
        <v>30</v>
      </c>
      <c r="H662" s="7">
        <v>447465</v>
      </c>
      <c r="I662" s="7">
        <v>217099</v>
      </c>
      <c r="J662" s="79">
        <v>166.46047071416999</v>
      </c>
      <c r="K662" s="79">
        <v>-22.248112751192501</v>
      </c>
      <c r="L662" s="71">
        <v>90</v>
      </c>
      <c r="M662" s="73">
        <v>2</v>
      </c>
      <c r="N662" s="73">
        <v>3</v>
      </c>
      <c r="O662" s="73">
        <v>1</v>
      </c>
      <c r="P662" s="17" t="s">
        <v>37</v>
      </c>
      <c r="Q662" t="str">
        <f>LEFT(B662,3)</f>
        <v>MTE</v>
      </c>
    </row>
    <row r="663" spans="1:17">
      <c r="A663" s="17" t="s">
        <v>3147</v>
      </c>
      <c r="B663" s="17" t="s">
        <v>1278</v>
      </c>
      <c r="C663" s="13" t="s">
        <v>1279</v>
      </c>
      <c r="D663" s="13" t="s">
        <v>1279</v>
      </c>
      <c r="E663" s="17" t="s">
        <v>29</v>
      </c>
      <c r="F663" s="17" t="s">
        <v>43</v>
      </c>
      <c r="G663" s="17" t="s">
        <v>30</v>
      </c>
      <c r="H663" s="7">
        <v>447465</v>
      </c>
      <c r="I663" s="7">
        <v>217099</v>
      </c>
      <c r="J663" s="79">
        <v>166.46047071416999</v>
      </c>
      <c r="K663" s="79">
        <v>-22.248112751192501</v>
      </c>
      <c r="L663" s="71">
        <v>270</v>
      </c>
      <c r="M663" s="73">
        <v>2</v>
      </c>
      <c r="N663" s="73">
        <v>3</v>
      </c>
      <c r="O663" s="73">
        <v>1</v>
      </c>
      <c r="P663" s="17" t="s">
        <v>37</v>
      </c>
      <c r="Q663" t="str">
        <f>LEFT(B663,3)</f>
        <v>MTE</v>
      </c>
    </row>
    <row r="664" spans="1:17">
      <c r="A664" s="17" t="s">
        <v>3148</v>
      </c>
      <c r="B664" s="17" t="s">
        <v>1282</v>
      </c>
      <c r="C664" s="13" t="s">
        <v>1283</v>
      </c>
      <c r="D664" s="13" t="s">
        <v>1283</v>
      </c>
      <c r="E664" s="17" t="s">
        <v>373</v>
      </c>
      <c r="F664" s="17" t="s">
        <v>129</v>
      </c>
      <c r="G664" s="17" t="s">
        <v>129</v>
      </c>
      <c r="H664" s="7">
        <v>520985.96299000003</v>
      </c>
      <c r="I664" s="7">
        <v>384119.95085000002</v>
      </c>
      <c r="J664" s="80">
        <v>167.16165887831801</v>
      </c>
      <c r="K664" s="80">
        <v>-20.7361180434871</v>
      </c>
      <c r="L664" s="71">
        <v>54</v>
      </c>
      <c r="M664" s="73">
        <v>1</v>
      </c>
      <c r="N664" s="73">
        <v>1</v>
      </c>
      <c r="O664" s="73">
        <v>1</v>
      </c>
      <c r="P664" s="17" t="s">
        <v>47</v>
      </c>
      <c r="Q664" t="str">
        <f>LEFT(B664,3)</f>
        <v>MUC</v>
      </c>
    </row>
    <row r="665" spans="1:17">
      <c r="A665" s="17" t="s">
        <v>3149</v>
      </c>
      <c r="B665" s="17" t="s">
        <v>1282</v>
      </c>
      <c r="C665" s="13" t="s">
        <v>1283</v>
      </c>
      <c r="D665" s="13" t="s">
        <v>1283</v>
      </c>
      <c r="E665" s="17" t="s">
        <v>373</v>
      </c>
      <c r="F665" s="17" t="s">
        <v>129</v>
      </c>
      <c r="G665" s="17" t="s">
        <v>129</v>
      </c>
      <c r="H665" s="7">
        <v>520985.96299000003</v>
      </c>
      <c r="I665" s="7">
        <v>384119.95085000002</v>
      </c>
      <c r="J665" s="80">
        <v>167.16165887831801</v>
      </c>
      <c r="K665" s="80">
        <v>-20.7361180434871</v>
      </c>
      <c r="L665" s="71">
        <v>215</v>
      </c>
      <c r="M665" s="73">
        <v>1</v>
      </c>
      <c r="N665" s="73">
        <v>1</v>
      </c>
      <c r="O665" s="73">
        <v>1</v>
      </c>
      <c r="P665" s="17" t="s">
        <v>47</v>
      </c>
      <c r="Q665" t="str">
        <f>LEFT(B665,3)</f>
        <v>MUC</v>
      </c>
    </row>
    <row r="666" spans="1:17">
      <c r="A666" s="17" t="s">
        <v>3150</v>
      </c>
      <c r="B666" s="17" t="s">
        <v>1286</v>
      </c>
      <c r="C666" s="13" t="s">
        <v>975</v>
      </c>
      <c r="D666" s="13" t="s">
        <v>1287</v>
      </c>
      <c r="E666" s="17" t="s">
        <v>331</v>
      </c>
      <c r="F666" s="17" t="s">
        <v>43</v>
      </c>
      <c r="G666" s="17" t="s">
        <v>43</v>
      </c>
      <c r="H666" s="7">
        <v>549397.61257</v>
      </c>
      <c r="I666" s="7">
        <v>177825.62273</v>
      </c>
      <c r="J666" s="80">
        <v>167.452853493427</v>
      </c>
      <c r="K666" s="80">
        <v>-22.597120131702699</v>
      </c>
      <c r="L666" s="71">
        <v>95</v>
      </c>
      <c r="M666" s="73">
        <v>1</v>
      </c>
      <c r="N666" s="73">
        <v>1</v>
      </c>
      <c r="O666" s="73">
        <v>1</v>
      </c>
      <c r="P666" s="17" t="s">
        <v>47</v>
      </c>
      <c r="Q666" t="str">
        <f>LEFT(B666,3)</f>
        <v>MUE</v>
      </c>
    </row>
    <row r="667" spans="1:17">
      <c r="A667" s="17" t="s">
        <v>3151</v>
      </c>
      <c r="B667" s="17" t="s">
        <v>1286</v>
      </c>
      <c r="C667" s="13" t="s">
        <v>975</v>
      </c>
      <c r="D667" s="13" t="s">
        <v>1287</v>
      </c>
      <c r="E667" s="17" t="s">
        <v>331</v>
      </c>
      <c r="F667" s="17" t="s">
        <v>43</v>
      </c>
      <c r="G667" s="17" t="s">
        <v>43</v>
      </c>
      <c r="H667" s="7">
        <v>549397.61257</v>
      </c>
      <c r="I667" s="7">
        <v>177825.62273</v>
      </c>
      <c r="J667" s="80">
        <v>167.452853493427</v>
      </c>
      <c r="K667" s="80">
        <v>-22.597120131702699</v>
      </c>
      <c r="L667" s="71">
        <v>310</v>
      </c>
      <c r="M667" s="73">
        <v>1</v>
      </c>
      <c r="N667" s="73">
        <v>1</v>
      </c>
      <c r="O667" s="73">
        <v>1</v>
      </c>
      <c r="P667" s="17" t="s">
        <v>47</v>
      </c>
      <c r="Q667" t="str">
        <f>LEFT(B667,3)</f>
        <v>MUE</v>
      </c>
    </row>
    <row r="668" spans="1:17">
      <c r="A668" s="13" t="s">
        <v>3152</v>
      </c>
      <c r="B668" s="13" t="s">
        <v>1288</v>
      </c>
      <c r="C668" s="13" t="s">
        <v>1289</v>
      </c>
      <c r="D668" s="13" t="s">
        <v>1289</v>
      </c>
      <c r="E668" s="17" t="s">
        <v>148</v>
      </c>
      <c r="F668" s="17" t="s">
        <v>68</v>
      </c>
      <c r="G668" s="17" t="s">
        <v>68</v>
      </c>
      <c r="H668" s="7">
        <v>294872</v>
      </c>
      <c r="I668" s="7">
        <v>318555.03125</v>
      </c>
      <c r="J668" s="80">
        <v>164.98651742556399</v>
      </c>
      <c r="K668" s="80">
        <v>-21.3293233415381</v>
      </c>
      <c r="L668" s="71">
        <v>80</v>
      </c>
      <c r="M668" s="73">
        <v>1</v>
      </c>
      <c r="N668" s="73">
        <v>1</v>
      </c>
      <c r="O668" s="73">
        <v>1</v>
      </c>
      <c r="P668" s="17" t="s">
        <v>47</v>
      </c>
      <c r="Q668" t="str">
        <f>LEFT(B668,3)</f>
        <v>MUO</v>
      </c>
    </row>
    <row r="669" spans="1:17">
      <c r="A669" s="13" t="s">
        <v>3153</v>
      </c>
      <c r="B669" s="13" t="s">
        <v>1288</v>
      </c>
      <c r="C669" s="13" t="s">
        <v>1289</v>
      </c>
      <c r="D669" s="13" t="s">
        <v>1289</v>
      </c>
      <c r="E669" s="17" t="s">
        <v>148</v>
      </c>
      <c r="F669" s="17" t="s">
        <v>68</v>
      </c>
      <c r="G669" s="17" t="s">
        <v>68</v>
      </c>
      <c r="H669" s="7">
        <v>294872</v>
      </c>
      <c r="I669" s="7">
        <v>318555.03125</v>
      </c>
      <c r="J669" s="80">
        <v>164.98651742556399</v>
      </c>
      <c r="K669" s="80">
        <v>-21.3293233415381</v>
      </c>
      <c r="L669" s="71">
        <v>205</v>
      </c>
      <c r="M669" s="73">
        <v>1</v>
      </c>
      <c r="N669" s="73">
        <v>1</v>
      </c>
      <c r="O669" s="73">
        <v>1</v>
      </c>
      <c r="P669" s="17" t="s">
        <v>47</v>
      </c>
      <c r="Q669" t="str">
        <f>LEFT(B669,3)</f>
        <v>MUO</v>
      </c>
    </row>
    <row r="670" spans="1:17">
      <c r="A670" s="13" t="s">
        <v>3154</v>
      </c>
      <c r="B670" s="13" t="s">
        <v>1288</v>
      </c>
      <c r="C670" s="13" t="s">
        <v>1289</v>
      </c>
      <c r="D670" s="13" t="s">
        <v>1289</v>
      </c>
      <c r="E670" s="17" t="s">
        <v>148</v>
      </c>
      <c r="F670" s="17" t="s">
        <v>68</v>
      </c>
      <c r="G670" s="17" t="s">
        <v>68</v>
      </c>
      <c r="H670" s="7">
        <v>294872</v>
      </c>
      <c r="I670" s="7">
        <v>318555.03125</v>
      </c>
      <c r="J670" s="80">
        <v>164.98651742556399</v>
      </c>
      <c r="K670" s="80">
        <v>-21.3293233415381</v>
      </c>
      <c r="L670" s="71">
        <v>350</v>
      </c>
      <c r="M670" s="73">
        <v>1</v>
      </c>
      <c r="N670" s="73">
        <v>1</v>
      </c>
      <c r="O670" s="73">
        <v>1</v>
      </c>
      <c r="P670" s="17" t="s">
        <v>47</v>
      </c>
      <c r="Q670" t="str">
        <f>LEFT(B670,3)</f>
        <v>MUO</v>
      </c>
    </row>
    <row r="671" spans="1:17">
      <c r="A671" s="17" t="s">
        <v>3155</v>
      </c>
      <c r="B671" s="17" t="s">
        <v>1292</v>
      </c>
      <c r="C671" s="13" t="s">
        <v>1293</v>
      </c>
      <c r="D671" s="13" t="s">
        <v>1295</v>
      </c>
      <c r="E671" s="17" t="s">
        <v>331</v>
      </c>
      <c r="F671" s="17" t="s">
        <v>43</v>
      </c>
      <c r="G671" s="17" t="s">
        <v>43</v>
      </c>
      <c r="H671" s="7">
        <v>553584.09878</v>
      </c>
      <c r="I671" s="7">
        <v>175689.80718</v>
      </c>
      <c r="J671" s="80">
        <v>167.49375719982001</v>
      </c>
      <c r="K671" s="80">
        <v>-22.616050177521799</v>
      </c>
      <c r="L671" s="71">
        <v>70</v>
      </c>
      <c r="M671" s="73">
        <v>1</v>
      </c>
      <c r="N671" s="73">
        <v>1</v>
      </c>
      <c r="O671" s="73">
        <v>1</v>
      </c>
      <c r="P671" s="17" t="s">
        <v>47</v>
      </c>
      <c r="Q671" t="str">
        <f>LEFT(B671,3)</f>
        <v>MWN</v>
      </c>
    </row>
    <row r="672" spans="1:17">
      <c r="A672" s="17" t="s">
        <v>3156</v>
      </c>
      <c r="B672" s="17" t="s">
        <v>1292</v>
      </c>
      <c r="C672" s="13" t="s">
        <v>1293</v>
      </c>
      <c r="D672" s="13" t="s">
        <v>1294</v>
      </c>
      <c r="E672" s="17" t="s">
        <v>331</v>
      </c>
      <c r="F672" s="17" t="s">
        <v>43</v>
      </c>
      <c r="G672" s="17" t="s">
        <v>43</v>
      </c>
      <c r="H672" s="7">
        <v>553584.09878</v>
      </c>
      <c r="I672" s="7">
        <v>175689.80718</v>
      </c>
      <c r="J672" s="80">
        <v>167.49375719982001</v>
      </c>
      <c r="K672" s="80">
        <v>-22.616050177521799</v>
      </c>
      <c r="L672" s="71">
        <v>160</v>
      </c>
      <c r="M672" s="73">
        <v>1</v>
      </c>
      <c r="N672" s="73">
        <v>1</v>
      </c>
      <c r="O672" s="73">
        <v>1</v>
      </c>
      <c r="P672" s="17" t="s">
        <v>47</v>
      </c>
      <c r="Q672" t="str">
        <f>LEFT(B672,3)</f>
        <v>MWN</v>
      </c>
    </row>
    <row r="673" spans="1:17">
      <c r="A673" s="17" t="s">
        <v>3157</v>
      </c>
      <c r="B673" s="17" t="s">
        <v>1292</v>
      </c>
      <c r="C673" s="13" t="s">
        <v>1293</v>
      </c>
      <c r="D673" s="13" t="s">
        <v>1295</v>
      </c>
      <c r="E673" s="17" t="s">
        <v>331</v>
      </c>
      <c r="F673" s="17" t="s">
        <v>43</v>
      </c>
      <c r="G673" s="17" t="s">
        <v>43</v>
      </c>
      <c r="H673" s="7">
        <v>553584.09878</v>
      </c>
      <c r="I673" s="7">
        <v>175689.80718</v>
      </c>
      <c r="J673" s="80">
        <v>167.49375719982001</v>
      </c>
      <c r="K673" s="80">
        <v>-22.616050177521799</v>
      </c>
      <c r="L673" s="71">
        <v>330</v>
      </c>
      <c r="M673" s="73">
        <v>1</v>
      </c>
      <c r="N673" s="73">
        <v>1</v>
      </c>
      <c r="O673" s="73">
        <v>1</v>
      </c>
      <c r="P673" s="17" t="s">
        <v>47</v>
      </c>
      <c r="Q673" t="str">
        <f>LEFT(B673,3)</f>
        <v>MWN</v>
      </c>
    </row>
    <row r="674" spans="1:17">
      <c r="A674" s="17" t="s">
        <v>3158</v>
      </c>
      <c r="B674" s="17" t="s">
        <v>1297</v>
      </c>
      <c r="C674" s="13" t="s">
        <v>1299</v>
      </c>
      <c r="D674" s="13" t="s">
        <v>1299</v>
      </c>
      <c r="E674" s="17" t="s">
        <v>56</v>
      </c>
      <c r="F674" s="17" t="s">
        <v>43</v>
      </c>
      <c r="G674" s="17" t="s">
        <v>50</v>
      </c>
      <c r="H674" s="7">
        <v>425605.82775</v>
      </c>
      <c r="I674" s="7">
        <v>227278.12494000001</v>
      </c>
      <c r="J674" s="80">
        <v>166.24825437384999</v>
      </c>
      <c r="K674" s="80">
        <v>-22.156633855488099</v>
      </c>
      <c r="L674" s="71">
        <v>115</v>
      </c>
      <c r="M674" s="73">
        <v>2</v>
      </c>
      <c r="N674" s="73">
        <v>3</v>
      </c>
      <c r="O674" s="73">
        <v>1</v>
      </c>
      <c r="P674" s="17" t="s">
        <v>47</v>
      </c>
      <c r="Q674" t="str">
        <f>LEFT(B674,3)</f>
        <v>N87</v>
      </c>
    </row>
    <row r="675" spans="1:17">
      <c r="A675" s="17" t="s">
        <v>3159</v>
      </c>
      <c r="B675" s="17" t="s">
        <v>1297</v>
      </c>
      <c r="C675" s="13" t="s">
        <v>1299</v>
      </c>
      <c r="D675" s="13" t="s">
        <v>1299</v>
      </c>
      <c r="E675" s="17" t="s">
        <v>56</v>
      </c>
      <c r="F675" s="17" t="s">
        <v>43</v>
      </c>
      <c r="G675" s="17" t="s">
        <v>50</v>
      </c>
      <c r="H675" s="7">
        <v>425605.82775</v>
      </c>
      <c r="I675" s="7">
        <v>227278.12494000001</v>
      </c>
      <c r="J675" s="80">
        <v>166.24825437384999</v>
      </c>
      <c r="K675" s="80">
        <v>-22.156633855488099</v>
      </c>
      <c r="L675" s="71">
        <v>310</v>
      </c>
      <c r="M675" s="73">
        <v>2</v>
      </c>
      <c r="N675" s="73">
        <v>3</v>
      </c>
      <c r="O675" s="73">
        <v>1</v>
      </c>
      <c r="P675" s="17" t="s">
        <v>47</v>
      </c>
      <c r="Q675" t="str">
        <f>LEFT(B675,3)</f>
        <v>N87</v>
      </c>
    </row>
    <row r="676" spans="1:17">
      <c r="A676" s="17" t="s">
        <v>3160</v>
      </c>
      <c r="B676" s="17" t="s">
        <v>1302</v>
      </c>
      <c r="C676" s="13" t="s">
        <v>1303</v>
      </c>
      <c r="D676" s="13" t="s">
        <v>1304</v>
      </c>
      <c r="E676" s="17" t="s">
        <v>207</v>
      </c>
      <c r="F676" s="17" t="s">
        <v>43</v>
      </c>
      <c r="G676" s="17" t="s">
        <v>43</v>
      </c>
      <c r="H676" s="7">
        <v>406922</v>
      </c>
      <c r="I676" s="7">
        <v>267799</v>
      </c>
      <c r="J676" s="79">
        <v>166.06694200000001</v>
      </c>
      <c r="K676" s="79">
        <v>-21.790834</v>
      </c>
      <c r="L676" s="71">
        <v>0</v>
      </c>
      <c r="M676" s="73">
        <v>1</v>
      </c>
      <c r="N676" s="73">
        <v>1</v>
      </c>
      <c r="O676" s="73">
        <v>0</v>
      </c>
      <c r="P676" s="17" t="s">
        <v>47</v>
      </c>
      <c r="Q676" t="str">
        <f>LEFT(B676,3)</f>
        <v>NAH</v>
      </c>
    </row>
    <row r="677" spans="1:17">
      <c r="A677" s="17" t="s">
        <v>3161</v>
      </c>
      <c r="B677" s="17" t="s">
        <v>1302</v>
      </c>
      <c r="C677" s="13" t="s">
        <v>1303</v>
      </c>
      <c r="D677" s="13" t="s">
        <v>1304</v>
      </c>
      <c r="E677" s="17" t="s">
        <v>207</v>
      </c>
      <c r="F677" s="17" t="s">
        <v>43</v>
      </c>
      <c r="G677" s="17" t="s">
        <v>43</v>
      </c>
      <c r="H677" s="7">
        <v>406922</v>
      </c>
      <c r="I677" s="7">
        <v>267799</v>
      </c>
      <c r="J677" s="79">
        <v>166.06694200000001</v>
      </c>
      <c r="K677" s="79">
        <v>-21.790834</v>
      </c>
      <c r="L677" s="71">
        <v>176</v>
      </c>
      <c r="M677" s="73">
        <v>1</v>
      </c>
      <c r="N677" s="73">
        <v>1</v>
      </c>
      <c r="O677" s="73">
        <v>0</v>
      </c>
      <c r="P677" s="17" t="s">
        <v>47</v>
      </c>
      <c r="Q677" t="str">
        <f>LEFT(B677,3)</f>
        <v>NAH</v>
      </c>
    </row>
    <row r="678" spans="1:17">
      <c r="A678" s="17" t="s">
        <v>3162</v>
      </c>
      <c r="B678" s="17" t="s">
        <v>1306</v>
      </c>
      <c r="C678" s="13" t="s">
        <v>1307</v>
      </c>
      <c r="D678" s="13" t="s">
        <v>1307</v>
      </c>
      <c r="E678" s="17" t="s">
        <v>56</v>
      </c>
      <c r="F678" s="17" t="s">
        <v>43</v>
      </c>
      <c r="G678" s="17" t="s">
        <v>50</v>
      </c>
      <c r="H678" s="7">
        <v>425982.64325000002</v>
      </c>
      <c r="I678" s="7">
        <v>227108.59286999999</v>
      </c>
      <c r="J678" s="80">
        <v>166.251912084797</v>
      </c>
      <c r="K678" s="80">
        <v>-22.158154669373001</v>
      </c>
      <c r="L678" s="71">
        <v>55</v>
      </c>
      <c r="M678" s="73">
        <v>1</v>
      </c>
      <c r="N678" s="73">
        <v>1</v>
      </c>
      <c r="O678" s="73">
        <v>1</v>
      </c>
      <c r="P678" s="17" t="s">
        <v>47</v>
      </c>
      <c r="Q678" t="str">
        <f>LEFT(B678,3)</f>
        <v>NAI</v>
      </c>
    </row>
    <row r="679" spans="1:17">
      <c r="A679" s="17" t="s">
        <v>3163</v>
      </c>
      <c r="B679" s="17" t="s">
        <v>1306</v>
      </c>
      <c r="C679" s="13" t="s">
        <v>1307</v>
      </c>
      <c r="D679" s="13" t="s">
        <v>1307</v>
      </c>
      <c r="E679" s="17" t="s">
        <v>56</v>
      </c>
      <c r="F679" s="17" t="s">
        <v>43</v>
      </c>
      <c r="G679" s="17" t="s">
        <v>50</v>
      </c>
      <c r="H679" s="7">
        <v>425982.64325000002</v>
      </c>
      <c r="I679" s="7">
        <v>227108.59286999999</v>
      </c>
      <c r="J679" s="80">
        <v>166.251912084797</v>
      </c>
      <c r="K679" s="80">
        <v>-22.158154669373001</v>
      </c>
      <c r="L679" s="71">
        <v>225</v>
      </c>
      <c r="M679" s="73">
        <v>1</v>
      </c>
      <c r="N679" s="73">
        <v>1</v>
      </c>
      <c r="O679" s="73">
        <v>1</v>
      </c>
      <c r="P679" s="17" t="s">
        <v>47</v>
      </c>
      <c r="Q679" t="str">
        <f>LEFT(B679,3)</f>
        <v>NAI</v>
      </c>
    </row>
    <row r="680" spans="1:17">
      <c r="A680" s="17" t="s">
        <v>3164</v>
      </c>
      <c r="B680" s="17" t="s">
        <v>1310</v>
      </c>
      <c r="C680" s="13" t="s">
        <v>1311</v>
      </c>
      <c r="D680" s="13" t="s">
        <v>1312</v>
      </c>
      <c r="E680" s="17" t="s">
        <v>49</v>
      </c>
      <c r="F680" s="17" t="s">
        <v>43</v>
      </c>
      <c r="G680" s="17" t="s">
        <v>50</v>
      </c>
      <c r="H680" s="7">
        <v>442727</v>
      </c>
      <c r="I680" s="7">
        <v>225310</v>
      </c>
      <c r="J680" s="80">
        <v>166.41429500000001</v>
      </c>
      <c r="K680" s="80">
        <v>-22.174078999999999</v>
      </c>
      <c r="L680" s="71">
        <v>0</v>
      </c>
      <c r="M680" s="73">
        <v>1</v>
      </c>
      <c r="N680" s="73">
        <v>1</v>
      </c>
      <c r="O680" s="73">
        <v>1</v>
      </c>
      <c r="P680" s="17" t="s">
        <v>47</v>
      </c>
      <c r="Q680" t="str">
        <f>LEFT(B680,3)</f>
        <v>NAK</v>
      </c>
    </row>
    <row r="681" spans="1:17">
      <c r="A681" s="17" t="s">
        <v>3165</v>
      </c>
      <c r="B681" s="17" t="s">
        <v>1310</v>
      </c>
      <c r="C681" s="13" t="s">
        <v>1311</v>
      </c>
      <c r="D681" s="13" t="s">
        <v>1312</v>
      </c>
      <c r="E681" s="17" t="s">
        <v>49</v>
      </c>
      <c r="F681" s="17" t="s">
        <v>43</v>
      </c>
      <c r="G681" s="17" t="s">
        <v>50</v>
      </c>
      <c r="H681" s="7">
        <v>442727</v>
      </c>
      <c r="I681" s="7">
        <v>225310</v>
      </c>
      <c r="J681" s="80">
        <v>166.41429500000001</v>
      </c>
      <c r="K681" s="80">
        <v>-22.174078999999999</v>
      </c>
      <c r="L681" s="71">
        <v>120</v>
      </c>
      <c r="M681" s="73">
        <v>1</v>
      </c>
      <c r="N681" s="73">
        <v>1</v>
      </c>
      <c r="O681" s="73">
        <v>1</v>
      </c>
      <c r="P681" s="17" t="s">
        <v>37</v>
      </c>
      <c r="Q681" t="str">
        <f>LEFT(B681,3)</f>
        <v>NAK</v>
      </c>
    </row>
    <row r="682" spans="1:17">
      <c r="A682" s="17" t="s">
        <v>3166</v>
      </c>
      <c r="B682" s="17" t="s">
        <v>1310</v>
      </c>
      <c r="C682" s="13" t="s">
        <v>1311</v>
      </c>
      <c r="D682" s="13" t="s">
        <v>1312</v>
      </c>
      <c r="E682" s="17" t="s">
        <v>49</v>
      </c>
      <c r="F682" s="17" t="s">
        <v>43</v>
      </c>
      <c r="G682" s="17" t="s">
        <v>50</v>
      </c>
      <c r="H682" s="7">
        <v>442727</v>
      </c>
      <c r="I682" s="7">
        <v>225310</v>
      </c>
      <c r="J682" s="80">
        <v>166.41429500000001</v>
      </c>
      <c r="K682" s="80">
        <v>-22.174078999999999</v>
      </c>
      <c r="L682" s="71">
        <v>240</v>
      </c>
      <c r="M682" s="73">
        <v>1</v>
      </c>
      <c r="N682" s="73">
        <v>1</v>
      </c>
      <c r="O682" s="73">
        <v>1</v>
      </c>
      <c r="P682" s="17" t="s">
        <v>37</v>
      </c>
      <c r="Q682" t="str">
        <f>LEFT(B682,3)</f>
        <v>NAK</v>
      </c>
    </row>
    <row r="683" spans="1:17">
      <c r="A683" s="17" t="s">
        <v>3167</v>
      </c>
      <c r="B683" s="17" t="s">
        <v>1314</v>
      </c>
      <c r="C683" s="13" t="s">
        <v>1315</v>
      </c>
      <c r="D683" s="13" t="s">
        <v>1315</v>
      </c>
      <c r="E683" s="17" t="s">
        <v>56</v>
      </c>
      <c r="F683" s="17" t="s">
        <v>43</v>
      </c>
      <c r="G683" s="17" t="s">
        <v>50</v>
      </c>
      <c r="H683" s="7">
        <v>429278.08601000003</v>
      </c>
      <c r="I683" s="7">
        <v>229963.91670999999</v>
      </c>
      <c r="J683" s="80">
        <v>166.28380766599801</v>
      </c>
      <c r="K683" s="80">
        <v>-22.132319714779602</v>
      </c>
      <c r="L683" s="71">
        <v>50</v>
      </c>
      <c r="M683" s="73">
        <v>1</v>
      </c>
      <c r="N683" s="73">
        <v>1</v>
      </c>
      <c r="O683" s="73">
        <v>1</v>
      </c>
      <c r="P683" s="17" t="s">
        <v>37</v>
      </c>
      <c r="Q683" t="str">
        <f>LEFT(B683,3)</f>
        <v>NAN</v>
      </c>
    </row>
    <row r="684" spans="1:17">
      <c r="A684" s="17" t="s">
        <v>3168</v>
      </c>
      <c r="B684" s="17" t="s">
        <v>1314</v>
      </c>
      <c r="C684" s="13" t="s">
        <v>1315</v>
      </c>
      <c r="D684" s="13" t="s">
        <v>1315</v>
      </c>
      <c r="E684" s="17" t="s">
        <v>56</v>
      </c>
      <c r="F684" s="17" t="s">
        <v>43</v>
      </c>
      <c r="G684" s="17" t="s">
        <v>50</v>
      </c>
      <c r="H684" s="7">
        <v>429278.08601000003</v>
      </c>
      <c r="I684" s="7">
        <v>229963.91670999999</v>
      </c>
      <c r="J684" s="80">
        <v>166.28380766599801</v>
      </c>
      <c r="K684" s="80">
        <v>-22.132319714779602</v>
      </c>
      <c r="L684" s="71">
        <v>245</v>
      </c>
      <c r="M684" s="73">
        <v>1</v>
      </c>
      <c r="N684" s="73">
        <v>1</v>
      </c>
      <c r="O684" s="73">
        <v>1</v>
      </c>
      <c r="P684" s="17" t="s">
        <v>47</v>
      </c>
      <c r="Q684" t="str">
        <f>LEFT(B684,3)</f>
        <v>NAN</v>
      </c>
    </row>
    <row r="685" spans="1:17">
      <c r="A685" s="17" t="s">
        <v>3169</v>
      </c>
      <c r="B685" s="17" t="s">
        <v>1318</v>
      </c>
      <c r="C685" s="17" t="s">
        <v>1319</v>
      </c>
      <c r="D685" s="17" t="s">
        <v>1320</v>
      </c>
      <c r="E685" s="17" t="s">
        <v>104</v>
      </c>
      <c r="F685" s="17" t="s">
        <v>68</v>
      </c>
      <c r="G685" s="17" t="s">
        <v>68</v>
      </c>
      <c r="H685" s="19">
        <v>331639</v>
      </c>
      <c r="I685" s="19">
        <v>358253</v>
      </c>
      <c r="J685" s="80">
        <v>165.34256999999999</v>
      </c>
      <c r="K685" s="80">
        <v>-20.972529999999999</v>
      </c>
      <c r="L685" s="71">
        <v>92</v>
      </c>
      <c r="M685" s="73">
        <v>1</v>
      </c>
      <c r="N685" s="73">
        <v>1</v>
      </c>
      <c r="O685" s="73">
        <v>0</v>
      </c>
      <c r="P685" s="17" t="s">
        <v>47</v>
      </c>
      <c r="Q685" t="str">
        <f>LEFT(B685,3)</f>
        <v>NAP</v>
      </c>
    </row>
    <row r="686" spans="1:17">
      <c r="A686" s="17" t="s">
        <v>3170</v>
      </c>
      <c r="B686" s="17" t="s">
        <v>1318</v>
      </c>
      <c r="C686" s="17" t="s">
        <v>1319</v>
      </c>
      <c r="D686" s="17" t="s">
        <v>1320</v>
      </c>
      <c r="E686" s="17" t="s">
        <v>104</v>
      </c>
      <c r="F686" s="17" t="s">
        <v>68</v>
      </c>
      <c r="G686" s="17" t="s">
        <v>68</v>
      </c>
      <c r="H686" s="19">
        <v>331639</v>
      </c>
      <c r="I686" s="19">
        <v>358253</v>
      </c>
      <c r="J686" s="80">
        <v>165.34256999999999</v>
      </c>
      <c r="K686" s="80">
        <v>-20.972529999999999</v>
      </c>
      <c r="L686" s="71">
        <v>323</v>
      </c>
      <c r="M686" s="73">
        <v>1</v>
      </c>
      <c r="N686" s="73">
        <v>1</v>
      </c>
      <c r="O686" s="73">
        <v>0</v>
      </c>
      <c r="P686" s="17" t="s">
        <v>47</v>
      </c>
      <c r="Q686" t="str">
        <f>LEFT(B686,3)</f>
        <v>NAP</v>
      </c>
    </row>
    <row r="687" spans="1:17">
      <c r="A687" s="17" t="s">
        <v>3171</v>
      </c>
      <c r="B687" s="17" t="s">
        <v>1322</v>
      </c>
      <c r="C687" s="13" t="s">
        <v>1323</v>
      </c>
      <c r="D687" s="13" t="s">
        <v>1323</v>
      </c>
      <c r="E687" s="17" t="s">
        <v>207</v>
      </c>
      <c r="F687" s="17" t="s">
        <v>43</v>
      </c>
      <c r="G687" s="17" t="s">
        <v>43</v>
      </c>
      <c r="H687" s="7">
        <v>406663.79596999998</v>
      </c>
      <c r="I687" s="7">
        <v>266428.36226000002</v>
      </c>
      <c r="J687" s="80">
        <v>166.06445213237899</v>
      </c>
      <c r="K687" s="80">
        <v>-21.803218053856401</v>
      </c>
      <c r="L687" s="71">
        <v>170</v>
      </c>
      <c r="M687" s="73">
        <v>1</v>
      </c>
      <c r="N687" s="73">
        <v>1</v>
      </c>
      <c r="O687" s="73">
        <v>1</v>
      </c>
      <c r="P687" s="17" t="s">
        <v>47</v>
      </c>
      <c r="Q687" t="str">
        <f>LEFT(B687,3)</f>
        <v>NAS</v>
      </c>
    </row>
    <row r="688" spans="1:17">
      <c r="A688" s="17" t="s">
        <v>3172</v>
      </c>
      <c r="B688" s="17" t="s">
        <v>1322</v>
      </c>
      <c r="C688" s="13" t="s">
        <v>1323</v>
      </c>
      <c r="D688" s="13" t="s">
        <v>1323</v>
      </c>
      <c r="E688" s="17" t="s">
        <v>207</v>
      </c>
      <c r="F688" s="17" t="s">
        <v>43</v>
      </c>
      <c r="G688" s="17" t="s">
        <v>43</v>
      </c>
      <c r="H688" s="7">
        <v>406663.79596999998</v>
      </c>
      <c r="I688" s="7">
        <v>266428.36226000002</v>
      </c>
      <c r="J688" s="80">
        <v>166.06445213237899</v>
      </c>
      <c r="K688" s="80">
        <v>-21.803218053856401</v>
      </c>
      <c r="L688" s="71">
        <v>330</v>
      </c>
      <c r="M688" s="73">
        <v>1</v>
      </c>
      <c r="N688" s="73">
        <v>1</v>
      </c>
      <c r="O688" s="73">
        <v>1</v>
      </c>
      <c r="P688" s="17" t="s">
        <v>47</v>
      </c>
      <c r="Q688" t="str">
        <f>LEFT(B688,3)</f>
        <v>NAS</v>
      </c>
    </row>
    <row r="689" spans="1:17">
      <c r="A689" s="13" t="s">
        <v>3173</v>
      </c>
      <c r="B689" s="13" t="s">
        <v>1326</v>
      </c>
      <c r="C689" s="13" t="s">
        <v>1327</v>
      </c>
      <c r="D689" s="13" t="s">
        <v>1307</v>
      </c>
      <c r="E689" s="17" t="s">
        <v>56</v>
      </c>
      <c r="F689" s="17" t="s">
        <v>43</v>
      </c>
      <c r="G689" s="17" t="s">
        <v>50</v>
      </c>
      <c r="H689" s="7">
        <v>428160</v>
      </c>
      <c r="I689" s="7">
        <v>226453</v>
      </c>
      <c r="J689" s="80">
        <v>166.273029744784</v>
      </c>
      <c r="K689" s="80">
        <v>-22.164046071146601</v>
      </c>
      <c r="L689" s="71">
        <v>70</v>
      </c>
      <c r="M689" s="73">
        <v>1</v>
      </c>
      <c r="N689" s="73">
        <v>1</v>
      </c>
      <c r="O689" s="73">
        <v>1</v>
      </c>
      <c r="P689" s="17" t="s">
        <v>47</v>
      </c>
      <c r="Q689" t="str">
        <f>LEFT(B689,3)</f>
        <v>NAT</v>
      </c>
    </row>
    <row r="690" spans="1:17">
      <c r="A690" s="13" t="s">
        <v>3174</v>
      </c>
      <c r="B690" s="13" t="s">
        <v>1326</v>
      </c>
      <c r="C690" s="13" t="s">
        <v>1327</v>
      </c>
      <c r="D690" s="13" t="s">
        <v>1307</v>
      </c>
      <c r="E690" s="17" t="s">
        <v>56</v>
      </c>
      <c r="F690" s="17" t="s">
        <v>43</v>
      </c>
      <c r="G690" s="17" t="s">
        <v>50</v>
      </c>
      <c r="H690" s="7">
        <v>428160</v>
      </c>
      <c r="I690" s="7">
        <v>226453</v>
      </c>
      <c r="J690" s="80">
        <v>166.273029744784</v>
      </c>
      <c r="K690" s="80">
        <v>-22.164046071146601</v>
      </c>
      <c r="L690" s="71">
        <v>190</v>
      </c>
      <c r="M690" s="73">
        <v>1</v>
      </c>
      <c r="N690" s="73">
        <v>1</v>
      </c>
      <c r="O690" s="73">
        <v>1</v>
      </c>
      <c r="P690" s="17" t="s">
        <v>47</v>
      </c>
      <c r="Q690" t="str">
        <f>LEFT(B690,3)</f>
        <v>NAT</v>
      </c>
    </row>
    <row r="691" spans="1:17">
      <c r="A691" s="17" t="s">
        <v>3175</v>
      </c>
      <c r="B691" s="17" t="s">
        <v>1331</v>
      </c>
      <c r="C691" s="13" t="s">
        <v>1332</v>
      </c>
      <c r="D691" s="13" t="s">
        <v>1332</v>
      </c>
      <c r="E691" s="17" t="s">
        <v>56</v>
      </c>
      <c r="F691" s="17" t="s">
        <v>43</v>
      </c>
      <c r="G691" s="17" t="s">
        <v>50</v>
      </c>
      <c r="H691" s="7">
        <v>430705</v>
      </c>
      <c r="I691" s="7">
        <v>228194</v>
      </c>
      <c r="J691" s="79">
        <v>166.29767299583199</v>
      </c>
      <c r="K691" s="79">
        <v>-22.1482809226952</v>
      </c>
      <c r="L691" s="71">
        <v>110</v>
      </c>
      <c r="M691" s="73">
        <v>1</v>
      </c>
      <c r="N691" s="73">
        <v>1</v>
      </c>
      <c r="O691" s="73">
        <v>1</v>
      </c>
      <c r="P691" s="17" t="s">
        <v>47</v>
      </c>
      <c r="Q691" t="str">
        <f>LEFT(B691,3)</f>
        <v>NBE</v>
      </c>
    </row>
    <row r="692" spans="1:17">
      <c r="A692" s="17" t="s">
        <v>3176</v>
      </c>
      <c r="B692" s="17" t="s">
        <v>1331</v>
      </c>
      <c r="C692" s="13" t="s">
        <v>1332</v>
      </c>
      <c r="D692" s="13" t="s">
        <v>1332</v>
      </c>
      <c r="E692" s="17" t="s">
        <v>56</v>
      </c>
      <c r="F692" s="17" t="s">
        <v>43</v>
      </c>
      <c r="G692" s="17" t="s">
        <v>50</v>
      </c>
      <c r="H692" s="7">
        <v>430705</v>
      </c>
      <c r="I692" s="7">
        <v>228194</v>
      </c>
      <c r="J692" s="79">
        <v>166.29767299583199</v>
      </c>
      <c r="K692" s="79">
        <v>-22.1482809226952</v>
      </c>
      <c r="L692" s="71">
        <v>285</v>
      </c>
      <c r="M692" s="73">
        <v>1</v>
      </c>
      <c r="N692" s="73">
        <v>1</v>
      </c>
      <c r="O692" s="73">
        <v>1</v>
      </c>
      <c r="P692" s="17" t="s">
        <v>47</v>
      </c>
      <c r="Q692" t="str">
        <f>LEFT(B692,3)</f>
        <v>NBE</v>
      </c>
    </row>
    <row r="693" spans="1:17">
      <c r="A693" s="17" t="s">
        <v>3177</v>
      </c>
      <c r="B693" s="17" t="s">
        <v>1335</v>
      </c>
      <c r="C693" s="17" t="s">
        <v>1336</v>
      </c>
      <c r="D693" s="17" t="s">
        <v>1337</v>
      </c>
      <c r="E693" s="17" t="s">
        <v>191</v>
      </c>
      <c r="F693" s="17" t="s">
        <v>43</v>
      </c>
      <c r="G693" s="17" t="s">
        <v>43</v>
      </c>
      <c r="H693" s="19">
        <v>344178</v>
      </c>
      <c r="I693" s="19">
        <v>298317</v>
      </c>
      <c r="J693" s="80">
        <v>165.46117000000001</v>
      </c>
      <c r="K693" s="80">
        <v>-21.514330000000001</v>
      </c>
      <c r="L693" s="71">
        <v>128</v>
      </c>
      <c r="M693" s="73">
        <v>2</v>
      </c>
      <c r="N693" s="73">
        <v>1</v>
      </c>
      <c r="O693" s="73">
        <v>0</v>
      </c>
      <c r="P693" s="17" t="s">
        <v>47</v>
      </c>
      <c r="Q693" t="str">
        <f>LEFT(B693,3)</f>
        <v>NDA</v>
      </c>
    </row>
    <row r="694" spans="1:17">
      <c r="A694" s="17" t="s">
        <v>3178</v>
      </c>
      <c r="B694" s="17" t="s">
        <v>1335</v>
      </c>
      <c r="C694" s="17" t="s">
        <v>1336</v>
      </c>
      <c r="D694" s="17" t="s">
        <v>1337</v>
      </c>
      <c r="E694" s="17" t="s">
        <v>191</v>
      </c>
      <c r="F694" s="17" t="s">
        <v>43</v>
      </c>
      <c r="G694" s="17" t="s">
        <v>43</v>
      </c>
      <c r="H694" s="19">
        <v>344178</v>
      </c>
      <c r="I694" s="19">
        <v>298317</v>
      </c>
      <c r="J694" s="80">
        <v>165.46117000000001</v>
      </c>
      <c r="K694" s="80">
        <v>-21.514330000000001</v>
      </c>
      <c r="L694" s="71">
        <v>327</v>
      </c>
      <c r="M694" s="73">
        <v>2</v>
      </c>
      <c r="N694" s="73">
        <v>1</v>
      </c>
      <c r="O694" s="73">
        <v>0</v>
      </c>
      <c r="P694" s="17" t="s">
        <v>47</v>
      </c>
      <c r="Q694" t="str">
        <f>LEFT(B694,3)</f>
        <v>NDA</v>
      </c>
    </row>
    <row r="695" spans="1:17">
      <c r="A695" s="17" t="s">
        <v>3179</v>
      </c>
      <c r="B695" s="17" t="s">
        <v>3180</v>
      </c>
      <c r="C695" s="13" t="s">
        <v>1340</v>
      </c>
      <c r="D695" s="13" t="s">
        <v>1341</v>
      </c>
      <c r="E695" s="17" t="s">
        <v>29</v>
      </c>
      <c r="F695" s="17" t="s">
        <v>43</v>
      </c>
      <c r="G695" s="17" t="s">
        <v>30</v>
      </c>
      <c r="H695" s="7">
        <v>450261</v>
      </c>
      <c r="I695" s="7">
        <v>219565</v>
      </c>
      <c r="J695" s="79">
        <v>166.48752099999999</v>
      </c>
      <c r="K695" s="79">
        <v>-22.225766</v>
      </c>
      <c r="L695" s="71">
        <v>0</v>
      </c>
      <c r="M695" s="73">
        <v>1</v>
      </c>
      <c r="N695" s="73">
        <v>1</v>
      </c>
      <c r="O695" s="73">
        <v>0</v>
      </c>
      <c r="P695" s="17" t="s">
        <v>37</v>
      </c>
      <c r="Q695" t="str">
        <f>LEFT(B695,3)</f>
        <v>NDI</v>
      </c>
    </row>
    <row r="696" spans="1:17">
      <c r="A696" s="17" t="s">
        <v>3181</v>
      </c>
      <c r="B696" s="17" t="s">
        <v>3180</v>
      </c>
      <c r="C696" s="13" t="s">
        <v>1340</v>
      </c>
      <c r="D696" s="13" t="s">
        <v>1341</v>
      </c>
      <c r="E696" s="17" t="s">
        <v>29</v>
      </c>
      <c r="F696" s="17" t="s">
        <v>43</v>
      </c>
      <c r="G696" s="17" t="s">
        <v>30</v>
      </c>
      <c r="H696" s="7">
        <v>450261</v>
      </c>
      <c r="I696" s="7">
        <v>219565</v>
      </c>
      <c r="J696" s="79">
        <v>166.48752099999999</v>
      </c>
      <c r="K696" s="79">
        <v>-22.225766</v>
      </c>
      <c r="L696" s="71">
        <v>90</v>
      </c>
      <c r="M696" s="73">
        <v>1</v>
      </c>
      <c r="N696" s="73">
        <v>1</v>
      </c>
      <c r="O696" s="73">
        <v>0</v>
      </c>
      <c r="P696" s="17" t="s">
        <v>37</v>
      </c>
      <c r="Q696" t="str">
        <f>LEFT(B696,3)</f>
        <v>NDI</v>
      </c>
    </row>
    <row r="697" spans="1:17">
      <c r="A697" s="17" t="s">
        <v>3182</v>
      </c>
      <c r="B697" s="17" t="s">
        <v>3180</v>
      </c>
      <c r="C697" s="13" t="s">
        <v>1340</v>
      </c>
      <c r="D697" s="13" t="s">
        <v>1341</v>
      </c>
      <c r="E697" s="17" t="s">
        <v>29</v>
      </c>
      <c r="F697" s="17" t="s">
        <v>43</v>
      </c>
      <c r="G697" s="17" t="s">
        <v>30</v>
      </c>
      <c r="H697" s="7">
        <v>450261</v>
      </c>
      <c r="I697" s="7">
        <v>219565</v>
      </c>
      <c r="J697" s="79">
        <v>166.48752099999999</v>
      </c>
      <c r="K697" s="79">
        <v>-22.225766</v>
      </c>
      <c r="L697" s="71">
        <v>270</v>
      </c>
      <c r="M697" s="73">
        <v>2</v>
      </c>
      <c r="N697" s="73">
        <v>1</v>
      </c>
      <c r="O697" s="73">
        <v>0</v>
      </c>
      <c r="P697" s="17" t="s">
        <v>37</v>
      </c>
      <c r="Q697" t="str">
        <f>LEFT(B697,3)</f>
        <v>NDI</v>
      </c>
    </row>
    <row r="698" spans="1:17">
      <c r="A698" s="17" t="s">
        <v>3183</v>
      </c>
      <c r="B698" s="17" t="s">
        <v>1344</v>
      </c>
      <c r="C698" s="13" t="s">
        <v>1201</v>
      </c>
      <c r="D698" s="13" t="s">
        <v>1201</v>
      </c>
      <c r="E698" s="17" t="s">
        <v>402</v>
      </c>
      <c r="F698" s="17" t="s">
        <v>68</v>
      </c>
      <c r="G698" s="17" t="s">
        <v>68</v>
      </c>
      <c r="H698" s="7">
        <v>375003.53865</v>
      </c>
      <c r="I698" s="7">
        <v>320423.49677999999</v>
      </c>
      <c r="J698" s="80">
        <v>165.75905156328301</v>
      </c>
      <c r="K698" s="80">
        <v>-21.315354584544501</v>
      </c>
      <c r="L698" s="71">
        <v>135</v>
      </c>
      <c r="M698" s="73">
        <v>1</v>
      </c>
      <c r="N698" s="73">
        <v>1</v>
      </c>
      <c r="O698" s="73">
        <v>1</v>
      </c>
      <c r="P698" s="17" t="s">
        <v>47</v>
      </c>
      <c r="Q698" t="str">
        <f>LEFT(B698,3)</f>
        <v>NDJ</v>
      </c>
    </row>
    <row r="699" spans="1:17">
      <c r="A699" s="17" t="s">
        <v>3184</v>
      </c>
      <c r="B699" s="17" t="s">
        <v>1344</v>
      </c>
      <c r="C699" s="13" t="s">
        <v>1201</v>
      </c>
      <c r="D699" s="13" t="s">
        <v>1201</v>
      </c>
      <c r="E699" s="17" t="s">
        <v>402</v>
      </c>
      <c r="F699" s="17" t="s">
        <v>68</v>
      </c>
      <c r="G699" s="17" t="s">
        <v>68</v>
      </c>
      <c r="H699" s="7">
        <v>375003.53865</v>
      </c>
      <c r="I699" s="7">
        <v>320423.49677999999</v>
      </c>
      <c r="J699" s="80">
        <v>165.75905156328301</v>
      </c>
      <c r="K699" s="80">
        <v>-21.315354584544501</v>
      </c>
      <c r="L699" s="71">
        <v>225</v>
      </c>
      <c r="M699" s="73">
        <v>1</v>
      </c>
      <c r="N699" s="73">
        <v>1</v>
      </c>
      <c r="O699" s="73">
        <v>1</v>
      </c>
      <c r="P699" s="17" t="s">
        <v>47</v>
      </c>
      <c r="Q699" t="str">
        <f>LEFT(B699,3)</f>
        <v>NDJ</v>
      </c>
    </row>
    <row r="700" spans="1:17">
      <c r="A700" s="17" t="s">
        <v>3185</v>
      </c>
      <c r="B700" s="17" t="s">
        <v>1344</v>
      </c>
      <c r="C700" s="13" t="s">
        <v>1201</v>
      </c>
      <c r="D700" s="13" t="s">
        <v>1201</v>
      </c>
      <c r="E700" s="17" t="s">
        <v>402</v>
      </c>
      <c r="F700" s="17" t="s">
        <v>68</v>
      </c>
      <c r="G700" s="17" t="s">
        <v>68</v>
      </c>
      <c r="H700" s="7">
        <v>375003.53865</v>
      </c>
      <c r="I700" s="7">
        <v>320423.49677999999</v>
      </c>
      <c r="J700" s="80">
        <v>165.75905156328301</v>
      </c>
      <c r="K700" s="80">
        <v>-21.315354584544501</v>
      </c>
      <c r="L700" s="71">
        <v>295</v>
      </c>
      <c r="M700" s="73">
        <v>2</v>
      </c>
      <c r="N700" s="73">
        <v>1</v>
      </c>
      <c r="O700" s="73">
        <v>1</v>
      </c>
      <c r="P700" s="17" t="s">
        <v>47</v>
      </c>
      <c r="Q700" t="str">
        <f>LEFT(B700,3)</f>
        <v>NDJ</v>
      </c>
    </row>
    <row r="701" spans="1:17">
      <c r="A701" s="17" t="s">
        <v>3186</v>
      </c>
      <c r="B701" s="17" t="s">
        <v>1347</v>
      </c>
      <c r="C701" s="13" t="s">
        <v>1348</v>
      </c>
      <c r="D701" s="13" t="s">
        <v>1348</v>
      </c>
      <c r="E701" s="17" t="s">
        <v>67</v>
      </c>
      <c r="F701" s="17" t="s">
        <v>68</v>
      </c>
      <c r="G701" s="17" t="s">
        <v>68</v>
      </c>
      <c r="H701" s="22">
        <v>280607</v>
      </c>
      <c r="I701" s="22">
        <v>348742</v>
      </c>
      <c r="J701" s="80">
        <v>164.85113999999999</v>
      </c>
      <c r="K701" s="83">
        <v>-21.055769999999999</v>
      </c>
      <c r="L701" s="71">
        <v>0</v>
      </c>
      <c r="M701" s="73">
        <v>1</v>
      </c>
      <c r="N701" s="73">
        <v>1</v>
      </c>
      <c r="O701" s="73">
        <v>1</v>
      </c>
      <c r="P701" s="17" t="s">
        <v>47</v>
      </c>
      <c r="Q701" t="str">
        <f>LEFT(B701,3)</f>
        <v>NEA</v>
      </c>
    </row>
    <row r="702" spans="1:17">
      <c r="A702" s="17" t="s">
        <v>3187</v>
      </c>
      <c r="B702" s="17" t="s">
        <v>1350</v>
      </c>
      <c r="C702" s="13" t="s">
        <v>1351</v>
      </c>
      <c r="D702" s="13" t="s">
        <v>1351</v>
      </c>
      <c r="E702" s="17" t="s">
        <v>351</v>
      </c>
      <c r="F702" s="17" t="s">
        <v>129</v>
      </c>
      <c r="G702" s="17" t="s">
        <v>129</v>
      </c>
      <c r="H702" s="7">
        <v>590966.27598999999</v>
      </c>
      <c r="I702" s="7">
        <v>299363.2365</v>
      </c>
      <c r="J702" s="80">
        <v>167.843122565166</v>
      </c>
      <c r="K702" s="80">
        <v>-21.4955851127236</v>
      </c>
      <c r="L702" s="71">
        <v>170</v>
      </c>
      <c r="M702" s="73">
        <v>1</v>
      </c>
      <c r="N702" s="73">
        <v>1</v>
      </c>
      <c r="O702" s="73">
        <v>1</v>
      </c>
      <c r="P702" s="17" t="s">
        <v>47</v>
      </c>
      <c r="Q702" t="str">
        <f>LEFT(B702,3)</f>
        <v>NEC</v>
      </c>
    </row>
    <row r="703" spans="1:17">
      <c r="A703" s="17" t="s">
        <v>3188</v>
      </c>
      <c r="B703" s="17" t="s">
        <v>1350</v>
      </c>
      <c r="C703" s="13" t="s">
        <v>1351</v>
      </c>
      <c r="D703" s="13" t="s">
        <v>1351</v>
      </c>
      <c r="E703" s="17" t="s">
        <v>351</v>
      </c>
      <c r="F703" s="17" t="s">
        <v>129</v>
      </c>
      <c r="G703" s="17" t="s">
        <v>129</v>
      </c>
      <c r="H703" s="7">
        <v>590966.27598999999</v>
      </c>
      <c r="I703" s="7">
        <v>299363.2365</v>
      </c>
      <c r="J703" s="80">
        <v>167.843122565166</v>
      </c>
      <c r="K703" s="80">
        <v>-21.4955851127236</v>
      </c>
      <c r="L703" s="71">
        <v>310</v>
      </c>
      <c r="M703" s="73">
        <v>1</v>
      </c>
      <c r="N703" s="73">
        <v>1</v>
      </c>
      <c r="O703" s="73">
        <v>1</v>
      </c>
      <c r="P703" s="17" t="s">
        <v>47</v>
      </c>
      <c r="Q703" t="str">
        <f>LEFT(B703,3)</f>
        <v>NEC</v>
      </c>
    </row>
    <row r="704" spans="1:17">
      <c r="A704" s="17" t="s">
        <v>3189</v>
      </c>
      <c r="B704" s="17" t="s">
        <v>1354</v>
      </c>
      <c r="C704" s="13" t="s">
        <v>1355</v>
      </c>
      <c r="D704" s="13" t="s">
        <v>1025</v>
      </c>
      <c r="E704" s="17" t="s">
        <v>148</v>
      </c>
      <c r="F704" s="17" t="s">
        <v>68</v>
      </c>
      <c r="G704" s="17" t="s">
        <v>68</v>
      </c>
      <c r="H704" s="7">
        <v>315572</v>
      </c>
      <c r="I704" s="7">
        <v>321881</v>
      </c>
      <c r="J704" s="80">
        <v>165.186238</v>
      </c>
      <c r="K704" s="80">
        <v>-21.300374000000001</v>
      </c>
      <c r="L704" s="71">
        <v>0</v>
      </c>
      <c r="M704" s="73">
        <v>1</v>
      </c>
      <c r="N704" s="73">
        <v>1</v>
      </c>
      <c r="O704" s="73">
        <v>1</v>
      </c>
      <c r="P704" s="17" t="s">
        <v>47</v>
      </c>
      <c r="Q704" t="str">
        <f>LEFT(B704,3)</f>
        <v>NEK</v>
      </c>
    </row>
    <row r="705" spans="1:17">
      <c r="A705" s="17" t="s">
        <v>3190</v>
      </c>
      <c r="B705" s="17" t="s">
        <v>1354</v>
      </c>
      <c r="C705" s="13" t="s">
        <v>1355</v>
      </c>
      <c r="D705" s="13" t="s">
        <v>1025</v>
      </c>
      <c r="E705" s="17" t="s">
        <v>148</v>
      </c>
      <c r="F705" s="17" t="s">
        <v>68</v>
      </c>
      <c r="G705" s="17" t="s">
        <v>68</v>
      </c>
      <c r="H705" s="7">
        <v>315572</v>
      </c>
      <c r="I705" s="7">
        <v>321881</v>
      </c>
      <c r="J705" s="80">
        <v>165.186238</v>
      </c>
      <c r="K705" s="80">
        <v>-21.300374000000001</v>
      </c>
      <c r="L705" s="71">
        <v>120</v>
      </c>
      <c r="M705" s="73">
        <v>1</v>
      </c>
      <c r="N705" s="73">
        <v>1</v>
      </c>
      <c r="O705" s="73">
        <v>1</v>
      </c>
      <c r="P705" s="17" t="s">
        <v>47</v>
      </c>
      <c r="Q705" t="str">
        <f>LEFT(B705,3)</f>
        <v>NEK</v>
      </c>
    </row>
    <row r="706" spans="1:17">
      <c r="A706" s="17" t="s">
        <v>3191</v>
      </c>
      <c r="B706" s="17" t="s">
        <v>1354</v>
      </c>
      <c r="C706" s="13" t="s">
        <v>1355</v>
      </c>
      <c r="D706" s="13" t="s">
        <v>1025</v>
      </c>
      <c r="E706" s="17" t="s">
        <v>148</v>
      </c>
      <c r="F706" s="17" t="s">
        <v>68</v>
      </c>
      <c r="G706" s="17" t="s">
        <v>68</v>
      </c>
      <c r="H706" s="7">
        <v>315572</v>
      </c>
      <c r="I706" s="7">
        <v>321881</v>
      </c>
      <c r="J706" s="80">
        <v>165.186238</v>
      </c>
      <c r="K706" s="80">
        <v>-21.300374000000001</v>
      </c>
      <c r="L706" s="71">
        <v>240</v>
      </c>
      <c r="M706" s="73">
        <v>1</v>
      </c>
      <c r="N706" s="73">
        <v>1</v>
      </c>
      <c r="O706" s="73">
        <v>1</v>
      </c>
      <c r="P706" s="17" t="s">
        <v>47</v>
      </c>
      <c r="Q706" t="str">
        <f>LEFT(B706,3)</f>
        <v>NEK</v>
      </c>
    </row>
    <row r="707" spans="1:17">
      <c r="A707" s="17" t="s">
        <v>3192</v>
      </c>
      <c r="B707" s="17" t="s">
        <v>1358</v>
      </c>
      <c r="C707" s="13" t="s">
        <v>1360</v>
      </c>
      <c r="D707" s="13" t="s">
        <v>1360</v>
      </c>
      <c r="E707" s="17" t="s">
        <v>191</v>
      </c>
      <c r="F707" s="17" t="s">
        <v>43</v>
      </c>
      <c r="G707" s="17" t="s">
        <v>43</v>
      </c>
      <c r="H707" s="7">
        <v>345681</v>
      </c>
      <c r="I707" s="7">
        <v>299210</v>
      </c>
      <c r="J707" s="80">
        <v>165.47570899999999</v>
      </c>
      <c r="K707" s="80">
        <v>-21.506312999999999</v>
      </c>
      <c r="L707" s="71">
        <v>20</v>
      </c>
      <c r="M707" s="73">
        <v>1</v>
      </c>
      <c r="N707" s="73">
        <v>1</v>
      </c>
      <c r="O707" s="73">
        <v>0</v>
      </c>
      <c r="P707" s="17" t="s">
        <v>47</v>
      </c>
      <c r="Q707" t="str">
        <f>LEFT(B707,3)</f>
        <v>NEM</v>
      </c>
    </row>
    <row r="708" spans="1:17">
      <c r="A708" s="17" t="s">
        <v>3193</v>
      </c>
      <c r="B708" s="17" t="s">
        <v>1358</v>
      </c>
      <c r="C708" s="13" t="s">
        <v>1360</v>
      </c>
      <c r="D708" s="13" t="s">
        <v>1360</v>
      </c>
      <c r="E708" s="17" t="s">
        <v>191</v>
      </c>
      <c r="F708" s="17" t="s">
        <v>43</v>
      </c>
      <c r="G708" s="17" t="s">
        <v>43</v>
      </c>
      <c r="H708" s="7">
        <v>345681</v>
      </c>
      <c r="I708" s="7">
        <v>299210</v>
      </c>
      <c r="J708" s="80">
        <v>165.47570899999999</v>
      </c>
      <c r="K708" s="80">
        <v>-21.506312999999999</v>
      </c>
      <c r="L708" s="71">
        <v>130</v>
      </c>
      <c r="M708" s="73">
        <v>1</v>
      </c>
      <c r="N708" s="73">
        <v>1</v>
      </c>
      <c r="O708" s="73">
        <v>0</v>
      </c>
      <c r="P708" s="17" t="s">
        <v>47</v>
      </c>
      <c r="Q708" t="str">
        <f>LEFT(B708,3)</f>
        <v>NEM</v>
      </c>
    </row>
    <row r="709" spans="1:17">
      <c r="A709" s="17" t="s">
        <v>3194</v>
      </c>
      <c r="B709" s="17" t="s">
        <v>1358</v>
      </c>
      <c r="C709" s="13" t="s">
        <v>1360</v>
      </c>
      <c r="D709" s="13" t="s">
        <v>1360</v>
      </c>
      <c r="E709" s="17" t="s">
        <v>191</v>
      </c>
      <c r="F709" s="17" t="s">
        <v>43</v>
      </c>
      <c r="G709" s="17" t="s">
        <v>43</v>
      </c>
      <c r="H709" s="7">
        <v>345681</v>
      </c>
      <c r="I709" s="7">
        <v>299210</v>
      </c>
      <c r="J709" s="80">
        <v>165.47570899999999</v>
      </c>
      <c r="K709" s="80">
        <v>-21.506312999999999</v>
      </c>
      <c r="L709" s="71">
        <v>200</v>
      </c>
      <c r="M709" s="73">
        <v>1</v>
      </c>
      <c r="N709" s="73">
        <v>1</v>
      </c>
      <c r="O709" s="73">
        <v>0</v>
      </c>
      <c r="P709" s="17" t="s">
        <v>47</v>
      </c>
      <c r="Q709" t="str">
        <f>LEFT(B709,3)</f>
        <v>NEM</v>
      </c>
    </row>
    <row r="710" spans="1:17">
      <c r="A710" s="17" t="s">
        <v>3195</v>
      </c>
      <c r="B710" s="17" t="s">
        <v>1362</v>
      </c>
      <c r="C710" s="13" t="s">
        <v>182</v>
      </c>
      <c r="D710" s="13" t="s">
        <v>182</v>
      </c>
      <c r="E710" s="17" t="s">
        <v>148</v>
      </c>
      <c r="F710" s="17" t="s">
        <v>68</v>
      </c>
      <c r="G710" s="17" t="s">
        <v>68</v>
      </c>
      <c r="H710" s="7">
        <v>295930.46753000002</v>
      </c>
      <c r="I710" s="7">
        <v>318706.84020999999</v>
      </c>
      <c r="J710" s="80">
        <v>164.99672615795899</v>
      </c>
      <c r="K710" s="80">
        <v>-21.3280120594153</v>
      </c>
      <c r="L710" s="71">
        <v>20</v>
      </c>
      <c r="M710" s="73">
        <v>2</v>
      </c>
      <c r="N710" s="73">
        <v>2</v>
      </c>
      <c r="O710" s="73">
        <v>1</v>
      </c>
      <c r="P710" s="17" t="s">
        <v>47</v>
      </c>
      <c r="Q710" t="str">
        <f>LEFT(B710,3)</f>
        <v>NEP</v>
      </c>
    </row>
    <row r="711" spans="1:17">
      <c r="A711" s="17" t="s">
        <v>3196</v>
      </c>
      <c r="B711" s="17" t="s">
        <v>1362</v>
      </c>
      <c r="C711" s="13" t="s">
        <v>182</v>
      </c>
      <c r="D711" s="13" t="s">
        <v>182</v>
      </c>
      <c r="E711" s="17" t="s">
        <v>148</v>
      </c>
      <c r="F711" s="17" t="s">
        <v>68</v>
      </c>
      <c r="G711" s="17" t="s">
        <v>68</v>
      </c>
      <c r="H711" s="7">
        <v>295930.46753000002</v>
      </c>
      <c r="I711" s="7">
        <v>318706.84020999999</v>
      </c>
      <c r="J711" s="80">
        <v>164.99672615795899</v>
      </c>
      <c r="K711" s="80">
        <v>-21.3280120594153</v>
      </c>
      <c r="L711" s="71">
        <v>140</v>
      </c>
      <c r="M711" s="73">
        <v>2</v>
      </c>
      <c r="N711" s="73">
        <v>2</v>
      </c>
      <c r="O711" s="73">
        <v>1</v>
      </c>
      <c r="P711" s="17" t="s">
        <v>47</v>
      </c>
      <c r="Q711" t="str">
        <f>LEFT(B711,3)</f>
        <v>NEP</v>
      </c>
    </row>
    <row r="712" spans="1:17">
      <c r="A712" s="17" t="s">
        <v>3197</v>
      </c>
      <c r="B712" s="17" t="s">
        <v>1362</v>
      </c>
      <c r="C712" s="13" t="s">
        <v>182</v>
      </c>
      <c r="D712" s="13" t="s">
        <v>182</v>
      </c>
      <c r="E712" s="17" t="s">
        <v>148</v>
      </c>
      <c r="F712" s="17" t="s">
        <v>68</v>
      </c>
      <c r="G712" s="17" t="s">
        <v>68</v>
      </c>
      <c r="H712" s="7">
        <v>295930.46753000002</v>
      </c>
      <c r="I712" s="7">
        <v>318706.84020999999</v>
      </c>
      <c r="J712" s="80">
        <v>164.99672615795899</v>
      </c>
      <c r="K712" s="80">
        <v>-21.3280120594153</v>
      </c>
      <c r="L712" s="71">
        <v>260</v>
      </c>
      <c r="M712" s="73">
        <v>1</v>
      </c>
      <c r="N712" s="73">
        <v>2</v>
      </c>
      <c r="O712" s="73">
        <v>1</v>
      </c>
      <c r="P712" s="17" t="s">
        <v>47</v>
      </c>
      <c r="Q712" t="str">
        <f>LEFT(B712,3)</f>
        <v>NEP</v>
      </c>
    </row>
    <row r="713" spans="1:17">
      <c r="A713" s="17" t="s">
        <v>3198</v>
      </c>
      <c r="B713" s="17" t="s">
        <v>1365</v>
      </c>
      <c r="C713" s="13" t="s">
        <v>1366</v>
      </c>
      <c r="D713" s="13" t="s">
        <v>1366</v>
      </c>
      <c r="E713" s="17" t="s">
        <v>98</v>
      </c>
      <c r="F713" s="17" t="s">
        <v>68</v>
      </c>
      <c r="G713" s="17" t="s">
        <v>68</v>
      </c>
      <c r="H713" s="7">
        <v>403796.32564</v>
      </c>
      <c r="I713" s="7">
        <v>295904.03084999998</v>
      </c>
      <c r="J713" s="80">
        <v>166.036646900287</v>
      </c>
      <c r="K713" s="80">
        <v>-21.536992808107701</v>
      </c>
      <c r="L713" s="71">
        <v>70</v>
      </c>
      <c r="M713" s="73">
        <v>1</v>
      </c>
      <c r="N713" s="73">
        <v>2</v>
      </c>
      <c r="O713" s="73">
        <v>1</v>
      </c>
      <c r="P713" s="17" t="s">
        <v>47</v>
      </c>
      <c r="Q713" t="str">
        <f>LEFT(B713,3)</f>
        <v>NER</v>
      </c>
    </row>
    <row r="714" spans="1:17">
      <c r="A714" s="17" t="s">
        <v>3199</v>
      </c>
      <c r="B714" s="17" t="s">
        <v>1365</v>
      </c>
      <c r="C714" s="13" t="s">
        <v>1366</v>
      </c>
      <c r="D714" s="13" t="s">
        <v>1366</v>
      </c>
      <c r="E714" s="17" t="s">
        <v>98</v>
      </c>
      <c r="F714" s="17" t="s">
        <v>68</v>
      </c>
      <c r="G714" s="17" t="s">
        <v>68</v>
      </c>
      <c r="H714" s="7">
        <v>403796.32564</v>
      </c>
      <c r="I714" s="7">
        <v>295904.03084999998</v>
      </c>
      <c r="J714" s="80">
        <v>166.036646900287</v>
      </c>
      <c r="K714" s="80">
        <v>-21.536992808107701</v>
      </c>
      <c r="L714" s="71">
        <v>160</v>
      </c>
      <c r="M714" s="73">
        <v>1</v>
      </c>
      <c r="N714" s="73">
        <v>2</v>
      </c>
      <c r="O714" s="73">
        <v>1</v>
      </c>
      <c r="P714" s="17" t="s">
        <v>47</v>
      </c>
      <c r="Q714" t="str">
        <f>LEFT(B714,3)</f>
        <v>NER</v>
      </c>
    </row>
    <row r="715" spans="1:17">
      <c r="A715" s="17" t="s">
        <v>3200</v>
      </c>
      <c r="B715" s="17" t="s">
        <v>1365</v>
      </c>
      <c r="C715" s="13" t="s">
        <v>1366</v>
      </c>
      <c r="D715" s="13" t="s">
        <v>1366</v>
      </c>
      <c r="E715" s="17" t="s">
        <v>98</v>
      </c>
      <c r="F715" s="17" t="s">
        <v>68</v>
      </c>
      <c r="G715" s="17" t="s">
        <v>68</v>
      </c>
      <c r="H715" s="7">
        <v>403796.32564</v>
      </c>
      <c r="I715" s="7">
        <v>295904.03084999998</v>
      </c>
      <c r="J715" s="80">
        <v>166.036646900287</v>
      </c>
      <c r="K715" s="80">
        <v>-21.536992808107701</v>
      </c>
      <c r="L715" s="71">
        <v>250</v>
      </c>
      <c r="M715" s="73">
        <v>1</v>
      </c>
      <c r="N715" s="73">
        <v>2</v>
      </c>
      <c r="O715" s="73">
        <v>1</v>
      </c>
      <c r="P715" s="17" t="s">
        <v>47</v>
      </c>
      <c r="Q715" t="str">
        <f>LEFT(B715,3)</f>
        <v>NER</v>
      </c>
    </row>
    <row r="716" spans="1:17">
      <c r="A716" s="17" t="s">
        <v>3201</v>
      </c>
      <c r="B716" s="17" t="s">
        <v>1369</v>
      </c>
      <c r="C716" s="13" t="s">
        <v>1371</v>
      </c>
      <c r="D716" s="13" t="s">
        <v>1371</v>
      </c>
      <c r="E716" s="17" t="s">
        <v>191</v>
      </c>
      <c r="F716" s="17" t="s">
        <v>43</v>
      </c>
      <c r="G716" s="17" t="s">
        <v>43</v>
      </c>
      <c r="H716" s="7">
        <v>350757.59094999998</v>
      </c>
      <c r="I716" s="7">
        <v>283527.91330000001</v>
      </c>
      <c r="J716" s="80">
        <v>165.52425147680501</v>
      </c>
      <c r="K716" s="80">
        <v>-21.648104229366201</v>
      </c>
      <c r="L716" s="71">
        <v>35</v>
      </c>
      <c r="M716" s="73">
        <v>1</v>
      </c>
      <c r="N716" s="73">
        <v>2</v>
      </c>
      <c r="O716" s="73">
        <v>1</v>
      </c>
      <c r="P716" s="17" t="s">
        <v>47</v>
      </c>
      <c r="Q716" t="str">
        <f>LEFT(B716,3)</f>
        <v>NES</v>
      </c>
    </row>
    <row r="717" spans="1:17">
      <c r="A717" s="17" t="s">
        <v>3202</v>
      </c>
      <c r="B717" s="17" t="s">
        <v>1369</v>
      </c>
      <c r="C717" s="13" t="s">
        <v>1371</v>
      </c>
      <c r="D717" s="13" t="s">
        <v>1371</v>
      </c>
      <c r="E717" s="17" t="s">
        <v>191</v>
      </c>
      <c r="F717" s="17" t="s">
        <v>43</v>
      </c>
      <c r="G717" s="17" t="s">
        <v>43</v>
      </c>
      <c r="H717" s="7">
        <v>350757.59094999998</v>
      </c>
      <c r="I717" s="7">
        <v>283527.91330000001</v>
      </c>
      <c r="J717" s="80">
        <v>165.52425147680501</v>
      </c>
      <c r="K717" s="80">
        <v>-21.648104229366201</v>
      </c>
      <c r="L717" s="71">
        <v>140</v>
      </c>
      <c r="M717" s="73">
        <v>1</v>
      </c>
      <c r="N717" s="73">
        <v>2</v>
      </c>
      <c r="O717" s="73">
        <v>1</v>
      </c>
      <c r="P717" s="17" t="s">
        <v>47</v>
      </c>
      <c r="Q717" t="str">
        <f>LEFT(B717,3)</f>
        <v>NES</v>
      </c>
    </row>
    <row r="718" spans="1:17">
      <c r="A718" s="17" t="s">
        <v>3203</v>
      </c>
      <c r="B718" s="17" t="s">
        <v>1369</v>
      </c>
      <c r="C718" s="13" t="s">
        <v>1371</v>
      </c>
      <c r="D718" s="13" t="s">
        <v>1371</v>
      </c>
      <c r="E718" s="17" t="s">
        <v>191</v>
      </c>
      <c r="F718" s="17" t="s">
        <v>43</v>
      </c>
      <c r="G718" s="17" t="s">
        <v>43</v>
      </c>
      <c r="H718" s="7">
        <v>350757.59094999998</v>
      </c>
      <c r="I718" s="7">
        <v>283527.91330000001</v>
      </c>
      <c r="J718" s="80">
        <v>165.52425147680501</v>
      </c>
      <c r="K718" s="80">
        <v>-21.648104229366201</v>
      </c>
      <c r="L718" s="71">
        <v>305</v>
      </c>
      <c r="M718" s="73">
        <v>1</v>
      </c>
      <c r="N718" s="73">
        <v>2</v>
      </c>
      <c r="O718" s="73">
        <v>1</v>
      </c>
      <c r="P718" s="17" t="s">
        <v>47</v>
      </c>
      <c r="Q718" t="str">
        <f>LEFT(B718,3)</f>
        <v>NES</v>
      </c>
    </row>
    <row r="719" spans="1:17">
      <c r="A719" s="17" t="s">
        <v>3204</v>
      </c>
      <c r="B719" s="17" t="s">
        <v>1373</v>
      </c>
      <c r="C719" s="13" t="s">
        <v>1374</v>
      </c>
      <c r="D719" s="13" t="s">
        <v>1374</v>
      </c>
      <c r="E719" s="17" t="s">
        <v>402</v>
      </c>
      <c r="F719" s="17" t="s">
        <v>68</v>
      </c>
      <c r="G719" s="17" t="s">
        <v>68</v>
      </c>
      <c r="H719" s="7">
        <v>363608</v>
      </c>
      <c r="I719" s="7">
        <v>308254</v>
      </c>
      <c r="J719" s="80">
        <v>165.64893699999999</v>
      </c>
      <c r="K719" s="80">
        <v>-21.425077000000002</v>
      </c>
      <c r="L719" s="71">
        <v>120</v>
      </c>
      <c r="M719" s="73">
        <v>1</v>
      </c>
      <c r="N719" s="73">
        <v>1</v>
      </c>
      <c r="O719" s="73">
        <v>0</v>
      </c>
      <c r="P719" s="17" t="s">
        <v>47</v>
      </c>
      <c r="Q719" t="str">
        <f>LEFT(B719,3)</f>
        <v>NEW</v>
      </c>
    </row>
    <row r="720" spans="1:17">
      <c r="A720" s="17" t="s">
        <v>3205</v>
      </c>
      <c r="B720" s="17" t="s">
        <v>1373</v>
      </c>
      <c r="C720" s="13" t="s">
        <v>1374</v>
      </c>
      <c r="D720" s="13" t="s">
        <v>1374</v>
      </c>
      <c r="E720" s="17" t="s">
        <v>402</v>
      </c>
      <c r="F720" s="17" t="s">
        <v>68</v>
      </c>
      <c r="G720" s="17" t="s">
        <v>68</v>
      </c>
      <c r="H720" s="7">
        <v>363608</v>
      </c>
      <c r="I720" s="7">
        <v>308254</v>
      </c>
      <c r="J720" s="80">
        <v>165.64893699999999</v>
      </c>
      <c r="K720" s="80">
        <v>-21.425077000000002</v>
      </c>
      <c r="L720" s="71">
        <v>244</v>
      </c>
      <c r="M720" s="73">
        <v>1</v>
      </c>
      <c r="N720" s="73">
        <v>1</v>
      </c>
      <c r="O720" s="73">
        <v>0</v>
      </c>
      <c r="P720" s="17" t="s">
        <v>47</v>
      </c>
      <c r="Q720" t="str">
        <f>LEFT(B720,3)</f>
        <v>NEW</v>
      </c>
    </row>
    <row r="721" spans="1:17">
      <c r="A721" s="17" t="s">
        <v>3206</v>
      </c>
      <c r="B721" s="17" t="s">
        <v>1373</v>
      </c>
      <c r="C721" s="13" t="s">
        <v>1374</v>
      </c>
      <c r="D721" s="13" t="s">
        <v>1374</v>
      </c>
      <c r="E721" s="17" t="s">
        <v>402</v>
      </c>
      <c r="F721" s="17" t="s">
        <v>68</v>
      </c>
      <c r="G721" s="17" t="s">
        <v>68</v>
      </c>
      <c r="H721" s="7">
        <v>363608</v>
      </c>
      <c r="I721" s="7">
        <v>308254</v>
      </c>
      <c r="J721" s="80">
        <v>165.64893699999999</v>
      </c>
      <c r="K721" s="80">
        <v>-21.425077000000002</v>
      </c>
      <c r="L721" s="71">
        <v>326</v>
      </c>
      <c r="M721" s="73">
        <v>1</v>
      </c>
      <c r="N721" s="73">
        <v>1</v>
      </c>
      <c r="O721" s="73">
        <v>0</v>
      </c>
      <c r="P721" s="17" t="s">
        <v>47</v>
      </c>
      <c r="Q721" t="str">
        <f>LEFT(B721,3)</f>
        <v>NEW</v>
      </c>
    </row>
    <row r="722" spans="1:17">
      <c r="A722" s="13" t="s">
        <v>3207</v>
      </c>
      <c r="B722" s="13" t="s">
        <v>1376</v>
      </c>
      <c r="C722" s="13" t="s">
        <v>1377</v>
      </c>
      <c r="D722" s="28" t="s">
        <v>352</v>
      </c>
      <c r="E722" s="28" t="s">
        <v>351</v>
      </c>
      <c r="F722" s="28" t="s">
        <v>129</v>
      </c>
      <c r="G722" s="28" t="s">
        <v>129</v>
      </c>
      <c r="H722" s="22">
        <v>595239</v>
      </c>
      <c r="I722" s="22">
        <v>287861</v>
      </c>
      <c r="J722" s="83">
        <v>167.88570000000001</v>
      </c>
      <c r="K722" s="83">
        <v>-21.59901</v>
      </c>
      <c r="L722" s="71">
        <v>0</v>
      </c>
      <c r="M722" s="73">
        <v>1</v>
      </c>
      <c r="N722" s="73">
        <v>1</v>
      </c>
      <c r="O722" s="73">
        <v>0</v>
      </c>
      <c r="P722" s="17" t="s">
        <v>47</v>
      </c>
      <c r="Q722" t="str">
        <f>LEFT(B722,3)</f>
        <v>NGV</v>
      </c>
    </row>
    <row r="723" spans="1:17">
      <c r="A723" s="17" t="s">
        <v>3208</v>
      </c>
      <c r="B723" s="17" t="s">
        <v>1381</v>
      </c>
      <c r="C723" s="13" t="s">
        <v>1382</v>
      </c>
      <c r="D723" s="13" t="s">
        <v>1382</v>
      </c>
      <c r="E723" s="17" t="s">
        <v>602</v>
      </c>
      <c r="F723" s="17" t="s">
        <v>43</v>
      </c>
      <c r="G723" s="17" t="s">
        <v>43</v>
      </c>
      <c r="H723" s="7">
        <v>381536.72129000002</v>
      </c>
      <c r="I723" s="7">
        <v>277545.74569000001</v>
      </c>
      <c r="J723" s="80">
        <v>165.821554426907</v>
      </c>
      <c r="K723" s="80">
        <v>-21.702716549560101</v>
      </c>
      <c r="L723" s="71">
        <v>110</v>
      </c>
      <c r="M723" s="73">
        <v>2</v>
      </c>
      <c r="N723" s="73">
        <v>2</v>
      </c>
      <c r="O723" s="73">
        <v>1</v>
      </c>
      <c r="P723" s="17" t="s">
        <v>47</v>
      </c>
      <c r="Q723" t="str">
        <f>LEFT(B723,3)</f>
        <v>NIL</v>
      </c>
    </row>
    <row r="724" spans="1:17">
      <c r="A724" s="17" t="s">
        <v>3209</v>
      </c>
      <c r="B724" s="17" t="s">
        <v>1381</v>
      </c>
      <c r="C724" s="13" t="s">
        <v>1382</v>
      </c>
      <c r="D724" s="13" t="s">
        <v>1382</v>
      </c>
      <c r="E724" s="17" t="s">
        <v>602</v>
      </c>
      <c r="F724" s="17" t="s">
        <v>43</v>
      </c>
      <c r="G724" s="17" t="s">
        <v>43</v>
      </c>
      <c r="H724" s="7">
        <v>381536.72129000002</v>
      </c>
      <c r="I724" s="7">
        <v>277545.74569000001</v>
      </c>
      <c r="J724" s="80">
        <v>165.821554426907</v>
      </c>
      <c r="K724" s="80">
        <v>-21.702716549560101</v>
      </c>
      <c r="L724" s="71">
        <v>190</v>
      </c>
      <c r="M724" s="73">
        <v>2</v>
      </c>
      <c r="N724" s="73">
        <v>2</v>
      </c>
      <c r="O724" s="73">
        <v>1</v>
      </c>
      <c r="P724" s="17" t="s">
        <v>47</v>
      </c>
      <c r="Q724" t="str">
        <f>LEFT(B724,3)</f>
        <v>NIL</v>
      </c>
    </row>
    <row r="725" spans="1:17">
      <c r="A725" s="17" t="s">
        <v>3210</v>
      </c>
      <c r="B725" s="17" t="s">
        <v>1381</v>
      </c>
      <c r="C725" s="13" t="s">
        <v>1382</v>
      </c>
      <c r="D725" s="13" t="s">
        <v>1382</v>
      </c>
      <c r="E725" s="17" t="s">
        <v>602</v>
      </c>
      <c r="F725" s="17" t="s">
        <v>43</v>
      </c>
      <c r="G725" s="17" t="s">
        <v>43</v>
      </c>
      <c r="H725" s="7">
        <v>381536.72129000002</v>
      </c>
      <c r="I725" s="7">
        <v>277545.74569000001</v>
      </c>
      <c r="J725" s="80">
        <v>165.821554426907</v>
      </c>
      <c r="K725" s="80">
        <v>-21.702716549560101</v>
      </c>
      <c r="L725" s="71">
        <v>280</v>
      </c>
      <c r="M725" s="73">
        <v>2</v>
      </c>
      <c r="N725" s="73">
        <v>2</v>
      </c>
      <c r="O725" s="73">
        <v>1</v>
      </c>
      <c r="P725" s="17" t="s">
        <v>47</v>
      </c>
      <c r="Q725" t="str">
        <f>LEFT(B725,3)</f>
        <v>NIL</v>
      </c>
    </row>
    <row r="726" spans="1:17">
      <c r="A726" s="17" t="s">
        <v>3211</v>
      </c>
      <c r="B726" s="17" t="s">
        <v>1385</v>
      </c>
      <c r="C726" s="13" t="s">
        <v>3212</v>
      </c>
      <c r="D726" s="13" t="s">
        <v>1387</v>
      </c>
      <c r="E726" s="3" t="s">
        <v>402</v>
      </c>
      <c r="F726" s="17" t="s">
        <v>68</v>
      </c>
      <c r="G726" s="17" t="s">
        <v>68</v>
      </c>
      <c r="H726" s="7">
        <v>351063</v>
      </c>
      <c r="I726" s="7">
        <v>323769</v>
      </c>
      <c r="J726" s="79">
        <v>165.52837</v>
      </c>
      <c r="K726" s="79">
        <v>-21.28464</v>
      </c>
      <c r="L726" s="71">
        <v>120</v>
      </c>
      <c r="M726" s="73">
        <v>1</v>
      </c>
      <c r="N726" s="73">
        <v>1</v>
      </c>
      <c r="O726" s="73">
        <v>0</v>
      </c>
      <c r="P726" s="17" t="s">
        <v>47</v>
      </c>
      <c r="Q726" t="str">
        <f>LEFT(B726,3)</f>
        <v>NKA</v>
      </c>
    </row>
    <row r="727" spans="1:17">
      <c r="A727" s="17" t="s">
        <v>3213</v>
      </c>
      <c r="B727" s="17" t="s">
        <v>1385</v>
      </c>
      <c r="C727" s="13" t="s">
        <v>3212</v>
      </c>
      <c r="D727" s="13" t="s">
        <v>1387</v>
      </c>
      <c r="E727" s="3" t="s">
        <v>402</v>
      </c>
      <c r="F727" s="17" t="s">
        <v>68</v>
      </c>
      <c r="G727" s="17" t="s">
        <v>68</v>
      </c>
      <c r="H727" s="4">
        <v>349861</v>
      </c>
      <c r="I727" s="4">
        <v>322755</v>
      </c>
      <c r="J727" s="79">
        <v>165.51676</v>
      </c>
      <c r="K727" s="79">
        <v>-21.293759999999999</v>
      </c>
      <c r="L727" s="71">
        <v>16</v>
      </c>
      <c r="M727" s="73">
        <v>1</v>
      </c>
      <c r="N727" s="73">
        <v>1</v>
      </c>
      <c r="O727" s="73">
        <v>0</v>
      </c>
      <c r="P727" s="17" t="s">
        <v>47</v>
      </c>
      <c r="Q727" t="str">
        <f>LEFT(B727,3)</f>
        <v>NKA</v>
      </c>
    </row>
    <row r="728" spans="1:17">
      <c r="A728" s="17" t="s">
        <v>3214</v>
      </c>
      <c r="B728" s="17" t="s">
        <v>1385</v>
      </c>
      <c r="C728" s="13" t="s">
        <v>3212</v>
      </c>
      <c r="D728" s="13" t="s">
        <v>1387</v>
      </c>
      <c r="E728" s="3" t="s">
        <v>402</v>
      </c>
      <c r="F728" s="17" t="s">
        <v>68</v>
      </c>
      <c r="G728" s="17" t="s">
        <v>68</v>
      </c>
      <c r="H728" s="4">
        <v>349861</v>
      </c>
      <c r="I728" s="4">
        <v>322755</v>
      </c>
      <c r="J728" s="79">
        <v>165.51676</v>
      </c>
      <c r="K728" s="79">
        <v>-21.293759999999999</v>
      </c>
      <c r="L728" s="71">
        <v>212</v>
      </c>
      <c r="M728" s="73">
        <v>1</v>
      </c>
      <c r="N728" s="73">
        <v>1</v>
      </c>
      <c r="O728" s="73">
        <v>0</v>
      </c>
      <c r="P728" s="17" t="s">
        <v>47</v>
      </c>
      <c r="Q728" t="str">
        <f>LEFT(B728,3)</f>
        <v>NKA</v>
      </c>
    </row>
    <row r="729" spans="1:17">
      <c r="A729" s="2" t="s">
        <v>3215</v>
      </c>
      <c r="B729" s="2" t="s">
        <v>1392</v>
      </c>
      <c r="C729" s="13" t="s">
        <v>3216</v>
      </c>
      <c r="D729" s="13" t="s">
        <v>1393</v>
      </c>
      <c r="E729" s="17" t="s">
        <v>562</v>
      </c>
      <c r="F729" s="17" t="s">
        <v>43</v>
      </c>
      <c r="G729" s="17" t="s">
        <v>43</v>
      </c>
      <c r="H729" s="7">
        <v>414022</v>
      </c>
      <c r="I729" s="2">
        <v>277783</v>
      </c>
      <c r="J729" s="80">
        <v>166.13552100000001</v>
      </c>
      <c r="K729" s="80">
        <v>-21.700616</v>
      </c>
      <c r="L729" s="71">
        <v>120</v>
      </c>
      <c r="M729" s="73">
        <v>1</v>
      </c>
      <c r="N729" s="73">
        <v>1</v>
      </c>
      <c r="O729" s="73">
        <v>0</v>
      </c>
      <c r="P729" s="17" t="s">
        <v>47</v>
      </c>
      <c r="Q729" t="str">
        <f>LEFT(B729,3)</f>
        <v>NKL</v>
      </c>
    </row>
    <row r="730" spans="1:17">
      <c r="A730" s="17" t="s">
        <v>3217</v>
      </c>
      <c r="B730" s="17" t="s">
        <v>1395</v>
      </c>
      <c r="C730" s="17" t="s">
        <v>1396</v>
      </c>
      <c r="D730" s="17" t="s">
        <v>1396</v>
      </c>
      <c r="E730" s="17" t="s">
        <v>98</v>
      </c>
      <c r="F730" s="17" t="s">
        <v>43</v>
      </c>
      <c r="G730" s="17" t="s">
        <v>43</v>
      </c>
      <c r="H730" s="22">
        <v>388321</v>
      </c>
      <c r="I730" s="22">
        <v>294568</v>
      </c>
      <c r="J730" s="83">
        <v>165.88723999999999</v>
      </c>
      <c r="K730" s="80">
        <v>-21.549029999999998</v>
      </c>
      <c r="L730" s="73">
        <v>210</v>
      </c>
      <c r="M730" s="73">
        <v>1</v>
      </c>
      <c r="N730" s="73">
        <v>1</v>
      </c>
      <c r="O730" s="72">
        <v>0</v>
      </c>
      <c r="P730" s="17" t="s">
        <v>47</v>
      </c>
      <c r="Q730" t="str">
        <f>LEFT(B730,3)</f>
        <v>NKR</v>
      </c>
    </row>
    <row r="731" spans="1:17">
      <c r="A731" s="17" t="s">
        <v>3218</v>
      </c>
      <c r="B731" s="17" t="s">
        <v>1395</v>
      </c>
      <c r="C731" s="17" t="s">
        <v>1396</v>
      </c>
      <c r="D731" s="17" t="s">
        <v>1396</v>
      </c>
      <c r="E731" s="17" t="s">
        <v>98</v>
      </c>
      <c r="F731" s="17" t="s">
        <v>43</v>
      </c>
      <c r="G731" s="17" t="s">
        <v>43</v>
      </c>
      <c r="H731" s="22">
        <v>388321</v>
      </c>
      <c r="I731" s="22">
        <v>294568</v>
      </c>
      <c r="J731" s="83">
        <v>165.88723999999999</v>
      </c>
      <c r="K731" s="80">
        <v>-21.549029999999998</v>
      </c>
      <c r="L731" s="71">
        <v>340</v>
      </c>
      <c r="M731" s="73">
        <v>1</v>
      </c>
      <c r="N731" s="73">
        <v>1</v>
      </c>
      <c r="O731" s="73">
        <v>0</v>
      </c>
      <c r="P731" s="17" t="s">
        <v>47</v>
      </c>
      <c r="Q731" t="str">
        <f>LEFT(B731,3)</f>
        <v>NKR</v>
      </c>
    </row>
    <row r="732" spans="1:17">
      <c r="A732" s="17" t="s">
        <v>3219</v>
      </c>
      <c r="B732" s="17" t="s">
        <v>1399</v>
      </c>
      <c r="C732" s="13" t="s">
        <v>1400</v>
      </c>
      <c r="D732" s="13" t="s">
        <v>1400</v>
      </c>
      <c r="E732" s="17" t="s">
        <v>191</v>
      </c>
      <c r="F732" s="17" t="s">
        <v>43</v>
      </c>
      <c r="G732" s="17" t="s">
        <v>43</v>
      </c>
      <c r="H732" s="7">
        <v>345075.82543999999</v>
      </c>
      <c r="I732" s="7">
        <v>294502.61793000001</v>
      </c>
      <c r="J732" s="80">
        <v>165.46971527138999</v>
      </c>
      <c r="K732" s="80">
        <v>-21.548809798698699</v>
      </c>
      <c r="L732" s="71">
        <v>83</v>
      </c>
      <c r="M732" s="73">
        <v>1</v>
      </c>
      <c r="N732" s="73">
        <v>1</v>
      </c>
      <c r="O732" s="73">
        <v>1</v>
      </c>
      <c r="P732" s="17" t="s">
        <v>47</v>
      </c>
      <c r="Q732" t="str">
        <f>LEFT(B732,3)</f>
        <v>NKU</v>
      </c>
    </row>
    <row r="733" spans="1:17">
      <c r="A733" s="17" t="s">
        <v>3220</v>
      </c>
      <c r="B733" s="17" t="s">
        <v>1399</v>
      </c>
      <c r="C733" s="13" t="s">
        <v>1400</v>
      </c>
      <c r="D733" s="13" t="s">
        <v>1400</v>
      </c>
      <c r="E733" s="17" t="s">
        <v>191</v>
      </c>
      <c r="F733" s="17" t="s">
        <v>43</v>
      </c>
      <c r="G733" s="17" t="s">
        <v>43</v>
      </c>
      <c r="H733" s="7">
        <v>345075.82543999999</v>
      </c>
      <c r="I733" s="7">
        <v>294502.61793000001</v>
      </c>
      <c r="J733" s="80">
        <v>165.46971527138999</v>
      </c>
      <c r="K733" s="80">
        <v>-21.548809798698699</v>
      </c>
      <c r="L733" s="71">
        <v>338</v>
      </c>
      <c r="M733" s="73">
        <v>1</v>
      </c>
      <c r="N733" s="73">
        <v>1</v>
      </c>
      <c r="O733" s="73">
        <v>1</v>
      </c>
      <c r="P733" s="17" t="s">
        <v>47</v>
      </c>
      <c r="Q733" t="str">
        <f>LEFT(B733,3)</f>
        <v>NKU</v>
      </c>
    </row>
    <row r="734" spans="1:17">
      <c r="A734" s="20" t="s">
        <v>3221</v>
      </c>
      <c r="B734" s="20" t="s">
        <v>1403</v>
      </c>
      <c r="C734" s="13" t="s">
        <v>1404</v>
      </c>
      <c r="D734" s="13" t="s">
        <v>1405</v>
      </c>
      <c r="E734" s="17" t="s">
        <v>67</v>
      </c>
      <c r="F734" s="17" t="s">
        <v>68</v>
      </c>
      <c r="G734" s="17" t="s">
        <v>68</v>
      </c>
      <c r="H734" s="21">
        <v>296115</v>
      </c>
      <c r="I734" s="21">
        <v>354408</v>
      </c>
      <c r="J734" s="82">
        <v>165.000709</v>
      </c>
      <c r="K734" s="82">
        <v>-21.005549999999999</v>
      </c>
      <c r="L734" s="71">
        <v>62</v>
      </c>
      <c r="M734" s="73">
        <v>1</v>
      </c>
      <c r="N734" s="73">
        <v>1</v>
      </c>
      <c r="O734" s="73">
        <v>0</v>
      </c>
      <c r="P734" s="17" t="s">
        <v>47</v>
      </c>
      <c r="Q734" t="str">
        <f>LEFT(B734,3)</f>
        <v>NMI</v>
      </c>
    </row>
    <row r="735" spans="1:17">
      <c r="A735" s="20" t="s">
        <v>3222</v>
      </c>
      <c r="B735" s="20" t="s">
        <v>1403</v>
      </c>
      <c r="C735" s="13" t="s">
        <v>1404</v>
      </c>
      <c r="D735" s="13" t="s">
        <v>1405</v>
      </c>
      <c r="E735" s="17" t="s">
        <v>67</v>
      </c>
      <c r="F735" s="17" t="s">
        <v>68</v>
      </c>
      <c r="G735" s="17" t="s">
        <v>68</v>
      </c>
      <c r="H735" s="21">
        <v>296115</v>
      </c>
      <c r="I735" s="21">
        <v>354408</v>
      </c>
      <c r="J735" s="82">
        <v>165.000709</v>
      </c>
      <c r="K735" s="82">
        <v>-21.005549999999999</v>
      </c>
      <c r="L735" s="71">
        <v>176</v>
      </c>
      <c r="M735" s="73">
        <v>1</v>
      </c>
      <c r="N735" s="73">
        <v>1</v>
      </c>
      <c r="O735" s="73">
        <v>0</v>
      </c>
      <c r="P735" s="17" t="s">
        <v>47</v>
      </c>
      <c r="Q735" t="str">
        <f>LEFT(B735,3)</f>
        <v>NMI</v>
      </c>
    </row>
    <row r="736" spans="1:17">
      <c r="A736" s="20" t="s">
        <v>3223</v>
      </c>
      <c r="B736" s="20" t="s">
        <v>1403</v>
      </c>
      <c r="C736" s="13" t="s">
        <v>1404</v>
      </c>
      <c r="D736" s="13" t="s">
        <v>1405</v>
      </c>
      <c r="E736" s="17" t="s">
        <v>67</v>
      </c>
      <c r="F736" s="17" t="s">
        <v>68</v>
      </c>
      <c r="G736" s="17" t="s">
        <v>68</v>
      </c>
      <c r="H736" s="21">
        <v>296115</v>
      </c>
      <c r="I736" s="21">
        <v>354408</v>
      </c>
      <c r="J736" s="82">
        <v>165.000709</v>
      </c>
      <c r="K736" s="82">
        <v>-21.005549999999999</v>
      </c>
      <c r="L736" s="71">
        <v>301</v>
      </c>
      <c r="M736" s="73">
        <v>1</v>
      </c>
      <c r="N736" s="73">
        <v>1</v>
      </c>
      <c r="O736" s="73">
        <v>0</v>
      </c>
      <c r="P736" s="17" t="s">
        <v>47</v>
      </c>
      <c r="Q736" t="str">
        <f>LEFT(B736,3)</f>
        <v>NMI</v>
      </c>
    </row>
    <row r="737" spans="1:17">
      <c r="A737" s="20" t="s">
        <v>3224</v>
      </c>
      <c r="B737" s="20" t="s">
        <v>1407</v>
      </c>
      <c r="C737" s="13" t="s">
        <v>1408</v>
      </c>
      <c r="D737" s="13" t="s">
        <v>390</v>
      </c>
      <c r="E737" s="17" t="s">
        <v>373</v>
      </c>
      <c r="F737" s="17" t="s">
        <v>129</v>
      </c>
      <c r="G737" s="17" t="s">
        <v>129</v>
      </c>
      <c r="H737" s="21">
        <v>527358</v>
      </c>
      <c r="I737" s="21">
        <v>375663</v>
      </c>
      <c r="J737" s="82">
        <v>167.22347300000001</v>
      </c>
      <c r="K737" s="82">
        <v>-20.812065</v>
      </c>
      <c r="L737" s="71">
        <v>7</v>
      </c>
      <c r="M737" s="73">
        <v>1</v>
      </c>
      <c r="N737" s="73">
        <v>1</v>
      </c>
      <c r="O737" s="73">
        <v>0</v>
      </c>
      <c r="P737" s="17" t="s">
        <v>47</v>
      </c>
      <c r="Q737" t="str">
        <f>LEFT(B737,3)</f>
        <v>NNG</v>
      </c>
    </row>
    <row r="738" spans="1:17">
      <c r="A738" s="20" t="s">
        <v>3225</v>
      </c>
      <c r="B738" s="20" t="s">
        <v>1407</v>
      </c>
      <c r="C738" s="13" t="s">
        <v>1408</v>
      </c>
      <c r="D738" s="13" t="s">
        <v>390</v>
      </c>
      <c r="E738" s="17" t="s">
        <v>373</v>
      </c>
      <c r="F738" s="17" t="s">
        <v>129</v>
      </c>
      <c r="G738" s="17" t="s">
        <v>129</v>
      </c>
      <c r="H738" s="21">
        <v>527358</v>
      </c>
      <c r="I738" s="21">
        <v>375663</v>
      </c>
      <c r="J738" s="82">
        <v>167.22347300000001</v>
      </c>
      <c r="K738" s="82">
        <v>-20.812065</v>
      </c>
      <c r="L738" s="71">
        <v>100</v>
      </c>
      <c r="M738" s="73">
        <v>1</v>
      </c>
      <c r="N738" s="73">
        <v>1</v>
      </c>
      <c r="O738" s="73">
        <v>0</v>
      </c>
      <c r="P738" s="17" t="s">
        <v>47</v>
      </c>
      <c r="Q738" t="str">
        <f>LEFT(B738,3)</f>
        <v>NNG</v>
      </c>
    </row>
    <row r="739" spans="1:17">
      <c r="A739" s="20" t="s">
        <v>3226</v>
      </c>
      <c r="B739" s="20" t="s">
        <v>1407</v>
      </c>
      <c r="C739" s="13" t="s">
        <v>1408</v>
      </c>
      <c r="D739" s="13" t="s">
        <v>390</v>
      </c>
      <c r="E739" s="17" t="s">
        <v>373</v>
      </c>
      <c r="F739" s="17" t="s">
        <v>129</v>
      </c>
      <c r="G739" s="17" t="s">
        <v>129</v>
      </c>
      <c r="H739" s="21">
        <v>527358</v>
      </c>
      <c r="I739" s="21">
        <v>375663</v>
      </c>
      <c r="J739" s="82">
        <v>167.22347300000001</v>
      </c>
      <c r="K739" s="82">
        <v>-20.812065</v>
      </c>
      <c r="L739" s="71">
        <v>220</v>
      </c>
      <c r="M739" s="73">
        <v>1</v>
      </c>
      <c r="N739" s="73">
        <v>1</v>
      </c>
      <c r="O739" s="73">
        <v>0</v>
      </c>
      <c r="P739" s="17" t="s">
        <v>47</v>
      </c>
      <c r="Q739" t="str">
        <f>LEFT(B739,3)</f>
        <v>NNG</v>
      </c>
    </row>
    <row r="740" spans="1:17">
      <c r="A740" s="17" t="s">
        <v>3227</v>
      </c>
      <c r="B740" s="17" t="s">
        <v>1410</v>
      </c>
      <c r="C740" s="13" t="s">
        <v>1411</v>
      </c>
      <c r="D740" s="17" t="s">
        <v>1412</v>
      </c>
      <c r="E740" s="17" t="s">
        <v>67</v>
      </c>
      <c r="F740" s="17" t="s">
        <v>68</v>
      </c>
      <c r="G740" s="17" t="s">
        <v>68</v>
      </c>
      <c r="H740" s="22">
        <v>290408</v>
      </c>
      <c r="I740" s="22">
        <v>353977</v>
      </c>
      <c r="J740" s="80">
        <v>164.94578999999999</v>
      </c>
      <c r="K740" s="83">
        <v>-21.00911</v>
      </c>
      <c r="L740" s="71">
        <v>110</v>
      </c>
      <c r="M740" s="73">
        <v>1</v>
      </c>
      <c r="N740" s="73">
        <v>1</v>
      </c>
      <c r="O740" s="73">
        <v>1</v>
      </c>
      <c r="P740" s="17" t="s">
        <v>47</v>
      </c>
      <c r="Q740" t="str">
        <f>LEFT(B740,3)</f>
        <v>NOE</v>
      </c>
    </row>
    <row r="741" spans="1:17">
      <c r="A741" s="17" t="s">
        <v>3228</v>
      </c>
      <c r="B741" s="17" t="s">
        <v>1410</v>
      </c>
      <c r="C741" s="13" t="s">
        <v>1411</v>
      </c>
      <c r="D741" s="17" t="s">
        <v>1412</v>
      </c>
      <c r="E741" s="17" t="s">
        <v>67</v>
      </c>
      <c r="F741" s="17" t="s">
        <v>68</v>
      </c>
      <c r="G741" s="17" t="s">
        <v>68</v>
      </c>
      <c r="H741" s="22">
        <v>290408</v>
      </c>
      <c r="I741" s="22">
        <v>353977</v>
      </c>
      <c r="J741" s="80">
        <v>164.94578999999999</v>
      </c>
      <c r="K741" s="83">
        <v>-21.00911</v>
      </c>
      <c r="L741" s="71">
        <v>340</v>
      </c>
      <c r="M741" s="73">
        <v>1</v>
      </c>
      <c r="N741" s="73">
        <v>1</v>
      </c>
      <c r="O741" s="73">
        <v>1</v>
      </c>
      <c r="P741" s="17" t="s">
        <v>47</v>
      </c>
      <c r="Q741" t="str">
        <f>LEFT(B741,3)</f>
        <v>NOE</v>
      </c>
    </row>
    <row r="742" spans="1:17">
      <c r="A742" s="17" t="s">
        <v>3229</v>
      </c>
      <c r="B742" s="17" t="s">
        <v>1415</v>
      </c>
      <c r="C742" s="13" t="s">
        <v>1416</v>
      </c>
      <c r="D742" s="13" t="s">
        <v>1417</v>
      </c>
      <c r="E742" s="17" t="s">
        <v>93</v>
      </c>
      <c r="F742" s="17" t="s">
        <v>43</v>
      </c>
      <c r="G742" s="17" t="s">
        <v>50</v>
      </c>
      <c r="H742" s="7">
        <v>481707.09548000002</v>
      </c>
      <c r="I742" s="7">
        <v>194366.04355999999</v>
      </c>
      <c r="J742" s="80">
        <v>166.793776867156</v>
      </c>
      <c r="K742" s="80">
        <v>-22.452161597887699</v>
      </c>
      <c r="L742" s="71">
        <v>195</v>
      </c>
      <c r="M742" s="73">
        <v>1</v>
      </c>
      <c r="N742" s="73">
        <v>1</v>
      </c>
      <c r="O742" s="73">
        <v>1</v>
      </c>
      <c r="P742" s="17" t="s">
        <v>47</v>
      </c>
      <c r="Q742" t="str">
        <f>LEFT(B742,3)</f>
        <v>NOG</v>
      </c>
    </row>
    <row r="743" spans="1:17">
      <c r="A743" s="17" t="s">
        <v>3230</v>
      </c>
      <c r="B743" s="17" t="s">
        <v>1415</v>
      </c>
      <c r="C743" s="13" t="s">
        <v>1416</v>
      </c>
      <c r="D743" s="13" t="s">
        <v>1417</v>
      </c>
      <c r="E743" s="17" t="s">
        <v>93</v>
      </c>
      <c r="F743" s="17" t="s">
        <v>43</v>
      </c>
      <c r="G743" s="17" t="s">
        <v>50</v>
      </c>
      <c r="H743" s="7">
        <v>481707.09548000002</v>
      </c>
      <c r="I743" s="7">
        <v>194366.04355999999</v>
      </c>
      <c r="J743" s="80">
        <v>166.793776867156</v>
      </c>
      <c r="K743" s="80">
        <v>-22.452161597887699</v>
      </c>
      <c r="L743" s="71">
        <v>345</v>
      </c>
      <c r="M743" s="73">
        <v>1</v>
      </c>
      <c r="N743" s="73">
        <v>1</v>
      </c>
      <c r="O743" s="73">
        <v>1</v>
      </c>
      <c r="P743" s="17" t="s">
        <v>47</v>
      </c>
      <c r="Q743" t="str">
        <f>LEFT(B743,3)</f>
        <v>NOG</v>
      </c>
    </row>
    <row r="744" spans="1:17">
      <c r="A744" s="17" t="s">
        <v>3231</v>
      </c>
      <c r="B744" s="17" t="s">
        <v>1419</v>
      </c>
      <c r="C744" s="13" t="s">
        <v>42</v>
      </c>
      <c r="D744" s="13" t="s">
        <v>42</v>
      </c>
      <c r="E744" s="17" t="s">
        <v>42</v>
      </c>
      <c r="F744" s="17" t="s">
        <v>43</v>
      </c>
      <c r="G744" s="17" t="s">
        <v>43</v>
      </c>
      <c r="H744" s="7">
        <v>384797.26293999999</v>
      </c>
      <c r="I744" s="7">
        <v>285093.44374999998</v>
      </c>
      <c r="J744" s="80">
        <v>165.853130955426</v>
      </c>
      <c r="K744" s="80">
        <v>-21.634581005349698</v>
      </c>
      <c r="L744" s="71">
        <v>143</v>
      </c>
      <c r="M744" s="73">
        <v>1</v>
      </c>
      <c r="N744" s="73">
        <v>1</v>
      </c>
      <c r="O744" s="73">
        <v>1</v>
      </c>
      <c r="P744" s="17" t="s">
        <v>47</v>
      </c>
      <c r="Q744" t="str">
        <f>LEFT(B744,3)</f>
        <v>NOM</v>
      </c>
    </row>
    <row r="745" spans="1:17">
      <c r="A745" s="17" t="s">
        <v>3232</v>
      </c>
      <c r="B745" s="17" t="s">
        <v>1419</v>
      </c>
      <c r="C745" s="13" t="s">
        <v>42</v>
      </c>
      <c r="D745" s="13" t="s">
        <v>42</v>
      </c>
      <c r="E745" s="17" t="s">
        <v>42</v>
      </c>
      <c r="F745" s="17" t="s">
        <v>43</v>
      </c>
      <c r="G745" s="17" t="s">
        <v>43</v>
      </c>
      <c r="H745" s="7">
        <v>384797.26293999999</v>
      </c>
      <c r="I745" s="7">
        <v>285093.44374999998</v>
      </c>
      <c r="J745" s="80">
        <v>165.853130955426</v>
      </c>
      <c r="K745" s="80">
        <v>-21.634581005349698</v>
      </c>
      <c r="L745" s="71">
        <v>233</v>
      </c>
      <c r="M745" s="73">
        <v>1</v>
      </c>
      <c r="N745" s="73">
        <v>1</v>
      </c>
      <c r="O745" s="73">
        <v>1</v>
      </c>
      <c r="P745" s="17" t="s">
        <v>47</v>
      </c>
      <c r="Q745" t="str">
        <f>LEFT(B745,3)</f>
        <v>NOM</v>
      </c>
    </row>
    <row r="746" spans="1:17">
      <c r="A746" s="13" t="s">
        <v>3233</v>
      </c>
      <c r="B746" s="13" t="s">
        <v>1422</v>
      </c>
      <c r="C746" s="13" t="s">
        <v>1424</v>
      </c>
      <c r="D746" s="13" t="s">
        <v>1424</v>
      </c>
      <c r="E746" s="17" t="s">
        <v>49</v>
      </c>
      <c r="F746" s="17" t="s">
        <v>43</v>
      </c>
      <c r="G746" s="17" t="s">
        <v>50</v>
      </c>
      <c r="H746" s="7">
        <v>444472</v>
      </c>
      <c r="I746" s="7">
        <v>231057.92189999999</v>
      </c>
      <c r="J746" s="80">
        <v>166.43106155646001</v>
      </c>
      <c r="K746" s="80">
        <v>-22.122125828443899</v>
      </c>
      <c r="L746" s="71">
        <v>126</v>
      </c>
      <c r="M746" s="73">
        <v>1</v>
      </c>
      <c r="N746" s="73">
        <v>1</v>
      </c>
      <c r="O746" s="73">
        <v>1</v>
      </c>
      <c r="P746" s="17" t="s">
        <v>47</v>
      </c>
      <c r="Q746" t="str">
        <f>LEFT(B746,3)</f>
        <v>NON</v>
      </c>
    </row>
    <row r="747" spans="1:17">
      <c r="A747" s="13" t="s">
        <v>3234</v>
      </c>
      <c r="B747" s="13" t="s">
        <v>1422</v>
      </c>
      <c r="C747" s="13" t="s">
        <v>1424</v>
      </c>
      <c r="D747" s="13" t="s">
        <v>1424</v>
      </c>
      <c r="E747" s="17" t="s">
        <v>49</v>
      </c>
      <c r="F747" s="17" t="s">
        <v>43</v>
      </c>
      <c r="G747" s="17" t="s">
        <v>50</v>
      </c>
      <c r="H747" s="7">
        <v>444472</v>
      </c>
      <c r="I747" s="7">
        <v>231057.92189999999</v>
      </c>
      <c r="J747" s="80">
        <v>166.43106155646001</v>
      </c>
      <c r="K747" s="80">
        <v>-22.122125828443899</v>
      </c>
      <c r="L747" s="71">
        <v>293</v>
      </c>
      <c r="M747" s="73">
        <v>1</v>
      </c>
      <c r="N747" s="73">
        <v>1</v>
      </c>
      <c r="O747" s="73">
        <v>1</v>
      </c>
      <c r="P747" s="17" t="s">
        <v>47</v>
      </c>
      <c r="Q747" t="str">
        <f>LEFT(B747,3)</f>
        <v>NON</v>
      </c>
    </row>
    <row r="748" spans="1:17">
      <c r="A748" s="13" t="s">
        <v>3235</v>
      </c>
      <c r="B748" s="13" t="s">
        <v>1422</v>
      </c>
      <c r="C748" s="13" t="s">
        <v>1424</v>
      </c>
      <c r="D748" s="13" t="s">
        <v>1424</v>
      </c>
      <c r="E748" s="17" t="s">
        <v>49</v>
      </c>
      <c r="F748" s="17" t="s">
        <v>43</v>
      </c>
      <c r="G748" s="17" t="s">
        <v>50</v>
      </c>
      <c r="H748" s="7">
        <v>444472</v>
      </c>
      <c r="I748" s="7">
        <v>231057.92189999999</v>
      </c>
      <c r="J748" s="80">
        <v>166.43106155646001</v>
      </c>
      <c r="K748" s="80">
        <v>-22.122125828443899</v>
      </c>
      <c r="L748" s="71">
        <v>293</v>
      </c>
      <c r="M748" s="73">
        <v>1</v>
      </c>
      <c r="N748" s="73">
        <v>1</v>
      </c>
      <c r="O748" s="73">
        <v>1</v>
      </c>
      <c r="P748" s="17" t="s">
        <v>47</v>
      </c>
      <c r="Q748" t="str">
        <f>LEFT(B748,3)</f>
        <v>NON</v>
      </c>
    </row>
    <row r="749" spans="1:17">
      <c r="A749" s="17" t="s">
        <v>3236</v>
      </c>
      <c r="B749" s="17" t="s">
        <v>1426</v>
      </c>
      <c r="C749" s="13" t="s">
        <v>1427</v>
      </c>
      <c r="D749" s="13" t="s">
        <v>1427</v>
      </c>
      <c r="E749" s="17" t="s">
        <v>148</v>
      </c>
      <c r="F749" s="17" t="s">
        <v>68</v>
      </c>
      <c r="G749" s="17" t="s">
        <v>68</v>
      </c>
      <c r="H749" s="7">
        <v>317534</v>
      </c>
      <c r="I749" s="15">
        <v>304886</v>
      </c>
      <c r="J749" s="79">
        <v>165.20430999999999</v>
      </c>
      <c r="K749" s="79">
        <v>-21.453970000000002</v>
      </c>
      <c r="L749" s="71">
        <v>43</v>
      </c>
      <c r="M749" s="73">
        <v>1</v>
      </c>
      <c r="N749" s="73">
        <v>1</v>
      </c>
      <c r="O749" s="73">
        <v>0</v>
      </c>
      <c r="P749" s="17" t="s">
        <v>47</v>
      </c>
      <c r="Q749" t="str">
        <f>LEFT(B749,3)</f>
        <v>NPU</v>
      </c>
    </row>
    <row r="750" spans="1:17">
      <c r="A750" s="17" t="s">
        <v>3237</v>
      </c>
      <c r="B750" s="17" t="s">
        <v>1426</v>
      </c>
      <c r="C750" s="13" t="s">
        <v>1427</v>
      </c>
      <c r="D750" s="13" t="s">
        <v>1427</v>
      </c>
      <c r="E750" s="17" t="s">
        <v>148</v>
      </c>
      <c r="F750" s="17" t="s">
        <v>68</v>
      </c>
      <c r="G750" s="17" t="s">
        <v>68</v>
      </c>
      <c r="H750" s="7">
        <v>317534</v>
      </c>
      <c r="I750" s="15">
        <v>304886</v>
      </c>
      <c r="J750" s="79">
        <v>165.20430999999999</v>
      </c>
      <c r="K750" s="79">
        <v>-21.453970000000002</v>
      </c>
      <c r="L750" s="71">
        <v>143</v>
      </c>
      <c r="M750" s="73">
        <v>1</v>
      </c>
      <c r="N750" s="73">
        <v>1</v>
      </c>
      <c r="O750" s="73">
        <v>0</v>
      </c>
      <c r="P750" s="17" t="s">
        <v>47</v>
      </c>
      <c r="Q750" t="str">
        <f>LEFT(B750,3)</f>
        <v>NPU</v>
      </c>
    </row>
    <row r="751" spans="1:17">
      <c r="A751" s="17" t="s">
        <v>3238</v>
      </c>
      <c r="B751" s="17" t="s">
        <v>1426</v>
      </c>
      <c r="C751" s="13" t="s">
        <v>1427</v>
      </c>
      <c r="D751" s="13" t="s">
        <v>1427</v>
      </c>
      <c r="E751" s="17" t="s">
        <v>148</v>
      </c>
      <c r="F751" s="17" t="s">
        <v>68</v>
      </c>
      <c r="G751" s="17" t="s">
        <v>68</v>
      </c>
      <c r="H751" s="7">
        <v>317534</v>
      </c>
      <c r="I751" s="15">
        <v>304886</v>
      </c>
      <c r="J751" s="79">
        <v>165.20430999999999</v>
      </c>
      <c r="K751" s="79">
        <v>-21.453970000000002</v>
      </c>
      <c r="L751" s="71">
        <v>313</v>
      </c>
      <c r="M751" s="73">
        <v>1</v>
      </c>
      <c r="N751" s="73">
        <v>1</v>
      </c>
      <c r="O751" s="73">
        <v>0</v>
      </c>
      <c r="P751" s="17" t="s">
        <v>47</v>
      </c>
      <c r="Q751" t="str">
        <f>LEFT(B751,3)</f>
        <v>NPU</v>
      </c>
    </row>
    <row r="752" spans="1:17">
      <c r="A752" s="17" t="s">
        <v>3239</v>
      </c>
      <c r="B752" s="17" t="s">
        <v>1430</v>
      </c>
      <c r="C752" s="17" t="s">
        <v>1431</v>
      </c>
      <c r="D752" s="17" t="s">
        <v>1431</v>
      </c>
      <c r="E752" s="17" t="s">
        <v>191</v>
      </c>
      <c r="F752" s="17" t="s">
        <v>43</v>
      </c>
      <c r="G752" s="17" t="s">
        <v>43</v>
      </c>
      <c r="H752" s="7">
        <v>350001</v>
      </c>
      <c r="I752" s="7">
        <v>285302</v>
      </c>
      <c r="J752" s="79">
        <v>165.51698999999999</v>
      </c>
      <c r="K752" s="79">
        <v>-21.632058000000001</v>
      </c>
      <c r="L752" s="73">
        <v>60</v>
      </c>
      <c r="M752" s="73">
        <v>1</v>
      </c>
      <c r="N752" s="73">
        <v>1</v>
      </c>
      <c r="O752" s="73">
        <v>0</v>
      </c>
      <c r="P752" s="17" t="s">
        <v>47</v>
      </c>
      <c r="Q752" t="str">
        <f>LEFT(B752,3)</f>
        <v>NSD</v>
      </c>
    </row>
    <row r="753" spans="1:17">
      <c r="A753" s="17" t="s">
        <v>3240</v>
      </c>
      <c r="B753" s="17" t="s">
        <v>1430</v>
      </c>
      <c r="C753" s="17" t="s">
        <v>1431</v>
      </c>
      <c r="D753" s="17" t="s">
        <v>1431</v>
      </c>
      <c r="E753" s="17" t="s">
        <v>191</v>
      </c>
      <c r="F753" s="17" t="s">
        <v>43</v>
      </c>
      <c r="G753" s="17" t="s">
        <v>43</v>
      </c>
      <c r="H753" s="7">
        <v>350001</v>
      </c>
      <c r="I753" s="7">
        <v>285302</v>
      </c>
      <c r="J753" s="79">
        <v>165.51698999999999</v>
      </c>
      <c r="K753" s="79">
        <v>-21.632058000000001</v>
      </c>
      <c r="L753" s="73">
        <v>180</v>
      </c>
      <c r="M753" s="73">
        <v>1</v>
      </c>
      <c r="N753" s="73">
        <v>1</v>
      </c>
      <c r="O753" s="73">
        <v>0</v>
      </c>
      <c r="P753" s="17" t="s">
        <v>47</v>
      </c>
      <c r="Q753" t="str">
        <f>LEFT(B753,3)</f>
        <v>NSD</v>
      </c>
    </row>
    <row r="754" spans="1:17">
      <c r="A754" s="17" t="s">
        <v>3241</v>
      </c>
      <c r="B754" s="17" t="s">
        <v>1430</v>
      </c>
      <c r="C754" s="17" t="s">
        <v>1431</v>
      </c>
      <c r="D754" s="17" t="s">
        <v>1431</v>
      </c>
      <c r="E754" s="17" t="s">
        <v>191</v>
      </c>
      <c r="F754" s="17" t="s">
        <v>43</v>
      </c>
      <c r="G754" s="17" t="s">
        <v>43</v>
      </c>
      <c r="H754" s="7">
        <v>350001</v>
      </c>
      <c r="I754" s="7">
        <v>285302</v>
      </c>
      <c r="J754" s="79">
        <v>165.51698999999999</v>
      </c>
      <c r="K754" s="79">
        <v>-21.632058000000001</v>
      </c>
      <c r="L754" s="73">
        <v>300</v>
      </c>
      <c r="M754" s="73">
        <v>1</v>
      </c>
      <c r="N754" s="73">
        <v>1</v>
      </c>
      <c r="O754" s="73">
        <v>0</v>
      </c>
      <c r="P754" s="17" t="s">
        <v>47</v>
      </c>
      <c r="Q754" t="str">
        <f>LEFT(B754,3)</f>
        <v>NSD</v>
      </c>
    </row>
    <row r="755" spans="1:17">
      <c r="A755" s="17" t="s">
        <v>3242</v>
      </c>
      <c r="B755" s="17" t="s">
        <v>1434</v>
      </c>
      <c r="C755" s="17" t="s">
        <v>1435</v>
      </c>
      <c r="D755" s="17" t="s">
        <v>1435</v>
      </c>
      <c r="E755" s="17" t="s">
        <v>148</v>
      </c>
      <c r="F755" s="17" t="s">
        <v>68</v>
      </c>
      <c r="G755" s="17" t="s">
        <v>68</v>
      </c>
      <c r="H755" s="22">
        <v>316397</v>
      </c>
      <c r="I755" s="22">
        <v>328846</v>
      </c>
      <c r="J755" s="80">
        <v>165.19453999999999</v>
      </c>
      <c r="K755" s="83">
        <v>-21.237500000000001</v>
      </c>
      <c r="L755" s="73">
        <v>30</v>
      </c>
      <c r="M755" s="73">
        <v>1</v>
      </c>
      <c r="N755" s="73">
        <v>1</v>
      </c>
      <c r="O755" s="73">
        <v>0</v>
      </c>
      <c r="P755" s="17" t="s">
        <v>47</v>
      </c>
      <c r="Q755" t="str">
        <f>LEFT(B755,3)</f>
        <v>NTA</v>
      </c>
    </row>
    <row r="756" spans="1:17">
      <c r="A756" s="17" t="s">
        <v>3243</v>
      </c>
      <c r="B756" s="17" t="s">
        <v>1434</v>
      </c>
      <c r="C756" s="17" t="s">
        <v>1435</v>
      </c>
      <c r="D756" s="17" t="s">
        <v>1435</v>
      </c>
      <c r="E756" s="17" t="s">
        <v>148</v>
      </c>
      <c r="F756" s="17" t="s">
        <v>68</v>
      </c>
      <c r="G756" s="17" t="s">
        <v>68</v>
      </c>
      <c r="H756" s="22">
        <v>316397</v>
      </c>
      <c r="I756" s="22">
        <v>328846</v>
      </c>
      <c r="J756" s="80">
        <v>165.19453999999999</v>
      </c>
      <c r="K756" s="83">
        <v>-21.237500000000001</v>
      </c>
      <c r="L756" s="73">
        <v>139</v>
      </c>
      <c r="M756" s="73">
        <v>1</v>
      </c>
      <c r="N756" s="73">
        <v>1</v>
      </c>
      <c r="O756" s="73">
        <v>0</v>
      </c>
      <c r="P756" s="17" t="s">
        <v>47</v>
      </c>
      <c r="Q756" t="str">
        <f>LEFT(B756,3)</f>
        <v>NTA</v>
      </c>
    </row>
    <row r="757" spans="1:17">
      <c r="A757" s="17" t="s">
        <v>3244</v>
      </c>
      <c r="B757" s="17" t="s">
        <v>1438</v>
      </c>
      <c r="C757" s="13" t="s">
        <v>1439</v>
      </c>
      <c r="D757" s="13" t="s">
        <v>1439</v>
      </c>
      <c r="E757" s="17" t="s">
        <v>79</v>
      </c>
      <c r="F757" s="17" t="s">
        <v>68</v>
      </c>
      <c r="G757" s="17" t="s">
        <v>68</v>
      </c>
      <c r="H757" s="7">
        <v>345399.14565000002</v>
      </c>
      <c r="I757" s="7">
        <v>338083.35729999997</v>
      </c>
      <c r="J757" s="80">
        <v>165.47424885537501</v>
      </c>
      <c r="K757" s="80">
        <v>-21.155182918529199</v>
      </c>
      <c r="L757" s="71">
        <v>45</v>
      </c>
      <c r="M757" s="73">
        <v>1</v>
      </c>
      <c r="N757" s="73">
        <v>1</v>
      </c>
      <c r="O757" s="73">
        <v>1</v>
      </c>
      <c r="P757" s="17" t="s">
        <v>47</v>
      </c>
      <c r="Q757" t="str">
        <f>LEFT(B757,3)</f>
        <v>NVN</v>
      </c>
    </row>
    <row r="758" spans="1:17">
      <c r="A758" s="17" t="s">
        <v>3245</v>
      </c>
      <c r="B758" s="17" t="s">
        <v>1438</v>
      </c>
      <c r="C758" s="13" t="s">
        <v>1439</v>
      </c>
      <c r="D758" s="13" t="s">
        <v>1439</v>
      </c>
      <c r="E758" s="17" t="s">
        <v>79</v>
      </c>
      <c r="F758" s="17" t="s">
        <v>68</v>
      </c>
      <c r="G758" s="17" t="s">
        <v>68</v>
      </c>
      <c r="H758" s="7">
        <v>345399.14565000002</v>
      </c>
      <c r="I758" s="7">
        <v>338083.35729999997</v>
      </c>
      <c r="J758" s="80">
        <v>165.47424885537501</v>
      </c>
      <c r="K758" s="80">
        <v>-21.155182918529199</v>
      </c>
      <c r="L758" s="71">
        <v>120</v>
      </c>
      <c r="M758" s="73">
        <v>1</v>
      </c>
      <c r="N758" s="73">
        <v>1</v>
      </c>
      <c r="O758" s="73">
        <v>1</v>
      </c>
      <c r="P758" s="17" t="s">
        <v>47</v>
      </c>
      <c r="Q758" t="str">
        <f>LEFT(B758,3)</f>
        <v>NVN</v>
      </c>
    </row>
    <row r="759" spans="1:17">
      <c r="A759" s="17" t="s">
        <v>3246</v>
      </c>
      <c r="B759" s="17" t="s">
        <v>1438</v>
      </c>
      <c r="C759" s="13" t="s">
        <v>1439</v>
      </c>
      <c r="D759" s="13" t="s">
        <v>1439</v>
      </c>
      <c r="E759" s="17" t="s">
        <v>79</v>
      </c>
      <c r="F759" s="17" t="s">
        <v>68</v>
      </c>
      <c r="G759" s="17" t="s">
        <v>68</v>
      </c>
      <c r="H759" s="7">
        <v>345399.14565000002</v>
      </c>
      <c r="I759" s="7">
        <v>338083.35729999997</v>
      </c>
      <c r="J759" s="80">
        <v>165.47424885537501</v>
      </c>
      <c r="K759" s="80">
        <v>-21.155182918529199</v>
      </c>
      <c r="L759" s="71">
        <v>260</v>
      </c>
      <c r="M759" s="73">
        <v>1</v>
      </c>
      <c r="N759" s="73">
        <v>1</v>
      </c>
      <c r="O759" s="73">
        <v>1</v>
      </c>
      <c r="P759" s="17" t="s">
        <v>47</v>
      </c>
      <c r="Q759" t="str">
        <f>LEFT(B759,3)</f>
        <v>NVN</v>
      </c>
    </row>
    <row r="760" spans="1:17">
      <c r="A760" s="17" t="s">
        <v>3247</v>
      </c>
      <c r="B760" s="17" t="s">
        <v>1442</v>
      </c>
      <c r="C760" s="13" t="s">
        <v>1443</v>
      </c>
      <c r="D760" s="13" t="s">
        <v>1443</v>
      </c>
      <c r="E760" s="17" t="s">
        <v>207</v>
      </c>
      <c r="F760" s="17" t="s">
        <v>43</v>
      </c>
      <c r="G760" s="17" t="s">
        <v>43</v>
      </c>
      <c r="H760" s="7">
        <v>396034.57322999998</v>
      </c>
      <c r="I760" s="7">
        <v>260314.66608</v>
      </c>
      <c r="J760" s="80">
        <v>165.96163724464901</v>
      </c>
      <c r="K760" s="80">
        <v>-21.858438316261498</v>
      </c>
      <c r="L760" s="71">
        <v>130</v>
      </c>
      <c r="M760" s="73">
        <v>1</v>
      </c>
      <c r="N760" s="73">
        <v>1</v>
      </c>
      <c r="O760" s="73">
        <v>1</v>
      </c>
      <c r="P760" s="17" t="s">
        <v>47</v>
      </c>
      <c r="Q760" t="str">
        <f>LEFT(B760,3)</f>
        <v>OAM</v>
      </c>
    </row>
    <row r="761" spans="1:17">
      <c r="A761" s="17" t="s">
        <v>3248</v>
      </c>
      <c r="B761" s="17" t="s">
        <v>1442</v>
      </c>
      <c r="C761" s="13" t="s">
        <v>1443</v>
      </c>
      <c r="D761" s="13" t="s">
        <v>1443</v>
      </c>
      <c r="E761" s="17" t="s">
        <v>207</v>
      </c>
      <c r="F761" s="17" t="s">
        <v>43</v>
      </c>
      <c r="G761" s="17" t="s">
        <v>43</v>
      </c>
      <c r="H761" s="7">
        <v>396034.57322999998</v>
      </c>
      <c r="I761" s="7">
        <v>260314.66608</v>
      </c>
      <c r="J761" s="80">
        <v>165.96163724464901</v>
      </c>
      <c r="K761" s="80">
        <v>-21.858438316261498</v>
      </c>
      <c r="L761" s="71">
        <v>290</v>
      </c>
      <c r="M761" s="73">
        <v>1</v>
      </c>
      <c r="N761" s="73">
        <v>1</v>
      </c>
      <c r="O761" s="73">
        <v>1</v>
      </c>
      <c r="P761" s="17" t="s">
        <v>47</v>
      </c>
      <c r="Q761" t="str">
        <f>LEFT(B761,3)</f>
        <v>OAM</v>
      </c>
    </row>
    <row r="762" spans="1:17">
      <c r="A762" s="17" t="s">
        <v>3249</v>
      </c>
      <c r="B762" s="17" t="s">
        <v>1446</v>
      </c>
      <c r="C762" s="13" t="s">
        <v>1447</v>
      </c>
      <c r="D762" s="13" t="s">
        <v>1448</v>
      </c>
      <c r="E762" s="17" t="s">
        <v>437</v>
      </c>
      <c r="F762" s="17" t="s">
        <v>68</v>
      </c>
      <c r="G762" s="17" t="s">
        <v>68</v>
      </c>
      <c r="H762" s="7">
        <v>240815</v>
      </c>
      <c r="I762" s="7">
        <v>372838</v>
      </c>
      <c r="J762" s="80">
        <v>164.47053</v>
      </c>
      <c r="K762" s="80">
        <v>-20.835049000000001</v>
      </c>
      <c r="L762" s="71">
        <v>0</v>
      </c>
      <c r="M762" s="73">
        <v>1</v>
      </c>
      <c r="N762" s="73">
        <v>1</v>
      </c>
      <c r="O762" s="73">
        <v>0</v>
      </c>
      <c r="P762" s="17" t="s">
        <v>47</v>
      </c>
      <c r="Q762" t="str">
        <f>LEFT(B762,3)</f>
        <v>OCO</v>
      </c>
    </row>
    <row r="763" spans="1:17">
      <c r="A763" s="17" t="s">
        <v>3250</v>
      </c>
      <c r="B763" s="17" t="s">
        <v>1446</v>
      </c>
      <c r="C763" s="13" t="s">
        <v>1447</v>
      </c>
      <c r="D763" s="13" t="s">
        <v>1448</v>
      </c>
      <c r="E763" s="17" t="s">
        <v>437</v>
      </c>
      <c r="F763" s="17" t="s">
        <v>68</v>
      </c>
      <c r="G763" s="17" t="s">
        <v>68</v>
      </c>
      <c r="H763" s="7">
        <v>240815</v>
      </c>
      <c r="I763" s="7">
        <v>372838</v>
      </c>
      <c r="J763" s="80">
        <v>164.47053</v>
      </c>
      <c r="K763" s="80">
        <v>-20.835049000000001</v>
      </c>
      <c r="L763" s="71">
        <v>120</v>
      </c>
      <c r="M763" s="73">
        <v>1</v>
      </c>
      <c r="N763" s="73">
        <v>1</v>
      </c>
      <c r="O763" s="73">
        <v>0</v>
      </c>
      <c r="P763" s="17" t="s">
        <v>47</v>
      </c>
      <c r="Q763" t="str">
        <f>LEFT(B763,3)</f>
        <v>OCO</v>
      </c>
    </row>
    <row r="764" spans="1:17">
      <c r="A764" s="17" t="s">
        <v>3251</v>
      </c>
      <c r="B764" s="17" t="s">
        <v>1446</v>
      </c>
      <c r="C764" s="13" t="s">
        <v>1447</v>
      </c>
      <c r="D764" s="13" t="s">
        <v>1448</v>
      </c>
      <c r="E764" s="17" t="s">
        <v>437</v>
      </c>
      <c r="F764" s="17" t="s">
        <v>68</v>
      </c>
      <c r="G764" s="17" t="s">
        <v>68</v>
      </c>
      <c r="H764" s="7">
        <v>240815</v>
      </c>
      <c r="I764" s="7">
        <v>372838</v>
      </c>
      <c r="J764" s="80">
        <v>164.47053</v>
      </c>
      <c r="K764" s="80">
        <v>-20.835049000000001</v>
      </c>
      <c r="L764" s="71">
        <v>240</v>
      </c>
      <c r="M764" s="73">
        <v>1</v>
      </c>
      <c r="N764" s="73">
        <v>1</v>
      </c>
      <c r="O764" s="73">
        <v>0</v>
      </c>
      <c r="P764" s="17" t="s">
        <v>47</v>
      </c>
      <c r="Q764" t="str">
        <f>LEFT(B764,3)</f>
        <v>OCO</v>
      </c>
    </row>
    <row r="765" spans="1:17">
      <c r="A765" s="17" t="s">
        <v>3252</v>
      </c>
      <c r="B765" s="17" t="s">
        <v>1450</v>
      </c>
      <c r="C765" s="13" t="s">
        <v>1451</v>
      </c>
      <c r="D765" s="13" t="s">
        <v>1451</v>
      </c>
      <c r="E765" s="17" t="s">
        <v>207</v>
      </c>
      <c r="F765" s="17" t="s">
        <v>43</v>
      </c>
      <c r="G765" s="17" t="s">
        <v>43</v>
      </c>
      <c r="H765" s="7">
        <v>407482.39523999998</v>
      </c>
      <c r="I765" s="7">
        <v>255479.66785999999</v>
      </c>
      <c r="J765" s="80">
        <v>166.07241262035899</v>
      </c>
      <c r="K765" s="80">
        <v>-21.902095995454999</v>
      </c>
      <c r="L765" s="71">
        <v>70</v>
      </c>
      <c r="M765" s="73">
        <v>2</v>
      </c>
      <c r="N765" s="73">
        <v>2</v>
      </c>
      <c r="O765" s="73">
        <v>1</v>
      </c>
      <c r="P765" s="17" t="s">
        <v>47</v>
      </c>
      <c r="Q765" t="str">
        <f>LEFT(B765,3)</f>
        <v>OEN</v>
      </c>
    </row>
    <row r="766" spans="1:17">
      <c r="A766" s="17" t="s">
        <v>3253</v>
      </c>
      <c r="B766" s="17" t="s">
        <v>1450</v>
      </c>
      <c r="C766" s="13" t="s">
        <v>1451</v>
      </c>
      <c r="D766" s="13" t="s">
        <v>1451</v>
      </c>
      <c r="E766" s="17" t="s">
        <v>207</v>
      </c>
      <c r="F766" s="17" t="s">
        <v>43</v>
      </c>
      <c r="G766" s="17" t="s">
        <v>43</v>
      </c>
      <c r="H766" s="7">
        <v>407482.39523999998</v>
      </c>
      <c r="I766" s="7">
        <v>255479.66785999999</v>
      </c>
      <c r="J766" s="80">
        <v>166.07241262035899</v>
      </c>
      <c r="K766" s="80">
        <v>-21.902095995454999</v>
      </c>
      <c r="L766" s="71">
        <v>200</v>
      </c>
      <c r="M766" s="73">
        <v>2</v>
      </c>
      <c r="N766" s="73">
        <v>2</v>
      </c>
      <c r="O766" s="73">
        <v>1</v>
      </c>
      <c r="P766" s="17" t="s">
        <v>47</v>
      </c>
      <c r="Q766" t="str">
        <f>LEFT(B766,3)</f>
        <v>OEN</v>
      </c>
    </row>
    <row r="767" spans="1:17">
      <c r="A767" s="17" t="s">
        <v>3254</v>
      </c>
      <c r="B767" s="17" t="s">
        <v>1450</v>
      </c>
      <c r="C767" s="13" t="s">
        <v>1451</v>
      </c>
      <c r="D767" s="13" t="s">
        <v>1451</v>
      </c>
      <c r="E767" s="17" t="s">
        <v>207</v>
      </c>
      <c r="F767" s="17" t="s">
        <v>43</v>
      </c>
      <c r="G767" s="17" t="s">
        <v>43</v>
      </c>
      <c r="H767" s="7">
        <v>407482.39523999998</v>
      </c>
      <c r="I767" s="7">
        <v>255479.66785999999</v>
      </c>
      <c r="J767" s="80">
        <v>166.07241262035899</v>
      </c>
      <c r="K767" s="80">
        <v>-21.902095995454999</v>
      </c>
      <c r="L767" s="71">
        <v>320</v>
      </c>
      <c r="M767" s="73">
        <v>2</v>
      </c>
      <c r="N767" s="73">
        <v>2</v>
      </c>
      <c r="O767" s="73">
        <v>1</v>
      </c>
      <c r="P767" s="17" t="s">
        <v>47</v>
      </c>
      <c r="Q767" t="str">
        <f>LEFT(B767,3)</f>
        <v>OEN</v>
      </c>
    </row>
    <row r="768" spans="1:17">
      <c r="A768" s="13" t="s">
        <v>3255</v>
      </c>
      <c r="B768" s="13" t="s">
        <v>1454</v>
      </c>
      <c r="C768" s="13" t="s">
        <v>1455</v>
      </c>
      <c r="D768" s="13" t="s">
        <v>1455</v>
      </c>
      <c r="E768" s="17" t="s">
        <v>249</v>
      </c>
      <c r="F768" s="17" t="s">
        <v>68</v>
      </c>
      <c r="G768" s="17" t="s">
        <v>68</v>
      </c>
      <c r="H768" s="7">
        <v>268572</v>
      </c>
      <c r="I768" s="7">
        <v>379447.875</v>
      </c>
      <c r="J768" s="80">
        <v>164.737723214293</v>
      </c>
      <c r="K768" s="80">
        <v>-20.777585329987001</v>
      </c>
      <c r="L768" s="71">
        <v>130</v>
      </c>
      <c r="M768" s="73">
        <v>1</v>
      </c>
      <c r="N768" s="73">
        <v>1</v>
      </c>
      <c r="O768" s="73">
        <v>1</v>
      </c>
      <c r="P768" s="17" t="s">
        <v>47</v>
      </c>
      <c r="Q768" t="str">
        <f>LEFT(B768,3)</f>
        <v>OGO</v>
      </c>
    </row>
    <row r="769" spans="1:17">
      <c r="A769" s="13" t="s">
        <v>3256</v>
      </c>
      <c r="B769" s="13" t="s">
        <v>1454</v>
      </c>
      <c r="C769" s="13" t="s">
        <v>1455</v>
      </c>
      <c r="D769" s="13" t="s">
        <v>1455</v>
      </c>
      <c r="E769" s="17" t="s">
        <v>249</v>
      </c>
      <c r="F769" s="17" t="s">
        <v>68</v>
      </c>
      <c r="G769" s="17" t="s">
        <v>68</v>
      </c>
      <c r="H769" s="7">
        <v>268572</v>
      </c>
      <c r="I769" s="7">
        <v>379447.875</v>
      </c>
      <c r="J769" s="80">
        <v>164.737723214293</v>
      </c>
      <c r="K769" s="80">
        <v>-20.777585329987001</v>
      </c>
      <c r="L769" s="71">
        <v>220</v>
      </c>
      <c r="M769" s="73">
        <v>1</v>
      </c>
      <c r="N769" s="73">
        <v>1</v>
      </c>
      <c r="O769" s="73">
        <v>1</v>
      </c>
      <c r="P769" s="17" t="s">
        <v>47</v>
      </c>
      <c r="Q769" t="str">
        <f>LEFT(B769,3)</f>
        <v>OGO</v>
      </c>
    </row>
    <row r="770" spans="1:17">
      <c r="A770" s="17" t="s">
        <v>3257</v>
      </c>
      <c r="B770" s="17" t="s">
        <v>1459</v>
      </c>
      <c r="C770" s="13" t="s">
        <v>1460</v>
      </c>
      <c r="D770" s="13" t="s">
        <v>1460</v>
      </c>
      <c r="E770" s="17" t="s">
        <v>128</v>
      </c>
      <c r="F770" s="17" t="s">
        <v>129</v>
      </c>
      <c r="G770" s="17" t="s">
        <v>129</v>
      </c>
      <c r="H770" s="7">
        <v>468273.88468000002</v>
      </c>
      <c r="I770" s="7">
        <v>413268.27956</v>
      </c>
      <c r="J770" s="80">
        <v>166.654376169573</v>
      </c>
      <c r="K770" s="80">
        <v>-20.475614188133999</v>
      </c>
      <c r="L770" s="71">
        <v>55</v>
      </c>
      <c r="M770" s="73">
        <v>1</v>
      </c>
      <c r="N770" s="73">
        <v>1</v>
      </c>
      <c r="O770" s="73">
        <v>1</v>
      </c>
      <c r="P770" s="17" t="s">
        <v>47</v>
      </c>
      <c r="Q770" t="str">
        <f>LEFT(B770,3)</f>
        <v>OHN</v>
      </c>
    </row>
    <row r="771" spans="1:17">
      <c r="A771" s="17" t="s">
        <v>3258</v>
      </c>
      <c r="B771" s="17" t="s">
        <v>1459</v>
      </c>
      <c r="C771" s="13" t="s">
        <v>1460</v>
      </c>
      <c r="D771" s="13" t="s">
        <v>1460</v>
      </c>
      <c r="E771" s="17" t="s">
        <v>128</v>
      </c>
      <c r="F771" s="17" t="s">
        <v>129</v>
      </c>
      <c r="G771" s="17" t="s">
        <v>129</v>
      </c>
      <c r="H771" s="7">
        <v>468273.88468000002</v>
      </c>
      <c r="I771" s="7">
        <v>413268.27956</v>
      </c>
      <c r="J771" s="80">
        <v>166.654376169573</v>
      </c>
      <c r="K771" s="80">
        <v>-20.475614188133999</v>
      </c>
      <c r="L771" s="71">
        <v>235</v>
      </c>
      <c r="M771" s="73">
        <v>1</v>
      </c>
      <c r="N771" s="73">
        <v>1</v>
      </c>
      <c r="O771" s="73">
        <v>1</v>
      </c>
      <c r="P771" s="17" t="s">
        <v>47</v>
      </c>
      <c r="Q771" t="str">
        <f>LEFT(B771,3)</f>
        <v>OHN</v>
      </c>
    </row>
    <row r="772" spans="1:17">
      <c r="A772" s="17" t="s">
        <v>3259</v>
      </c>
      <c r="B772" s="17" t="s">
        <v>1464</v>
      </c>
      <c r="C772" s="13" t="s">
        <v>1465</v>
      </c>
      <c r="D772" s="13" t="s">
        <v>1465</v>
      </c>
      <c r="E772" s="17" t="s">
        <v>684</v>
      </c>
      <c r="F772" s="17" t="s">
        <v>68</v>
      </c>
      <c r="G772" s="17" t="s">
        <v>68</v>
      </c>
      <c r="H772" s="7">
        <v>280478</v>
      </c>
      <c r="I772" s="7">
        <v>397067</v>
      </c>
      <c r="J772" s="80">
        <v>164.85330919486901</v>
      </c>
      <c r="K772" s="80">
        <v>-20.619276412191802</v>
      </c>
      <c r="L772" s="71">
        <v>183</v>
      </c>
      <c r="M772" s="73">
        <v>1</v>
      </c>
      <c r="N772" s="73">
        <v>1</v>
      </c>
      <c r="O772" s="73">
        <v>1</v>
      </c>
      <c r="P772" s="17" t="s">
        <v>47</v>
      </c>
      <c r="Q772" t="str">
        <f>LEFT(B772,3)</f>
        <v>OIM</v>
      </c>
    </row>
    <row r="773" spans="1:17">
      <c r="A773" s="17" t="s">
        <v>3260</v>
      </c>
      <c r="B773" s="17" t="s">
        <v>1464</v>
      </c>
      <c r="C773" s="13" t="s">
        <v>1465</v>
      </c>
      <c r="D773" s="13" t="s">
        <v>1465</v>
      </c>
      <c r="E773" s="17" t="s">
        <v>684</v>
      </c>
      <c r="F773" s="17" t="s">
        <v>68</v>
      </c>
      <c r="G773" s="17" t="s">
        <v>68</v>
      </c>
      <c r="H773" s="7">
        <v>280478</v>
      </c>
      <c r="I773" s="7">
        <v>397067</v>
      </c>
      <c r="J773" s="80">
        <v>164.85330919486901</v>
      </c>
      <c r="K773" s="80">
        <v>-20.619276412191802</v>
      </c>
      <c r="L773" s="71">
        <v>311</v>
      </c>
      <c r="M773" s="73">
        <v>1</v>
      </c>
      <c r="N773" s="73">
        <v>1</v>
      </c>
      <c r="O773" s="73">
        <v>1</v>
      </c>
      <c r="P773" s="17" t="s">
        <v>47</v>
      </c>
      <c r="Q773" t="str">
        <f>LEFT(B773,3)</f>
        <v>OIM</v>
      </c>
    </row>
    <row r="774" spans="1:17">
      <c r="A774" s="17" t="s">
        <v>3261</v>
      </c>
      <c r="B774" s="17" t="s">
        <v>1468</v>
      </c>
      <c r="C774" s="13" t="s">
        <v>1469</v>
      </c>
      <c r="D774" s="13" t="s">
        <v>1470</v>
      </c>
      <c r="E774" s="17" t="s">
        <v>224</v>
      </c>
      <c r="F774" s="17" t="s">
        <v>68</v>
      </c>
      <c r="G774" s="17" t="s">
        <v>68</v>
      </c>
      <c r="H774" s="7">
        <v>236965</v>
      </c>
      <c r="I774" s="7">
        <v>427625</v>
      </c>
      <c r="J774" s="8">
        <v>164.43879799999999</v>
      </c>
      <c r="K774" s="8">
        <v>-20.339880000000001</v>
      </c>
      <c r="L774" s="71">
        <v>0</v>
      </c>
      <c r="M774" s="73">
        <v>1</v>
      </c>
      <c r="N774" s="73">
        <v>1</v>
      </c>
      <c r="O774" s="73">
        <v>0</v>
      </c>
      <c r="P774" s="17" t="s">
        <v>47</v>
      </c>
      <c r="Q774" t="str">
        <f>LEFT(B774,3)</f>
        <v>OIN</v>
      </c>
    </row>
    <row r="775" spans="1:17">
      <c r="A775" s="17" t="s">
        <v>3262</v>
      </c>
      <c r="B775" s="17" t="s">
        <v>1473</v>
      </c>
      <c r="C775" s="13" t="s">
        <v>1474</v>
      </c>
      <c r="D775" s="13" t="s">
        <v>1474</v>
      </c>
      <c r="E775" s="17" t="s">
        <v>148</v>
      </c>
      <c r="F775" s="17" t="s">
        <v>68</v>
      </c>
      <c r="G775" s="17" t="s">
        <v>68</v>
      </c>
      <c r="H775" s="7">
        <v>328399.01935999998</v>
      </c>
      <c r="I775" s="7">
        <v>319280.9093</v>
      </c>
      <c r="J775" s="80">
        <v>165.30975894068101</v>
      </c>
      <c r="K775" s="80">
        <v>-21.324415996026399</v>
      </c>
      <c r="L775" s="71">
        <v>160</v>
      </c>
      <c r="M775" s="73">
        <v>1</v>
      </c>
      <c r="N775" s="73">
        <v>1</v>
      </c>
      <c r="O775" s="73">
        <v>1</v>
      </c>
      <c r="P775" s="17" t="s">
        <v>47</v>
      </c>
      <c r="Q775" t="str">
        <f>LEFT(B775,3)</f>
        <v>OJI</v>
      </c>
    </row>
    <row r="776" spans="1:17">
      <c r="A776" s="17" t="s">
        <v>3263</v>
      </c>
      <c r="B776" s="17" t="s">
        <v>1473</v>
      </c>
      <c r="C776" s="13" t="s">
        <v>1474</v>
      </c>
      <c r="D776" s="13" t="s">
        <v>1474</v>
      </c>
      <c r="E776" s="17" t="s">
        <v>148</v>
      </c>
      <c r="F776" s="17" t="s">
        <v>68</v>
      </c>
      <c r="G776" s="17" t="s">
        <v>68</v>
      </c>
      <c r="H776" s="7">
        <v>328399.01935999998</v>
      </c>
      <c r="I776" s="7">
        <v>319280.9093</v>
      </c>
      <c r="J776" s="80">
        <v>165.30975894068101</v>
      </c>
      <c r="K776" s="80">
        <v>-21.324415996026399</v>
      </c>
      <c r="L776" s="71">
        <v>350</v>
      </c>
      <c r="M776" s="73">
        <v>1</v>
      </c>
      <c r="N776" s="73">
        <v>1</v>
      </c>
      <c r="O776" s="73">
        <v>1</v>
      </c>
      <c r="P776" s="17" t="s">
        <v>47</v>
      </c>
      <c r="Q776" t="str">
        <f>LEFT(B776,3)</f>
        <v>OJI</v>
      </c>
    </row>
    <row r="777" spans="1:17">
      <c r="A777" s="17" t="s">
        <v>3264</v>
      </c>
      <c r="B777" s="17" t="s">
        <v>1477</v>
      </c>
      <c r="C777" s="13" t="s">
        <v>1478</v>
      </c>
      <c r="D777" s="13" t="s">
        <v>1479</v>
      </c>
      <c r="E777" s="17" t="s">
        <v>437</v>
      </c>
      <c r="F777" s="17" t="s">
        <v>68</v>
      </c>
      <c r="G777" s="17" t="s">
        <v>68</v>
      </c>
      <c r="H777" s="7">
        <v>248032</v>
      </c>
      <c r="I777" s="7">
        <v>397584</v>
      </c>
      <c r="J777" s="80">
        <v>164.542085536765</v>
      </c>
      <c r="K777" s="80">
        <v>-20.612165479244801</v>
      </c>
      <c r="L777" s="71">
        <v>321</v>
      </c>
      <c r="M777" s="73">
        <v>1</v>
      </c>
      <c r="N777" s="73">
        <v>1</v>
      </c>
      <c r="O777" s="73">
        <v>1</v>
      </c>
      <c r="P777" s="17" t="s">
        <v>47</v>
      </c>
      <c r="Q777" t="str">
        <f>LEFT(B777,3)</f>
        <v>OLE</v>
      </c>
    </row>
    <row r="778" spans="1:17">
      <c r="A778" s="2" t="s">
        <v>3265</v>
      </c>
      <c r="B778" s="2" t="s">
        <v>1482</v>
      </c>
      <c r="C778" s="2" t="s">
        <v>3266</v>
      </c>
      <c r="D778" s="2" t="s">
        <v>3267</v>
      </c>
      <c r="E778" s="2" t="s">
        <v>128</v>
      </c>
      <c r="F778" s="2" t="s">
        <v>129</v>
      </c>
      <c r="G778" s="2" t="s">
        <v>129</v>
      </c>
      <c r="H778" s="7">
        <v>459112</v>
      </c>
      <c r="I778" s="7">
        <v>395403</v>
      </c>
      <c r="J778" s="79">
        <v>166.56718000000001</v>
      </c>
      <c r="K778" s="79">
        <v>-20.6373</v>
      </c>
      <c r="L778" s="71">
        <v>0</v>
      </c>
      <c r="M778" s="73">
        <v>1</v>
      </c>
      <c r="N778" s="73">
        <v>1</v>
      </c>
      <c r="O778" s="73">
        <v>0</v>
      </c>
      <c r="P778" s="17" t="s">
        <v>47</v>
      </c>
      <c r="Q778" t="str">
        <f>LEFT(B778,3)</f>
        <v>OLP</v>
      </c>
    </row>
    <row r="779" spans="1:17">
      <c r="A779" s="17" t="s">
        <v>3268</v>
      </c>
      <c r="B779" s="17" t="s">
        <v>1484</v>
      </c>
      <c r="C779" s="13" t="s">
        <v>1485</v>
      </c>
      <c r="D779" s="13" t="s">
        <v>1485</v>
      </c>
      <c r="E779" s="17" t="s">
        <v>104</v>
      </c>
      <c r="F779" s="17" t="s">
        <v>68</v>
      </c>
      <c r="G779" s="17" t="s">
        <v>68</v>
      </c>
      <c r="H779" s="7">
        <v>337201.90422999999</v>
      </c>
      <c r="I779" s="7">
        <v>356207.1238</v>
      </c>
      <c r="J779" s="80">
        <v>165.39599524045599</v>
      </c>
      <c r="K779" s="80">
        <v>-20.9912086263435</v>
      </c>
      <c r="L779" s="71">
        <v>0</v>
      </c>
      <c r="M779" s="73">
        <v>1</v>
      </c>
      <c r="N779" s="73">
        <v>1</v>
      </c>
      <c r="O779" s="73">
        <v>1</v>
      </c>
      <c r="P779" s="17" t="s">
        <v>47</v>
      </c>
      <c r="Q779" t="str">
        <f>LEFT(B779,3)</f>
        <v>OME</v>
      </c>
    </row>
    <row r="780" spans="1:17">
      <c r="A780" s="17" t="s">
        <v>3269</v>
      </c>
      <c r="B780" s="17" t="s">
        <v>1484</v>
      </c>
      <c r="C780" s="13" t="s">
        <v>1485</v>
      </c>
      <c r="D780" s="13" t="s">
        <v>1485</v>
      </c>
      <c r="E780" s="17" t="s">
        <v>104</v>
      </c>
      <c r="F780" s="17" t="s">
        <v>68</v>
      </c>
      <c r="G780" s="17" t="s">
        <v>68</v>
      </c>
      <c r="H780" s="7">
        <v>337201.90422999999</v>
      </c>
      <c r="I780" s="7">
        <v>356207.1238</v>
      </c>
      <c r="J780" s="80">
        <v>165.39599524045599</v>
      </c>
      <c r="K780" s="80">
        <v>-20.9912086263435</v>
      </c>
      <c r="L780" s="71">
        <v>135</v>
      </c>
      <c r="M780" s="73">
        <v>1</v>
      </c>
      <c r="N780" s="73">
        <v>1</v>
      </c>
      <c r="O780" s="73">
        <v>1</v>
      </c>
      <c r="P780" s="17" t="s">
        <v>47</v>
      </c>
      <c r="Q780" t="str">
        <f>LEFT(B780,3)</f>
        <v>OME</v>
      </c>
    </row>
    <row r="781" spans="1:17">
      <c r="A781" s="17" t="s">
        <v>3270</v>
      </c>
      <c r="B781" s="17" t="s">
        <v>1488</v>
      </c>
      <c r="C781" s="13" t="s">
        <v>1489</v>
      </c>
      <c r="D781" s="13" t="s">
        <v>1490</v>
      </c>
      <c r="E781" s="17" t="s">
        <v>437</v>
      </c>
      <c r="F781" s="17" t="s">
        <v>68</v>
      </c>
      <c r="G781" s="17" t="s">
        <v>68</v>
      </c>
      <c r="H781" s="7">
        <v>252306</v>
      </c>
      <c r="I781" s="7">
        <v>398516</v>
      </c>
      <c r="J781" s="80">
        <v>164.58316717838301</v>
      </c>
      <c r="K781" s="80">
        <v>-20.604102671690502</v>
      </c>
      <c r="L781" s="71">
        <v>337</v>
      </c>
      <c r="M781" s="73">
        <v>1</v>
      </c>
      <c r="N781" s="73">
        <v>1</v>
      </c>
      <c r="O781" s="73">
        <v>1</v>
      </c>
      <c r="P781" s="17" t="s">
        <v>47</v>
      </c>
      <c r="Q781" t="str">
        <f>LEFT(B781,3)</f>
        <v>OMU</v>
      </c>
    </row>
    <row r="782" spans="1:17">
      <c r="A782" s="17" t="s">
        <v>3271</v>
      </c>
      <c r="B782" s="17" t="s">
        <v>1492</v>
      </c>
      <c r="C782" s="13" t="s">
        <v>1493</v>
      </c>
      <c r="D782" s="13" t="s">
        <v>1495</v>
      </c>
      <c r="E782" s="17" t="s">
        <v>142</v>
      </c>
      <c r="F782" s="17" t="s">
        <v>43</v>
      </c>
      <c r="G782" s="17" t="s">
        <v>43</v>
      </c>
      <c r="H782" s="7">
        <v>469556.98846000002</v>
      </c>
      <c r="I782" s="7">
        <v>244856.21601</v>
      </c>
      <c r="J782" s="80">
        <v>166.673628559018</v>
      </c>
      <c r="K782" s="80">
        <v>-21.996710710698299</v>
      </c>
      <c r="L782" s="71">
        <v>20</v>
      </c>
      <c r="M782" s="73">
        <v>1</v>
      </c>
      <c r="N782" s="73">
        <v>1</v>
      </c>
      <c r="O782" s="73">
        <v>1</v>
      </c>
      <c r="P782" s="17" t="s">
        <v>47</v>
      </c>
      <c r="Q782" t="str">
        <f>LEFT(B782,3)</f>
        <v>ONE</v>
      </c>
    </row>
    <row r="783" spans="1:17">
      <c r="A783" s="17" t="s">
        <v>3272</v>
      </c>
      <c r="B783" s="17" t="s">
        <v>1492</v>
      </c>
      <c r="C783" s="13" t="s">
        <v>1493</v>
      </c>
      <c r="D783" s="13" t="s">
        <v>1495</v>
      </c>
      <c r="E783" s="17" t="s">
        <v>142</v>
      </c>
      <c r="F783" s="17" t="s">
        <v>43</v>
      </c>
      <c r="G783" s="17" t="s">
        <v>43</v>
      </c>
      <c r="H783" s="7">
        <v>469556.98846000002</v>
      </c>
      <c r="I783" s="7">
        <v>244856.21601</v>
      </c>
      <c r="J783" s="80">
        <v>166.673628559018</v>
      </c>
      <c r="K783" s="80">
        <v>-21.996710710698299</v>
      </c>
      <c r="L783" s="71">
        <v>105</v>
      </c>
      <c r="M783" s="73">
        <v>1</v>
      </c>
      <c r="N783" s="73">
        <v>1</v>
      </c>
      <c r="O783" s="73">
        <v>1</v>
      </c>
      <c r="P783" s="17" t="s">
        <v>47</v>
      </c>
      <c r="Q783" t="str">
        <f>LEFT(B783,3)</f>
        <v>ONE</v>
      </c>
    </row>
    <row r="784" spans="1:17">
      <c r="A784" s="17" t="s">
        <v>3273</v>
      </c>
      <c r="B784" s="17" t="s">
        <v>1497</v>
      </c>
      <c r="C784" s="13" t="s">
        <v>1498</v>
      </c>
      <c r="D784" s="13" t="s">
        <v>1498</v>
      </c>
      <c r="E784" s="17" t="s">
        <v>402</v>
      </c>
      <c r="F784" s="17" t="s">
        <v>68</v>
      </c>
      <c r="G784" s="17" t="s">
        <v>68</v>
      </c>
      <c r="H784" s="7">
        <v>359653</v>
      </c>
      <c r="I784" s="7">
        <v>323939</v>
      </c>
      <c r="J784" s="80">
        <v>165.61116070588599</v>
      </c>
      <c r="K784" s="80">
        <v>-21.283316683266101</v>
      </c>
      <c r="L784" s="71">
        <v>153</v>
      </c>
      <c r="M784" s="73">
        <v>2</v>
      </c>
      <c r="N784" s="73">
        <v>2</v>
      </c>
      <c r="O784" s="73">
        <v>1</v>
      </c>
      <c r="P784" s="17" t="s">
        <v>47</v>
      </c>
      <c r="Q784" t="str">
        <f>LEFT(B784,3)</f>
        <v>ONI</v>
      </c>
    </row>
    <row r="785" spans="1:17">
      <c r="A785" s="17" t="s">
        <v>3274</v>
      </c>
      <c r="B785" s="17" t="s">
        <v>1497</v>
      </c>
      <c r="C785" s="13" t="s">
        <v>1498</v>
      </c>
      <c r="D785" s="13" t="s">
        <v>1498</v>
      </c>
      <c r="E785" s="17" t="s">
        <v>402</v>
      </c>
      <c r="F785" s="17" t="s">
        <v>68</v>
      </c>
      <c r="G785" s="17" t="s">
        <v>68</v>
      </c>
      <c r="H785" s="7">
        <v>359653</v>
      </c>
      <c r="I785" s="7">
        <v>323939</v>
      </c>
      <c r="J785" s="80">
        <v>165.61116070588599</v>
      </c>
      <c r="K785" s="80">
        <v>-21.283316683266101</v>
      </c>
      <c r="L785" s="71">
        <v>250</v>
      </c>
      <c r="M785" s="73">
        <v>2</v>
      </c>
      <c r="N785" s="73">
        <v>2</v>
      </c>
      <c r="O785" s="73">
        <v>1</v>
      </c>
      <c r="P785" s="17" t="s">
        <v>47</v>
      </c>
      <c r="Q785" t="str">
        <f>LEFT(B785,3)</f>
        <v>ONI</v>
      </c>
    </row>
    <row r="786" spans="1:17">
      <c r="A786" s="17" t="s">
        <v>3275</v>
      </c>
      <c r="B786" s="17" t="s">
        <v>1497</v>
      </c>
      <c r="C786" s="13" t="s">
        <v>1498</v>
      </c>
      <c r="D786" s="13" t="s">
        <v>1498</v>
      </c>
      <c r="E786" s="17" t="s">
        <v>402</v>
      </c>
      <c r="F786" s="17" t="s">
        <v>68</v>
      </c>
      <c r="G786" s="17" t="s">
        <v>68</v>
      </c>
      <c r="H786" s="7">
        <v>359653</v>
      </c>
      <c r="I786" s="7">
        <v>323939</v>
      </c>
      <c r="J786" s="80">
        <v>165.61116070588599</v>
      </c>
      <c r="K786" s="80">
        <v>-21.283316683266101</v>
      </c>
      <c r="L786" s="71">
        <v>343</v>
      </c>
      <c r="M786" s="73">
        <v>2</v>
      </c>
      <c r="N786" s="73">
        <v>2</v>
      </c>
      <c r="O786" s="73">
        <v>1</v>
      </c>
      <c r="P786" s="17" t="s">
        <v>47</v>
      </c>
      <c r="Q786" t="str">
        <f>LEFT(B786,3)</f>
        <v>ONI</v>
      </c>
    </row>
    <row r="787" spans="1:17">
      <c r="A787" s="17" t="s">
        <v>3276</v>
      </c>
      <c r="B787" s="17" t="s">
        <v>1501</v>
      </c>
      <c r="C787" s="13" t="s">
        <v>1502</v>
      </c>
      <c r="D787" s="13" t="s">
        <v>604</v>
      </c>
      <c r="E787" s="17" t="s">
        <v>602</v>
      </c>
      <c r="F787" s="17" t="s">
        <v>43</v>
      </c>
      <c r="G787" s="17" t="s">
        <v>43</v>
      </c>
      <c r="H787" s="7">
        <v>397009.97609000001</v>
      </c>
      <c r="I787" s="7">
        <v>283726.21447000001</v>
      </c>
      <c r="J787" s="80">
        <v>165.97111256543499</v>
      </c>
      <c r="K787" s="80">
        <v>-21.646990127998201</v>
      </c>
      <c r="L787" s="71">
        <v>0</v>
      </c>
      <c r="M787" s="73">
        <v>1</v>
      </c>
      <c r="N787" s="73">
        <v>1</v>
      </c>
      <c r="O787" s="73">
        <v>1</v>
      </c>
      <c r="P787" s="17" t="s">
        <v>47</v>
      </c>
      <c r="Q787" t="str">
        <f>LEFT(B787,3)</f>
        <v>OPN</v>
      </c>
    </row>
    <row r="788" spans="1:17">
      <c r="A788" s="17" t="s">
        <v>3277</v>
      </c>
      <c r="B788" s="17" t="s">
        <v>1507</v>
      </c>
      <c r="C788" s="13" t="s">
        <v>1508</v>
      </c>
      <c r="D788" s="13" t="s">
        <v>1508</v>
      </c>
      <c r="E788" s="17" t="s">
        <v>207</v>
      </c>
      <c r="F788" s="17" t="s">
        <v>43</v>
      </c>
      <c r="G788" s="17" t="s">
        <v>43</v>
      </c>
      <c r="H788" s="7">
        <v>421450</v>
      </c>
      <c r="I788" s="7">
        <v>251675</v>
      </c>
      <c r="J788" s="80">
        <v>166.20764700000001</v>
      </c>
      <c r="K788" s="80">
        <v>-21.936349</v>
      </c>
      <c r="L788" s="71">
        <v>180</v>
      </c>
      <c r="M788" s="73">
        <v>1</v>
      </c>
      <c r="N788" s="73">
        <v>1</v>
      </c>
      <c r="O788" s="73">
        <v>0</v>
      </c>
      <c r="P788" s="17" t="s">
        <v>47</v>
      </c>
      <c r="Q788" t="str">
        <f>LEFT(B788,3)</f>
        <v>OPU</v>
      </c>
    </row>
    <row r="789" spans="1:17">
      <c r="A789" s="17" t="s">
        <v>3278</v>
      </c>
      <c r="B789" s="17" t="s">
        <v>1507</v>
      </c>
      <c r="C789" s="13" t="s">
        <v>1508</v>
      </c>
      <c r="D789" s="13" t="s">
        <v>1508</v>
      </c>
      <c r="E789" s="17" t="s">
        <v>207</v>
      </c>
      <c r="F789" s="17" t="s">
        <v>43</v>
      </c>
      <c r="G789" s="17" t="s">
        <v>43</v>
      </c>
      <c r="H789" s="7">
        <v>421450</v>
      </c>
      <c r="I789" s="7">
        <v>251675</v>
      </c>
      <c r="J789" s="80">
        <v>166.20764700000001</v>
      </c>
      <c r="K789" s="80">
        <v>-21.936349</v>
      </c>
      <c r="L789" s="71">
        <v>270</v>
      </c>
      <c r="M789" s="73">
        <v>1</v>
      </c>
      <c r="N789" s="73">
        <v>1</v>
      </c>
      <c r="O789" s="73">
        <v>0</v>
      </c>
      <c r="P789" s="17" t="s">
        <v>47</v>
      </c>
      <c r="Q789" t="str">
        <f>LEFT(B789,3)</f>
        <v>OPU</v>
      </c>
    </row>
    <row r="790" spans="1:17">
      <c r="A790" s="17" t="s">
        <v>3279</v>
      </c>
      <c r="B790" s="17" t="s">
        <v>1510</v>
      </c>
      <c r="C790" s="13" t="s">
        <v>1512</v>
      </c>
      <c r="D790" s="13" t="s">
        <v>1512</v>
      </c>
      <c r="E790" s="17" t="s">
        <v>609</v>
      </c>
      <c r="F790" s="17" t="s">
        <v>68</v>
      </c>
      <c r="G790" s="17" t="s">
        <v>68</v>
      </c>
      <c r="H790" s="7">
        <v>382930.13449000003</v>
      </c>
      <c r="I790" s="7">
        <v>307574.96922999999</v>
      </c>
      <c r="J790" s="80">
        <v>165.835323547</v>
      </c>
      <c r="K790" s="80">
        <v>-21.4314977249085</v>
      </c>
      <c r="L790" s="71">
        <v>230</v>
      </c>
      <c r="M790" s="73">
        <v>1</v>
      </c>
      <c r="N790" s="73">
        <v>1</v>
      </c>
      <c r="O790" s="73">
        <v>1</v>
      </c>
      <c r="P790" s="17" t="s">
        <v>47</v>
      </c>
      <c r="Q790" t="str">
        <f>LEFT(B790,3)</f>
        <v>ORB</v>
      </c>
    </row>
    <row r="791" spans="1:17">
      <c r="A791" s="17" t="s">
        <v>3280</v>
      </c>
      <c r="B791" s="17" t="s">
        <v>1510</v>
      </c>
      <c r="C791" s="13" t="s">
        <v>1512</v>
      </c>
      <c r="D791" s="13" t="s">
        <v>1512</v>
      </c>
      <c r="E791" s="17" t="s">
        <v>609</v>
      </c>
      <c r="F791" s="17" t="s">
        <v>68</v>
      </c>
      <c r="G791" s="17" t="s">
        <v>68</v>
      </c>
      <c r="H791" s="7">
        <v>382930.13449000003</v>
      </c>
      <c r="I791" s="7">
        <v>307574.96922999999</v>
      </c>
      <c r="J791" s="80">
        <v>165.835323547</v>
      </c>
      <c r="K791" s="80">
        <v>-21.4314977249085</v>
      </c>
      <c r="L791" s="71">
        <v>325</v>
      </c>
      <c r="M791" s="73">
        <v>1</v>
      </c>
      <c r="N791" s="73">
        <v>1</v>
      </c>
      <c r="O791" s="73">
        <v>1</v>
      </c>
      <c r="P791" s="17" t="s">
        <v>47</v>
      </c>
      <c r="Q791" t="str">
        <f>LEFT(B791,3)</f>
        <v>ORB</v>
      </c>
    </row>
    <row r="792" spans="1:17">
      <c r="A792" s="17" t="s">
        <v>3281</v>
      </c>
      <c r="B792" s="17" t="s">
        <v>1514</v>
      </c>
      <c r="C792" s="13" t="s">
        <v>1516</v>
      </c>
      <c r="D792" s="13" t="s">
        <v>1515</v>
      </c>
      <c r="E792" s="17" t="s">
        <v>98</v>
      </c>
      <c r="F792" s="17" t="s">
        <v>68</v>
      </c>
      <c r="G792" s="17" t="s">
        <v>68</v>
      </c>
      <c r="H792" s="7">
        <v>403374.09860999999</v>
      </c>
      <c r="I792" s="7">
        <v>302325.94329999998</v>
      </c>
      <c r="J792" s="80">
        <v>166.032559964055</v>
      </c>
      <c r="K792" s="80">
        <v>-21.4789873238845</v>
      </c>
      <c r="L792" s="71">
        <v>15</v>
      </c>
      <c r="M792" s="73">
        <v>1</v>
      </c>
      <c r="N792" s="73">
        <v>1</v>
      </c>
      <c r="O792" s="73">
        <v>1</v>
      </c>
      <c r="P792" s="17" t="s">
        <v>47</v>
      </c>
      <c r="Q792" t="str">
        <f>LEFT(B792,3)</f>
        <v>OSE</v>
      </c>
    </row>
    <row r="793" spans="1:17">
      <c r="A793" s="17" t="s">
        <v>3282</v>
      </c>
      <c r="B793" s="17" t="s">
        <v>1514</v>
      </c>
      <c r="C793" s="13" t="s">
        <v>1516</v>
      </c>
      <c r="D793" s="13" t="s">
        <v>1515</v>
      </c>
      <c r="E793" s="17" t="s">
        <v>98</v>
      </c>
      <c r="F793" s="17" t="s">
        <v>68</v>
      </c>
      <c r="G793" s="17" t="s">
        <v>68</v>
      </c>
      <c r="H793" s="7">
        <v>403374.09860999999</v>
      </c>
      <c r="I793" s="7">
        <v>302325.94329999998</v>
      </c>
      <c r="J793" s="80">
        <v>166.032559964055</v>
      </c>
      <c r="K793" s="80">
        <v>-21.4789873238845</v>
      </c>
      <c r="L793" s="71">
        <v>120</v>
      </c>
      <c r="M793" s="73">
        <v>1</v>
      </c>
      <c r="N793" s="73">
        <v>1</v>
      </c>
      <c r="O793" s="73">
        <v>1</v>
      </c>
      <c r="P793" s="17" t="s">
        <v>47</v>
      </c>
      <c r="Q793" t="str">
        <f>LEFT(B793,3)</f>
        <v>OSE</v>
      </c>
    </row>
    <row r="794" spans="1:17">
      <c r="A794" s="17" t="s">
        <v>3283</v>
      </c>
      <c r="B794" s="17" t="s">
        <v>1518</v>
      </c>
      <c r="C794" s="13" t="s">
        <v>1519</v>
      </c>
      <c r="D794" s="13" t="s">
        <v>1520</v>
      </c>
      <c r="E794" s="17" t="s">
        <v>207</v>
      </c>
      <c r="F794" s="17" t="s">
        <v>43</v>
      </c>
      <c r="G794" s="17" t="s">
        <v>43</v>
      </c>
      <c r="H794" s="7">
        <v>390412</v>
      </c>
      <c r="I794" s="7">
        <v>262481</v>
      </c>
      <c r="J794" s="80">
        <v>165.90724499999999</v>
      </c>
      <c r="K794" s="80">
        <v>-21.838854000000001</v>
      </c>
      <c r="L794" s="71">
        <v>25</v>
      </c>
      <c r="M794" s="73">
        <v>1</v>
      </c>
      <c r="N794" s="73">
        <v>1</v>
      </c>
      <c r="O794" s="73">
        <v>0</v>
      </c>
      <c r="P794" s="17" t="s">
        <v>47</v>
      </c>
      <c r="Q794" t="str">
        <f>LEFT(B794,3)</f>
        <v>OTL</v>
      </c>
    </row>
    <row r="795" spans="1:17">
      <c r="A795" s="17" t="s">
        <v>3284</v>
      </c>
      <c r="B795" s="17" t="s">
        <v>1518</v>
      </c>
      <c r="C795" s="13" t="s">
        <v>1519</v>
      </c>
      <c r="D795" s="13" t="s">
        <v>1520</v>
      </c>
      <c r="E795" s="17" t="s">
        <v>207</v>
      </c>
      <c r="F795" s="17" t="s">
        <v>43</v>
      </c>
      <c r="G795" s="17" t="s">
        <v>43</v>
      </c>
      <c r="H795" s="7">
        <v>390412</v>
      </c>
      <c r="I795" s="7">
        <v>262481</v>
      </c>
      <c r="J795" s="80">
        <v>165.90724499999999</v>
      </c>
      <c r="K795" s="80">
        <v>-21.838854000000001</v>
      </c>
      <c r="L795" s="71">
        <v>116</v>
      </c>
      <c r="M795" s="73">
        <v>1</v>
      </c>
      <c r="N795" s="73">
        <v>1</v>
      </c>
      <c r="O795" s="73">
        <v>0</v>
      </c>
      <c r="P795" s="17" t="s">
        <v>47</v>
      </c>
      <c r="Q795" t="str">
        <f>LEFT(B795,3)</f>
        <v>OTL</v>
      </c>
    </row>
    <row r="796" spans="1:17">
      <c r="A796" s="17" t="s">
        <v>3285</v>
      </c>
      <c r="B796" s="17" t="s">
        <v>1518</v>
      </c>
      <c r="C796" s="13" t="s">
        <v>1519</v>
      </c>
      <c r="D796" s="13" t="s">
        <v>1520</v>
      </c>
      <c r="E796" s="17" t="s">
        <v>207</v>
      </c>
      <c r="F796" s="17" t="s">
        <v>43</v>
      </c>
      <c r="G796" s="17" t="s">
        <v>43</v>
      </c>
      <c r="H796" s="7">
        <v>390412</v>
      </c>
      <c r="I796" s="7">
        <v>262481</v>
      </c>
      <c r="J796" s="80">
        <v>165.90724499999999</v>
      </c>
      <c r="K796" s="80">
        <v>-21.838854000000001</v>
      </c>
      <c r="L796" s="71">
        <v>278</v>
      </c>
      <c r="M796" s="73">
        <v>1</v>
      </c>
      <c r="N796" s="73">
        <v>1</v>
      </c>
      <c r="O796" s="73">
        <v>0</v>
      </c>
      <c r="P796" s="17" t="s">
        <v>47</v>
      </c>
      <c r="Q796" t="str">
        <f>LEFT(B796,3)</f>
        <v>OTL</v>
      </c>
    </row>
    <row r="797" spans="1:17">
      <c r="A797" s="17" t="s">
        <v>3286</v>
      </c>
      <c r="B797" s="17" t="s">
        <v>1522</v>
      </c>
      <c r="C797" s="13" t="s">
        <v>3287</v>
      </c>
      <c r="D797" s="13" t="s">
        <v>3287</v>
      </c>
      <c r="E797" s="17" t="s">
        <v>602</v>
      </c>
      <c r="F797" s="17" t="s">
        <v>43</v>
      </c>
      <c r="G797" s="17" t="s">
        <v>43</v>
      </c>
      <c r="H797" s="7">
        <v>390291.97664000001</v>
      </c>
      <c r="I797" s="7">
        <v>267445.98806</v>
      </c>
      <c r="J797" s="80">
        <v>165.90611316690499</v>
      </c>
      <c r="K797" s="80">
        <v>-21.794009552040201</v>
      </c>
      <c r="L797" s="71">
        <v>0</v>
      </c>
      <c r="M797" s="73">
        <v>1</v>
      </c>
      <c r="N797" s="73">
        <v>1</v>
      </c>
      <c r="O797" s="73">
        <v>1</v>
      </c>
      <c r="P797" s="17" t="s">
        <v>47</v>
      </c>
      <c r="Q797" t="str">
        <f>LEFT(B797,3)</f>
        <v>OTM</v>
      </c>
    </row>
    <row r="798" spans="1:17">
      <c r="A798" s="17" t="s">
        <v>3288</v>
      </c>
      <c r="B798" s="17" t="s">
        <v>1525</v>
      </c>
      <c r="C798" s="13" t="s">
        <v>1526</v>
      </c>
      <c r="D798" s="13" t="s">
        <v>727</v>
      </c>
      <c r="E798" s="17" t="s">
        <v>207</v>
      </c>
      <c r="F798" s="17" t="s">
        <v>43</v>
      </c>
      <c r="G798" s="17" t="s">
        <v>43</v>
      </c>
      <c r="H798" s="7">
        <v>413390</v>
      </c>
      <c r="I798" s="7">
        <v>260846</v>
      </c>
      <c r="J798" s="79">
        <v>166.12954999999999</v>
      </c>
      <c r="K798" s="79">
        <v>-21.8536</v>
      </c>
      <c r="L798" s="71">
        <v>0</v>
      </c>
      <c r="M798" s="73">
        <v>1</v>
      </c>
      <c r="N798" s="73">
        <v>1</v>
      </c>
      <c r="O798" s="73">
        <v>0</v>
      </c>
      <c r="P798" s="17" t="s">
        <v>47</v>
      </c>
      <c r="Q798" t="str">
        <f>LEFT(B798,3)</f>
        <v>OUA</v>
      </c>
    </row>
    <row r="799" spans="1:17">
      <c r="A799" s="17" t="s">
        <v>3289</v>
      </c>
      <c r="B799" s="17" t="s">
        <v>1531</v>
      </c>
      <c r="C799" s="13" t="s">
        <v>224</v>
      </c>
      <c r="D799" s="13" t="s">
        <v>1470</v>
      </c>
      <c r="E799" s="17" t="s">
        <v>224</v>
      </c>
      <c r="F799" s="17" t="s">
        <v>68</v>
      </c>
      <c r="G799" s="17" t="s">
        <v>68</v>
      </c>
      <c r="H799" s="7">
        <v>237303.93609</v>
      </c>
      <c r="I799" s="7">
        <v>427020.29236000002</v>
      </c>
      <c r="J799" s="80">
        <v>164.441986791179</v>
      </c>
      <c r="K799" s="80">
        <v>-20.345374334869799</v>
      </c>
      <c r="L799" s="71">
        <v>140</v>
      </c>
      <c r="M799" s="73">
        <v>1</v>
      </c>
      <c r="N799" s="73">
        <v>2</v>
      </c>
      <c r="O799" s="73">
        <v>1</v>
      </c>
      <c r="P799" s="17" t="s">
        <v>47</v>
      </c>
      <c r="Q799" t="str">
        <f>LEFT(B799,3)</f>
        <v>OUE</v>
      </c>
    </row>
    <row r="800" spans="1:17">
      <c r="A800" s="17" t="s">
        <v>3290</v>
      </c>
      <c r="B800" s="17" t="s">
        <v>1531</v>
      </c>
      <c r="C800" s="13" t="s">
        <v>224</v>
      </c>
      <c r="D800" s="13" t="s">
        <v>1470</v>
      </c>
      <c r="E800" s="17" t="s">
        <v>224</v>
      </c>
      <c r="F800" s="17" t="s">
        <v>68</v>
      </c>
      <c r="G800" s="17" t="s">
        <v>68</v>
      </c>
      <c r="H800" s="7">
        <v>237303.93609</v>
      </c>
      <c r="I800" s="7">
        <v>427020.29236000002</v>
      </c>
      <c r="J800" s="80">
        <v>164.441986791179</v>
      </c>
      <c r="K800" s="80">
        <v>-20.345374334869799</v>
      </c>
      <c r="L800" s="71">
        <v>210</v>
      </c>
      <c r="M800" s="73">
        <v>1</v>
      </c>
      <c r="N800" s="73">
        <v>2</v>
      </c>
      <c r="O800" s="73">
        <v>1</v>
      </c>
      <c r="P800" s="17" t="s">
        <v>47</v>
      </c>
      <c r="Q800" t="str">
        <f>LEFT(B800,3)</f>
        <v>OUE</v>
      </c>
    </row>
    <row r="801" spans="1:17">
      <c r="A801" s="17" t="s">
        <v>3291</v>
      </c>
      <c r="B801" s="17" t="s">
        <v>1531</v>
      </c>
      <c r="C801" s="13" t="s">
        <v>224</v>
      </c>
      <c r="D801" s="13" t="s">
        <v>1470</v>
      </c>
      <c r="E801" s="17" t="s">
        <v>224</v>
      </c>
      <c r="F801" s="17" t="s">
        <v>68</v>
      </c>
      <c r="G801" s="17" t="s">
        <v>68</v>
      </c>
      <c r="H801" s="7">
        <v>237303.93609</v>
      </c>
      <c r="I801" s="7">
        <v>427020.29236000002</v>
      </c>
      <c r="J801" s="80">
        <v>164.441986791179</v>
      </c>
      <c r="K801" s="80">
        <v>-20.345374334869799</v>
      </c>
      <c r="L801" s="71">
        <v>280</v>
      </c>
      <c r="M801" s="73">
        <v>1</v>
      </c>
      <c r="N801" s="73">
        <v>2</v>
      </c>
      <c r="O801" s="73">
        <v>1</v>
      </c>
      <c r="P801" s="17" t="s">
        <v>47</v>
      </c>
      <c r="Q801" t="str">
        <f>LEFT(B801,3)</f>
        <v>OUE</v>
      </c>
    </row>
    <row r="802" spans="1:17">
      <c r="A802" s="17" t="s">
        <v>3292</v>
      </c>
      <c r="B802" s="17" t="s">
        <v>1533</v>
      </c>
      <c r="C802" s="13" t="s">
        <v>434</v>
      </c>
      <c r="D802" s="13" t="s">
        <v>434</v>
      </c>
      <c r="E802" s="17" t="s">
        <v>93</v>
      </c>
      <c r="F802" s="17" t="s">
        <v>43</v>
      </c>
      <c r="G802" s="17" t="s">
        <v>50</v>
      </c>
      <c r="H802" s="7">
        <v>494967.78785999998</v>
      </c>
      <c r="I802" s="7">
        <v>209186.35071</v>
      </c>
      <c r="J802" s="80">
        <v>166.921754705919</v>
      </c>
      <c r="K802" s="80">
        <v>-22.317675935553801</v>
      </c>
      <c r="L802" s="71">
        <v>0</v>
      </c>
      <c r="M802" s="73">
        <v>2</v>
      </c>
      <c r="N802" s="73">
        <v>1</v>
      </c>
      <c r="O802" s="73">
        <v>1</v>
      </c>
      <c r="P802" s="17" t="s">
        <v>47</v>
      </c>
      <c r="Q802" t="str">
        <f>LEFT(B802,3)</f>
        <v>OUG</v>
      </c>
    </row>
    <row r="803" spans="1:17">
      <c r="A803" s="17" t="s">
        <v>3293</v>
      </c>
      <c r="B803" s="17" t="s">
        <v>1533</v>
      </c>
      <c r="C803" s="13" t="s">
        <v>434</v>
      </c>
      <c r="D803" s="13" t="s">
        <v>434</v>
      </c>
      <c r="E803" s="17" t="s">
        <v>93</v>
      </c>
      <c r="F803" s="17" t="s">
        <v>43</v>
      </c>
      <c r="G803" s="17" t="s">
        <v>50</v>
      </c>
      <c r="H803" s="7">
        <v>494967.78785999998</v>
      </c>
      <c r="I803" s="7">
        <v>209186.35071</v>
      </c>
      <c r="J803" s="80">
        <v>166.921754705919</v>
      </c>
      <c r="K803" s="80">
        <v>-22.317675935553801</v>
      </c>
      <c r="L803" s="71">
        <v>130</v>
      </c>
      <c r="M803" s="73">
        <v>2</v>
      </c>
      <c r="N803" s="73">
        <v>1</v>
      </c>
      <c r="O803" s="73">
        <v>1</v>
      </c>
      <c r="P803" s="17" t="s">
        <v>47</v>
      </c>
      <c r="Q803" t="str">
        <f>LEFT(B803,3)</f>
        <v>OUG</v>
      </c>
    </row>
    <row r="804" spans="1:17">
      <c r="A804" s="17" t="s">
        <v>3294</v>
      </c>
      <c r="B804" s="17" t="s">
        <v>1533</v>
      </c>
      <c r="C804" s="13" t="s">
        <v>434</v>
      </c>
      <c r="D804" s="13" t="s">
        <v>434</v>
      </c>
      <c r="E804" s="17" t="s">
        <v>93</v>
      </c>
      <c r="F804" s="17" t="s">
        <v>43</v>
      </c>
      <c r="G804" s="17" t="s">
        <v>50</v>
      </c>
      <c r="H804" s="7">
        <v>494967.78785999998</v>
      </c>
      <c r="I804" s="7">
        <v>209186.35071</v>
      </c>
      <c r="J804" s="80">
        <v>166.921754705919</v>
      </c>
      <c r="K804" s="80">
        <v>-22.317675935553801</v>
      </c>
      <c r="L804" s="71">
        <v>245</v>
      </c>
      <c r="M804" s="73">
        <v>2</v>
      </c>
      <c r="N804" s="73">
        <v>1</v>
      </c>
      <c r="O804" s="73">
        <v>1</v>
      </c>
      <c r="P804" s="17" t="s">
        <v>47</v>
      </c>
      <c r="Q804" t="str">
        <f>LEFT(B804,3)</f>
        <v>OUG</v>
      </c>
    </row>
    <row r="805" spans="1:17">
      <c r="A805" s="17" t="s">
        <v>3295</v>
      </c>
      <c r="B805" s="17" t="s">
        <v>1536</v>
      </c>
      <c r="C805" s="13" t="s">
        <v>1537</v>
      </c>
      <c r="D805" s="13" t="s">
        <v>1537</v>
      </c>
      <c r="E805" s="17" t="s">
        <v>207</v>
      </c>
      <c r="F805" s="17" t="s">
        <v>43</v>
      </c>
      <c r="G805" s="17" t="s">
        <v>43</v>
      </c>
      <c r="H805" s="7">
        <v>417168.9964</v>
      </c>
      <c r="I805" s="7">
        <v>253226.99468</v>
      </c>
      <c r="J805" s="80">
        <v>166.16618889844901</v>
      </c>
      <c r="K805" s="80">
        <v>-21.922377795818399</v>
      </c>
      <c r="L805" s="71">
        <v>270</v>
      </c>
      <c r="M805" s="73">
        <v>1</v>
      </c>
      <c r="N805" s="73">
        <v>1</v>
      </c>
      <c r="O805" s="73">
        <v>1</v>
      </c>
      <c r="P805" s="17" t="s">
        <v>47</v>
      </c>
      <c r="Q805" t="str">
        <f>LEFT(B805,3)</f>
        <v>OUI</v>
      </c>
    </row>
    <row r="806" spans="1:17">
      <c r="A806" s="13" t="s">
        <v>3296</v>
      </c>
      <c r="B806" s="13" t="s">
        <v>1540</v>
      </c>
      <c r="C806" s="13" t="s">
        <v>3267</v>
      </c>
      <c r="D806" s="13" t="s">
        <v>667</v>
      </c>
      <c r="E806" s="13" t="s">
        <v>128</v>
      </c>
      <c r="F806" s="13" t="s">
        <v>129</v>
      </c>
      <c r="G806" s="13" t="s">
        <v>129</v>
      </c>
      <c r="H806" s="19">
        <v>459658</v>
      </c>
      <c r="I806" s="19">
        <v>394836</v>
      </c>
      <c r="J806" s="80">
        <v>166.57244331093901</v>
      </c>
      <c r="K806" s="80">
        <v>-20.6424004134761</v>
      </c>
      <c r="L806" s="71">
        <v>0</v>
      </c>
      <c r="M806" s="73">
        <v>1</v>
      </c>
      <c r="N806" s="73">
        <v>1</v>
      </c>
      <c r="O806" s="73">
        <v>1</v>
      </c>
      <c r="P806" s="17" t="s">
        <v>47</v>
      </c>
      <c r="Q806" t="str">
        <f>LEFT(B806,3)</f>
        <v>OUL</v>
      </c>
    </row>
    <row r="807" spans="1:17">
      <c r="A807" s="13" t="s">
        <v>3297</v>
      </c>
      <c r="B807" s="13" t="s">
        <v>1545</v>
      </c>
      <c r="C807" s="13" t="s">
        <v>1547</v>
      </c>
      <c r="D807" s="13" t="s">
        <v>1547</v>
      </c>
      <c r="E807" s="13" t="s">
        <v>29</v>
      </c>
      <c r="F807" s="13" t="s">
        <v>43</v>
      </c>
      <c r="G807" s="13" t="s">
        <v>30</v>
      </c>
      <c r="H807" s="19">
        <v>448888</v>
      </c>
      <c r="I807" s="19">
        <v>214700</v>
      </c>
      <c r="J807" s="80">
        <v>166.474346</v>
      </c>
      <c r="K807" s="80">
        <v>-22.269739000000001</v>
      </c>
      <c r="L807" s="71">
        <v>70</v>
      </c>
      <c r="M807" s="73">
        <v>1</v>
      </c>
      <c r="N807" s="73">
        <v>1</v>
      </c>
      <c r="O807" s="73">
        <v>0</v>
      </c>
      <c r="P807" s="17" t="s">
        <v>37</v>
      </c>
      <c r="Q807" t="str">
        <f>LEFT(B807,3)</f>
        <v>OUM</v>
      </c>
    </row>
    <row r="808" spans="1:17">
      <c r="A808" s="13" t="s">
        <v>3298</v>
      </c>
      <c r="B808" s="13" t="s">
        <v>1545</v>
      </c>
      <c r="C808" s="13" t="s">
        <v>1547</v>
      </c>
      <c r="D808" s="13" t="s">
        <v>1547</v>
      </c>
      <c r="E808" s="13" t="s">
        <v>29</v>
      </c>
      <c r="F808" s="13" t="s">
        <v>43</v>
      </c>
      <c r="G808" s="13" t="s">
        <v>30</v>
      </c>
      <c r="H808" s="19">
        <v>448888</v>
      </c>
      <c r="I808" s="19">
        <v>214700</v>
      </c>
      <c r="J808" s="80">
        <v>166.474346</v>
      </c>
      <c r="K808" s="80">
        <v>-22.269739000000001</v>
      </c>
      <c r="L808" s="71">
        <v>170</v>
      </c>
      <c r="M808" s="73">
        <v>1</v>
      </c>
      <c r="N808" s="73">
        <v>1</v>
      </c>
      <c r="O808" s="73">
        <v>0</v>
      </c>
      <c r="P808" s="17" t="s">
        <v>37</v>
      </c>
      <c r="Q808" t="str">
        <f>LEFT(B808,3)</f>
        <v>OUM</v>
      </c>
    </row>
    <row r="809" spans="1:17">
      <c r="A809" s="13" t="s">
        <v>3299</v>
      </c>
      <c r="B809" s="13" t="s">
        <v>1545</v>
      </c>
      <c r="C809" s="13" t="s">
        <v>1547</v>
      </c>
      <c r="D809" s="13" t="s">
        <v>1547</v>
      </c>
      <c r="E809" s="13" t="s">
        <v>29</v>
      </c>
      <c r="F809" s="13" t="s">
        <v>43</v>
      </c>
      <c r="G809" s="13" t="s">
        <v>30</v>
      </c>
      <c r="H809" s="19">
        <v>448888</v>
      </c>
      <c r="I809" s="19">
        <v>214700</v>
      </c>
      <c r="J809" s="80">
        <v>166.474346</v>
      </c>
      <c r="K809" s="80">
        <v>-22.269739000000001</v>
      </c>
      <c r="L809" s="71">
        <v>255</v>
      </c>
      <c r="M809" s="73">
        <v>1</v>
      </c>
      <c r="N809" s="73">
        <v>1</v>
      </c>
      <c r="O809" s="73">
        <v>0</v>
      </c>
      <c r="P809" s="17" t="s">
        <v>37</v>
      </c>
      <c r="Q809" t="str">
        <f>LEFT(B809,3)</f>
        <v>OUM</v>
      </c>
    </row>
    <row r="810" spans="1:17">
      <c r="A810" s="17" t="s">
        <v>3300</v>
      </c>
      <c r="B810" s="17" t="s">
        <v>1550</v>
      </c>
      <c r="C810" s="13" t="s">
        <v>1551</v>
      </c>
      <c r="D810" s="13" t="s">
        <v>1551</v>
      </c>
      <c r="E810" s="17" t="s">
        <v>249</v>
      </c>
      <c r="F810" s="17" t="s">
        <v>68</v>
      </c>
      <c r="G810" s="17" t="s">
        <v>68</v>
      </c>
      <c r="H810" s="7">
        <v>267113.55063999997</v>
      </c>
      <c r="I810" s="7">
        <v>350980.23694999999</v>
      </c>
      <c r="J810" s="80">
        <v>164.72148464774901</v>
      </c>
      <c r="K810" s="80">
        <v>-21.034609672572099</v>
      </c>
      <c r="L810" s="71">
        <v>21</v>
      </c>
      <c r="M810" s="73">
        <v>1</v>
      </c>
      <c r="N810" s="73">
        <v>1</v>
      </c>
      <c r="O810" s="73">
        <v>1</v>
      </c>
      <c r="P810" s="17" t="s">
        <v>47</v>
      </c>
      <c r="Q810" t="str">
        <f>LEFT(B810,3)</f>
        <v>OUN</v>
      </c>
    </row>
    <row r="811" spans="1:17">
      <c r="A811" s="17" t="s">
        <v>3301</v>
      </c>
      <c r="B811" s="17" t="s">
        <v>1550</v>
      </c>
      <c r="C811" s="13" t="s">
        <v>1551</v>
      </c>
      <c r="D811" s="13" t="s">
        <v>1551</v>
      </c>
      <c r="E811" s="17" t="s">
        <v>249</v>
      </c>
      <c r="F811" s="17" t="s">
        <v>68</v>
      </c>
      <c r="G811" s="17" t="s">
        <v>68</v>
      </c>
      <c r="H811" s="7">
        <v>267113.55063999997</v>
      </c>
      <c r="I811" s="7">
        <v>350980.23694999999</v>
      </c>
      <c r="J811" s="80">
        <v>164.72148464774901</v>
      </c>
      <c r="K811" s="80">
        <v>-21.034609672572099</v>
      </c>
      <c r="L811" s="71">
        <v>131</v>
      </c>
      <c r="M811" s="73">
        <v>1</v>
      </c>
      <c r="N811" s="73">
        <v>1</v>
      </c>
      <c r="O811" s="73">
        <v>1</v>
      </c>
      <c r="P811" s="17" t="s">
        <v>47</v>
      </c>
      <c r="Q811" t="str">
        <f>LEFT(B811,3)</f>
        <v>OUN</v>
      </c>
    </row>
    <row r="812" spans="1:17">
      <c r="A812" s="17" t="s">
        <v>3302</v>
      </c>
      <c r="B812" s="17" t="s">
        <v>1550</v>
      </c>
      <c r="C812" s="13" t="s">
        <v>1551</v>
      </c>
      <c r="D812" s="13" t="s">
        <v>1551</v>
      </c>
      <c r="E812" s="17" t="s">
        <v>249</v>
      </c>
      <c r="F812" s="17" t="s">
        <v>68</v>
      </c>
      <c r="G812" s="17" t="s">
        <v>68</v>
      </c>
      <c r="H812" s="7">
        <v>267113.55063999997</v>
      </c>
      <c r="I812" s="7">
        <v>350980.23694999999</v>
      </c>
      <c r="J812" s="80">
        <v>164.72148464774901</v>
      </c>
      <c r="K812" s="80">
        <v>-21.034609672572099</v>
      </c>
      <c r="L812" s="71">
        <v>281</v>
      </c>
      <c r="M812" s="73">
        <v>1</v>
      </c>
      <c r="N812" s="73">
        <v>1</v>
      </c>
      <c r="O812" s="73">
        <v>1</v>
      </c>
      <c r="P812" s="17" t="s">
        <v>47</v>
      </c>
      <c r="Q812" t="str">
        <f>LEFT(B812,3)</f>
        <v>OUN</v>
      </c>
    </row>
    <row r="813" spans="1:17">
      <c r="A813" s="17" t="s">
        <v>3303</v>
      </c>
      <c r="B813" s="17" t="s">
        <v>1554</v>
      </c>
      <c r="C813" s="13" t="s">
        <v>1523</v>
      </c>
      <c r="D813" s="13" t="s">
        <v>1523</v>
      </c>
      <c r="E813" s="17" t="s">
        <v>602</v>
      </c>
      <c r="F813" s="17" t="s">
        <v>43</v>
      </c>
      <c r="G813" s="17" t="s">
        <v>43</v>
      </c>
      <c r="H813" s="7">
        <v>386317.52166999999</v>
      </c>
      <c r="I813" s="7">
        <v>264635.12695000001</v>
      </c>
      <c r="J813" s="80">
        <v>165.867657300769</v>
      </c>
      <c r="K813" s="80">
        <v>-21.8193724911707</v>
      </c>
      <c r="L813" s="71">
        <v>120</v>
      </c>
      <c r="M813" s="73">
        <v>1</v>
      </c>
      <c r="N813" s="73">
        <v>2</v>
      </c>
      <c r="O813" s="73">
        <v>1</v>
      </c>
      <c r="P813" s="17" t="s">
        <v>47</v>
      </c>
      <c r="Q813" t="str">
        <f>LEFT(B813,3)</f>
        <v>OUO</v>
      </c>
    </row>
    <row r="814" spans="1:17">
      <c r="A814" s="17" t="s">
        <v>3304</v>
      </c>
      <c r="B814" s="17" t="s">
        <v>1554</v>
      </c>
      <c r="C814" s="13" t="s">
        <v>1523</v>
      </c>
      <c r="D814" s="13" t="s">
        <v>1523</v>
      </c>
      <c r="E814" s="17" t="s">
        <v>602</v>
      </c>
      <c r="F814" s="17" t="s">
        <v>43</v>
      </c>
      <c r="G814" s="17" t="s">
        <v>43</v>
      </c>
      <c r="H814" s="7">
        <v>386317.52166999999</v>
      </c>
      <c r="I814" s="7">
        <v>264635.12695000001</v>
      </c>
      <c r="J814" s="80">
        <v>165.867657300769</v>
      </c>
      <c r="K814" s="80">
        <v>-21.8193724911707</v>
      </c>
      <c r="L814" s="71">
        <v>225</v>
      </c>
      <c r="M814" s="73">
        <v>1</v>
      </c>
      <c r="N814" s="73">
        <v>2</v>
      </c>
      <c r="O814" s="73">
        <v>1</v>
      </c>
      <c r="P814" s="17" t="s">
        <v>47</v>
      </c>
      <c r="Q814" t="str">
        <f>LEFT(B814,3)</f>
        <v>OUO</v>
      </c>
    </row>
    <row r="815" spans="1:17">
      <c r="A815" s="17" t="s">
        <v>3305</v>
      </c>
      <c r="B815" s="17" t="s">
        <v>1554</v>
      </c>
      <c r="C815" s="13" t="s">
        <v>1523</v>
      </c>
      <c r="D815" s="13" t="s">
        <v>1523</v>
      </c>
      <c r="E815" s="17" t="s">
        <v>602</v>
      </c>
      <c r="F815" s="17" t="s">
        <v>43</v>
      </c>
      <c r="G815" s="17" t="s">
        <v>43</v>
      </c>
      <c r="H815" s="7">
        <v>386317.52166999999</v>
      </c>
      <c r="I815" s="7">
        <v>264635.12695000001</v>
      </c>
      <c r="J815" s="80">
        <v>165.867657300769</v>
      </c>
      <c r="K815" s="80">
        <v>-21.8193724911707</v>
      </c>
      <c r="L815" s="71">
        <v>320</v>
      </c>
      <c r="M815" s="73">
        <v>1</v>
      </c>
      <c r="N815" s="73">
        <v>2</v>
      </c>
      <c r="O815" s="73">
        <v>1</v>
      </c>
      <c r="P815" s="17" t="s">
        <v>47</v>
      </c>
      <c r="Q815" t="str">
        <f>LEFT(B815,3)</f>
        <v>OUO</v>
      </c>
    </row>
    <row r="816" spans="1:17">
      <c r="A816" s="17" t="s">
        <v>3306</v>
      </c>
      <c r="B816" s="17" t="s">
        <v>1558</v>
      </c>
      <c r="C816" s="17" t="s">
        <v>3307</v>
      </c>
      <c r="D816" s="17" t="s">
        <v>3307</v>
      </c>
      <c r="E816" s="17" t="s">
        <v>207</v>
      </c>
      <c r="F816" s="17" t="s">
        <v>43</v>
      </c>
      <c r="G816" s="17" t="s">
        <v>43</v>
      </c>
      <c r="H816" s="22">
        <v>399765</v>
      </c>
      <c r="I816" s="22">
        <v>264526</v>
      </c>
      <c r="J816" s="83">
        <v>165.99772999999999</v>
      </c>
      <c r="K816" s="83">
        <v>-21.820409999999999</v>
      </c>
      <c r="L816" s="73">
        <v>0</v>
      </c>
      <c r="M816" s="73">
        <v>1</v>
      </c>
      <c r="N816" s="73">
        <v>1</v>
      </c>
      <c r="O816" s="73">
        <v>0</v>
      </c>
      <c r="P816" s="17" t="s">
        <v>47</v>
      </c>
      <c r="Q816" t="str">
        <f>LEFT(B816,3)</f>
        <v>OUT</v>
      </c>
    </row>
    <row r="817" spans="1:17">
      <c r="A817" s="17" t="s">
        <v>3308</v>
      </c>
      <c r="B817" s="17" t="s">
        <v>1560</v>
      </c>
      <c r="C817" s="13" t="s">
        <v>1561</v>
      </c>
      <c r="D817" s="13" t="s">
        <v>1561</v>
      </c>
      <c r="E817" s="17" t="s">
        <v>249</v>
      </c>
      <c r="F817" s="17" t="s">
        <v>68</v>
      </c>
      <c r="G817" s="17" t="s">
        <v>68</v>
      </c>
      <c r="H817" s="7">
        <v>255185.06886</v>
      </c>
      <c r="I817" s="7">
        <v>370264.02030999999</v>
      </c>
      <c r="J817" s="80">
        <v>164.608371437876</v>
      </c>
      <c r="K817" s="80">
        <v>-20.859510802587799</v>
      </c>
      <c r="L817" s="71">
        <v>100</v>
      </c>
      <c r="M817" s="73">
        <v>1</v>
      </c>
      <c r="N817" s="73">
        <v>1</v>
      </c>
      <c r="O817" s="73">
        <v>1</v>
      </c>
      <c r="P817" s="17" t="s">
        <v>47</v>
      </c>
      <c r="Q817" t="str">
        <f>LEFT(B817,3)</f>
        <v>P84</v>
      </c>
    </row>
    <row r="818" spans="1:17">
      <c r="A818" s="17" t="s">
        <v>3309</v>
      </c>
      <c r="B818" s="17" t="s">
        <v>1560</v>
      </c>
      <c r="C818" s="13" t="s">
        <v>1561</v>
      </c>
      <c r="D818" s="13" t="s">
        <v>1561</v>
      </c>
      <c r="E818" s="17" t="s">
        <v>249</v>
      </c>
      <c r="F818" s="17" t="s">
        <v>68</v>
      </c>
      <c r="G818" s="17" t="s">
        <v>68</v>
      </c>
      <c r="H818" s="7">
        <v>255185.06886</v>
      </c>
      <c r="I818" s="7">
        <v>370264.02030999999</v>
      </c>
      <c r="J818" s="80">
        <v>164.608371437876</v>
      </c>
      <c r="K818" s="80">
        <v>-20.859510802587799</v>
      </c>
      <c r="L818" s="71">
        <v>200</v>
      </c>
      <c r="M818" s="73">
        <v>1</v>
      </c>
      <c r="N818" s="73">
        <v>1</v>
      </c>
      <c r="O818" s="73">
        <v>1</v>
      </c>
      <c r="P818" s="17" t="s">
        <v>47</v>
      </c>
      <c r="Q818" t="str">
        <f>LEFT(B818,3)</f>
        <v>P84</v>
      </c>
    </row>
    <row r="819" spans="1:17">
      <c r="A819" s="17" t="s">
        <v>3310</v>
      </c>
      <c r="B819" s="17" t="s">
        <v>1560</v>
      </c>
      <c r="C819" s="13" t="s">
        <v>1561</v>
      </c>
      <c r="D819" s="13" t="s">
        <v>1561</v>
      </c>
      <c r="E819" s="17" t="s">
        <v>249</v>
      </c>
      <c r="F819" s="17" t="s">
        <v>68</v>
      </c>
      <c r="G819" s="17" t="s">
        <v>68</v>
      </c>
      <c r="H819" s="7">
        <v>255185.06886</v>
      </c>
      <c r="I819" s="7">
        <v>370264.02030999999</v>
      </c>
      <c r="J819" s="80">
        <v>164.608371437876</v>
      </c>
      <c r="K819" s="80">
        <v>-20.859510802587799</v>
      </c>
      <c r="L819" s="71">
        <v>300</v>
      </c>
      <c r="M819" s="73">
        <v>1</v>
      </c>
      <c r="N819" s="73">
        <v>1</v>
      </c>
      <c r="O819" s="73">
        <v>1</v>
      </c>
      <c r="P819" s="17" t="s">
        <v>47</v>
      </c>
      <c r="Q819" t="str">
        <f>LEFT(B819,3)</f>
        <v>P84</v>
      </c>
    </row>
    <row r="820" spans="1:17">
      <c r="A820" s="17" t="s">
        <v>3311</v>
      </c>
      <c r="B820" s="17" t="s">
        <v>1565</v>
      </c>
      <c r="C820" s="13" t="s">
        <v>1567</v>
      </c>
      <c r="D820" s="13" t="s">
        <v>1567</v>
      </c>
      <c r="E820" s="17" t="s">
        <v>368</v>
      </c>
      <c r="F820" s="17" t="s">
        <v>68</v>
      </c>
      <c r="G820" s="17" t="s">
        <v>68</v>
      </c>
      <c r="H820" s="7">
        <v>211652.33189</v>
      </c>
      <c r="I820" s="7">
        <v>410092.14782000001</v>
      </c>
      <c r="J820" s="80">
        <v>164.194485659794</v>
      </c>
      <c r="K820" s="80">
        <v>-20.495766706407501</v>
      </c>
      <c r="L820" s="71">
        <v>35</v>
      </c>
      <c r="M820" s="73">
        <v>1</v>
      </c>
      <c r="N820" s="73">
        <v>1</v>
      </c>
      <c r="O820" s="73">
        <v>1</v>
      </c>
      <c r="P820" s="17" t="s">
        <v>47</v>
      </c>
      <c r="Q820" t="str">
        <f>LEFT(B820,3)</f>
        <v>PAA</v>
      </c>
    </row>
    <row r="821" spans="1:17">
      <c r="A821" s="17" t="s">
        <v>3312</v>
      </c>
      <c r="B821" s="17" t="s">
        <v>1565</v>
      </c>
      <c r="C821" s="13" t="s">
        <v>1567</v>
      </c>
      <c r="D821" s="13" t="s">
        <v>1567</v>
      </c>
      <c r="E821" s="17" t="s">
        <v>368</v>
      </c>
      <c r="F821" s="17" t="s">
        <v>68</v>
      </c>
      <c r="G821" s="17" t="s">
        <v>68</v>
      </c>
      <c r="H821" s="7">
        <v>211652.33189</v>
      </c>
      <c r="I821" s="7">
        <v>410092.14782000001</v>
      </c>
      <c r="J821" s="80">
        <v>164.194485659794</v>
      </c>
      <c r="K821" s="80">
        <v>-20.495766706407501</v>
      </c>
      <c r="L821" s="71">
        <v>123</v>
      </c>
      <c r="M821" s="73">
        <v>1</v>
      </c>
      <c r="N821" s="73">
        <v>1</v>
      </c>
      <c r="O821" s="73">
        <v>1</v>
      </c>
      <c r="P821" s="17" t="s">
        <v>47</v>
      </c>
      <c r="Q821" t="str">
        <f>LEFT(B821,3)</f>
        <v>PAA</v>
      </c>
    </row>
    <row r="822" spans="1:17">
      <c r="A822" s="17" t="s">
        <v>3313</v>
      </c>
      <c r="B822" s="17" t="s">
        <v>1565</v>
      </c>
      <c r="C822" s="13" t="s">
        <v>1567</v>
      </c>
      <c r="D822" s="13" t="s">
        <v>1567</v>
      </c>
      <c r="E822" s="17" t="s">
        <v>368</v>
      </c>
      <c r="F822" s="17" t="s">
        <v>68</v>
      </c>
      <c r="G822" s="17" t="s">
        <v>68</v>
      </c>
      <c r="H822" s="7">
        <v>211652.33189</v>
      </c>
      <c r="I822" s="7">
        <v>410092.14782000001</v>
      </c>
      <c r="J822" s="80">
        <v>164.194485659794</v>
      </c>
      <c r="K822" s="80">
        <v>-20.495766706407501</v>
      </c>
      <c r="L822" s="71">
        <v>321</v>
      </c>
      <c r="M822" s="73">
        <v>1</v>
      </c>
      <c r="N822" s="73">
        <v>1</v>
      </c>
      <c r="O822" s="73">
        <v>1</v>
      </c>
      <c r="P822" s="17" t="s">
        <v>47</v>
      </c>
      <c r="Q822" t="str">
        <f>LEFT(B822,3)</f>
        <v>PAA</v>
      </c>
    </row>
    <row r="823" spans="1:17">
      <c r="A823" s="17" t="s">
        <v>3314</v>
      </c>
      <c r="B823" s="17" t="s">
        <v>1570</v>
      </c>
      <c r="C823" s="13" t="s">
        <v>1571</v>
      </c>
      <c r="D823" s="13" t="s">
        <v>1571</v>
      </c>
      <c r="E823" s="17" t="s">
        <v>351</v>
      </c>
      <c r="F823" s="17" t="s">
        <v>129</v>
      </c>
      <c r="G823" s="17" t="s">
        <v>129</v>
      </c>
      <c r="H823" s="7">
        <v>591254.97600000002</v>
      </c>
      <c r="I823" s="7">
        <v>303294.10225</v>
      </c>
      <c r="J823" s="80">
        <v>167.845463738034</v>
      </c>
      <c r="K823" s="80">
        <v>-21.460050139848001</v>
      </c>
      <c r="L823" s="71">
        <v>80</v>
      </c>
      <c r="M823" s="73">
        <v>1</v>
      </c>
      <c r="N823" s="73">
        <v>1</v>
      </c>
      <c r="O823" s="73">
        <v>1</v>
      </c>
      <c r="P823" s="17" t="s">
        <v>47</v>
      </c>
      <c r="Q823" t="str">
        <f>LEFT(B823,3)</f>
        <v>PAD</v>
      </c>
    </row>
    <row r="824" spans="1:17">
      <c r="A824" s="17" t="s">
        <v>3315</v>
      </c>
      <c r="B824" s="17" t="s">
        <v>1570</v>
      </c>
      <c r="C824" s="13" t="s">
        <v>1571</v>
      </c>
      <c r="D824" s="13" t="s">
        <v>1571</v>
      </c>
      <c r="E824" s="17" t="s">
        <v>351</v>
      </c>
      <c r="F824" s="17" t="s">
        <v>129</v>
      </c>
      <c r="G824" s="17" t="s">
        <v>129</v>
      </c>
      <c r="H824" s="7">
        <v>591254.97600000002</v>
      </c>
      <c r="I824" s="7">
        <v>303294.10225</v>
      </c>
      <c r="J824" s="80">
        <v>167.845463738034</v>
      </c>
      <c r="K824" s="80">
        <v>-21.460050139848001</v>
      </c>
      <c r="L824" s="71">
        <v>260</v>
      </c>
      <c r="M824" s="73">
        <v>1</v>
      </c>
      <c r="N824" s="73">
        <v>1</v>
      </c>
      <c r="O824" s="73">
        <v>1</v>
      </c>
      <c r="P824" s="17" t="s">
        <v>47</v>
      </c>
      <c r="Q824" t="str">
        <f>LEFT(B824,3)</f>
        <v>PAD</v>
      </c>
    </row>
    <row r="825" spans="1:17">
      <c r="A825" s="17" t="s">
        <v>3316</v>
      </c>
      <c r="B825" s="17" t="s">
        <v>1574</v>
      </c>
      <c r="C825" s="17" t="s">
        <v>1575</v>
      </c>
      <c r="D825" s="17" t="s">
        <v>1575</v>
      </c>
      <c r="E825" s="17" t="s">
        <v>368</v>
      </c>
      <c r="F825" s="17" t="s">
        <v>68</v>
      </c>
      <c r="G825" s="17" t="s">
        <v>68</v>
      </c>
      <c r="H825" s="22">
        <v>220309</v>
      </c>
      <c r="I825" s="22">
        <v>406169</v>
      </c>
      <c r="J825" s="83">
        <v>164.27705</v>
      </c>
      <c r="K825" s="83">
        <v>-20.532080000000001</v>
      </c>
      <c r="L825" s="72">
        <v>50</v>
      </c>
      <c r="M825" s="72">
        <v>1</v>
      </c>
      <c r="N825" s="73">
        <v>2</v>
      </c>
      <c r="O825" s="73">
        <v>0</v>
      </c>
      <c r="P825" s="17" t="s">
        <v>47</v>
      </c>
      <c r="Q825" t="str">
        <f>LEFT(B825,3)</f>
        <v>PAG</v>
      </c>
    </row>
    <row r="826" spans="1:17">
      <c r="A826" s="17" t="s">
        <v>3317</v>
      </c>
      <c r="B826" s="17" t="s">
        <v>1574</v>
      </c>
      <c r="C826" s="17" t="s">
        <v>1575</v>
      </c>
      <c r="D826" s="17" t="s">
        <v>1575</v>
      </c>
      <c r="E826" s="17" t="s">
        <v>368</v>
      </c>
      <c r="F826" s="17" t="s">
        <v>68</v>
      </c>
      <c r="G826" s="17" t="s">
        <v>68</v>
      </c>
      <c r="H826" s="22">
        <v>220309</v>
      </c>
      <c r="I826" s="22">
        <v>406169</v>
      </c>
      <c r="J826" s="83">
        <v>164.27705</v>
      </c>
      <c r="K826" s="83">
        <v>-20.532080000000001</v>
      </c>
      <c r="L826" s="72">
        <v>165</v>
      </c>
      <c r="M826" s="73">
        <v>1</v>
      </c>
      <c r="N826" s="73">
        <v>2</v>
      </c>
      <c r="O826" s="73">
        <v>0</v>
      </c>
      <c r="P826" s="17" t="s">
        <v>47</v>
      </c>
      <c r="Q826" t="str">
        <f>LEFT(B826,3)</f>
        <v>PAG</v>
      </c>
    </row>
    <row r="827" spans="1:17">
      <c r="A827" s="17" t="s">
        <v>3318</v>
      </c>
      <c r="B827" s="17" t="s">
        <v>1578</v>
      </c>
      <c r="C827" s="17" t="s">
        <v>56</v>
      </c>
      <c r="D827" s="17" t="s">
        <v>56</v>
      </c>
      <c r="E827" s="17" t="s">
        <v>56</v>
      </c>
      <c r="F827" s="17" t="s">
        <v>43</v>
      </c>
      <c r="G827" s="17" t="s">
        <v>50</v>
      </c>
      <c r="H827" s="23">
        <v>438050</v>
      </c>
      <c r="I827" s="22">
        <v>230206</v>
      </c>
      <c r="J827" s="80">
        <v>166.36883</v>
      </c>
      <c r="K827" s="83">
        <v>-22.12997</v>
      </c>
      <c r="L827" s="72">
        <v>130</v>
      </c>
      <c r="M827" s="72">
        <v>1</v>
      </c>
      <c r="N827" s="73">
        <v>1</v>
      </c>
      <c r="O827" s="73">
        <v>0</v>
      </c>
      <c r="P827" s="17" t="s">
        <v>37</v>
      </c>
      <c r="Q827" t="str">
        <f>LEFT(B827,3)</f>
        <v>PAI</v>
      </c>
    </row>
    <row r="828" spans="1:17">
      <c r="A828" s="17" t="s">
        <v>3319</v>
      </c>
      <c r="B828" s="17" t="s">
        <v>1578</v>
      </c>
      <c r="C828" s="17" t="s">
        <v>56</v>
      </c>
      <c r="D828" s="17" t="s">
        <v>56</v>
      </c>
      <c r="E828" s="17" t="s">
        <v>56</v>
      </c>
      <c r="F828" s="17" t="s">
        <v>43</v>
      </c>
      <c r="G828" s="17" t="s">
        <v>3320</v>
      </c>
      <c r="H828" s="23">
        <v>438050</v>
      </c>
      <c r="I828" s="22">
        <v>230206</v>
      </c>
      <c r="J828" s="80">
        <v>166.36883</v>
      </c>
      <c r="K828" s="83">
        <v>-22.12997</v>
      </c>
      <c r="L828" s="72">
        <v>230</v>
      </c>
      <c r="M828" s="72">
        <v>1</v>
      </c>
      <c r="N828" s="73">
        <v>1</v>
      </c>
      <c r="O828" s="73">
        <v>0</v>
      </c>
      <c r="P828" s="17" t="s">
        <v>37</v>
      </c>
      <c r="Q828" t="str">
        <f>LEFT(B828,3)</f>
        <v>PAI</v>
      </c>
    </row>
    <row r="829" spans="1:17">
      <c r="A829" s="17" t="s">
        <v>3321</v>
      </c>
      <c r="B829" s="17" t="s">
        <v>1580</v>
      </c>
      <c r="C829" s="17" t="s">
        <v>1581</v>
      </c>
      <c r="D829" s="17" t="s">
        <v>1582</v>
      </c>
      <c r="E829" s="17" t="s">
        <v>368</v>
      </c>
      <c r="F829" s="17" t="s">
        <v>68</v>
      </c>
      <c r="G829" s="17" t="s">
        <v>68</v>
      </c>
      <c r="H829" s="2">
        <v>220093</v>
      </c>
      <c r="I829" s="2">
        <v>401008</v>
      </c>
      <c r="J829" s="79">
        <v>164.27443400000001</v>
      </c>
      <c r="K829" s="79">
        <v>-20.578671</v>
      </c>
      <c r="L829" s="71">
        <v>0</v>
      </c>
      <c r="M829" s="73">
        <v>1</v>
      </c>
      <c r="N829" s="73">
        <v>1</v>
      </c>
      <c r="O829" s="73">
        <v>0</v>
      </c>
      <c r="P829" s="17" t="s">
        <v>47</v>
      </c>
      <c r="Q829" t="str">
        <f>LEFT(B829,3)</f>
        <v>PAM</v>
      </c>
    </row>
    <row r="830" spans="1:17">
      <c r="A830" s="17" t="s">
        <v>3322</v>
      </c>
      <c r="B830" s="17" t="s">
        <v>1580</v>
      </c>
      <c r="C830" s="17" t="s">
        <v>1581</v>
      </c>
      <c r="D830" s="17" t="s">
        <v>1582</v>
      </c>
      <c r="E830" s="17" t="s">
        <v>368</v>
      </c>
      <c r="F830" s="17" t="s">
        <v>68</v>
      </c>
      <c r="G830" s="17" t="s">
        <v>68</v>
      </c>
      <c r="H830" s="2">
        <v>220093</v>
      </c>
      <c r="I830" s="2">
        <v>401008</v>
      </c>
      <c r="J830" s="79">
        <v>164.27443400000001</v>
      </c>
      <c r="K830" s="79">
        <v>-20.578671</v>
      </c>
      <c r="L830" s="71">
        <v>120</v>
      </c>
      <c r="M830" s="73">
        <v>1</v>
      </c>
      <c r="N830" s="73">
        <v>1</v>
      </c>
      <c r="O830" s="73">
        <v>0</v>
      </c>
      <c r="P830" s="17" t="s">
        <v>47</v>
      </c>
      <c r="Q830" t="str">
        <f>LEFT(B830,3)</f>
        <v>PAM</v>
      </c>
    </row>
    <row r="831" spans="1:17">
      <c r="A831" s="17" t="s">
        <v>3323</v>
      </c>
      <c r="B831" s="17" t="s">
        <v>1580</v>
      </c>
      <c r="C831" s="17" t="s">
        <v>1581</v>
      </c>
      <c r="D831" s="17" t="s">
        <v>1582</v>
      </c>
      <c r="E831" s="17" t="s">
        <v>368</v>
      </c>
      <c r="F831" s="17" t="s">
        <v>68</v>
      </c>
      <c r="G831" s="17" t="s">
        <v>68</v>
      </c>
      <c r="H831" s="2">
        <v>220093</v>
      </c>
      <c r="I831" s="2">
        <v>401008</v>
      </c>
      <c r="J831" s="79">
        <v>164.27443400000001</v>
      </c>
      <c r="K831" s="79">
        <v>-20.578671</v>
      </c>
      <c r="L831" s="71">
        <v>240</v>
      </c>
      <c r="M831" s="73">
        <v>1</v>
      </c>
      <c r="N831" s="73">
        <v>1</v>
      </c>
      <c r="O831" s="73">
        <v>0</v>
      </c>
      <c r="P831" s="17" t="s">
        <v>47</v>
      </c>
      <c r="Q831" t="str">
        <f>LEFT(B831,3)</f>
        <v>PAM</v>
      </c>
    </row>
    <row r="832" spans="1:17">
      <c r="A832" s="17" t="s">
        <v>3324</v>
      </c>
      <c r="B832" s="17" t="s">
        <v>1584</v>
      </c>
      <c r="C832" s="17" t="s">
        <v>1585</v>
      </c>
      <c r="D832" s="17" t="s">
        <v>1585</v>
      </c>
      <c r="E832" s="17" t="s">
        <v>368</v>
      </c>
      <c r="F832" s="17" t="s">
        <v>68</v>
      </c>
      <c r="G832" s="17" t="s">
        <v>68</v>
      </c>
      <c r="H832" s="29">
        <v>220534</v>
      </c>
      <c r="I832" s="29">
        <v>401521</v>
      </c>
      <c r="J832" s="80">
        <v>164.27871999999999</v>
      </c>
      <c r="K832" s="80">
        <v>-20.574079999999999</v>
      </c>
      <c r="L832" s="71">
        <v>10</v>
      </c>
      <c r="M832" s="73">
        <v>1</v>
      </c>
      <c r="N832" s="73">
        <v>1</v>
      </c>
      <c r="O832" s="73">
        <v>0</v>
      </c>
      <c r="P832" s="17" t="s">
        <v>47</v>
      </c>
      <c r="Q832" t="str">
        <f>LEFT(B832,3)</f>
        <v>PAN</v>
      </c>
    </row>
    <row r="833" spans="1:17">
      <c r="A833" s="17" t="s">
        <v>3325</v>
      </c>
      <c r="B833" s="17" t="s">
        <v>1584</v>
      </c>
      <c r="C833" s="17" t="s">
        <v>1585</v>
      </c>
      <c r="D833" s="17" t="s">
        <v>1585</v>
      </c>
      <c r="E833" s="17" t="s">
        <v>368</v>
      </c>
      <c r="F833" s="17" t="s">
        <v>68</v>
      </c>
      <c r="G833" s="17" t="s">
        <v>68</v>
      </c>
      <c r="H833" s="29">
        <v>220534</v>
      </c>
      <c r="I833" s="29">
        <v>401521</v>
      </c>
      <c r="J833" s="80">
        <v>164.27871999999999</v>
      </c>
      <c r="K833" s="80">
        <v>-20.574079999999999</v>
      </c>
      <c r="L833" s="71">
        <v>210</v>
      </c>
      <c r="M833" s="73">
        <v>1</v>
      </c>
      <c r="N833" s="73">
        <v>1</v>
      </c>
      <c r="O833" s="73">
        <v>0</v>
      </c>
      <c r="P833" s="17" t="s">
        <v>47</v>
      </c>
      <c r="Q833" t="str">
        <f>LEFT(B833,3)</f>
        <v>PAN</v>
      </c>
    </row>
    <row r="834" spans="1:17">
      <c r="A834" s="17" t="s">
        <v>3326</v>
      </c>
      <c r="B834" s="17" t="s">
        <v>1584</v>
      </c>
      <c r="C834" s="17" t="s">
        <v>1585</v>
      </c>
      <c r="D834" s="17" t="s">
        <v>1585</v>
      </c>
      <c r="E834" s="17" t="s">
        <v>368</v>
      </c>
      <c r="F834" s="17" t="s">
        <v>68</v>
      </c>
      <c r="G834" s="17" t="s">
        <v>68</v>
      </c>
      <c r="H834" s="29">
        <v>220534</v>
      </c>
      <c r="I834" s="29">
        <v>401521</v>
      </c>
      <c r="J834" s="80">
        <v>164.27871999999999</v>
      </c>
      <c r="K834" s="80">
        <v>-20.574079999999999</v>
      </c>
      <c r="L834" s="71">
        <v>327</v>
      </c>
      <c r="M834" s="73">
        <v>1</v>
      </c>
      <c r="N834" s="73">
        <v>1</v>
      </c>
      <c r="O834" s="73">
        <v>0</v>
      </c>
      <c r="P834" s="17" t="s">
        <v>47</v>
      </c>
      <c r="Q834" t="str">
        <f>LEFT(B834,3)</f>
        <v>PAN</v>
      </c>
    </row>
    <row r="835" spans="1:17">
      <c r="A835" s="17" t="s">
        <v>3327</v>
      </c>
      <c r="B835" s="17" t="s">
        <v>1588</v>
      </c>
      <c r="C835" s="17" t="s">
        <v>1589</v>
      </c>
      <c r="D835" s="17" t="s">
        <v>1589</v>
      </c>
      <c r="E835" s="17" t="s">
        <v>978</v>
      </c>
      <c r="F835" s="17" t="s">
        <v>68</v>
      </c>
      <c r="G835" s="17" t="s">
        <v>68</v>
      </c>
      <c r="H835" s="17">
        <v>307605</v>
      </c>
      <c r="I835" s="19">
        <v>379547</v>
      </c>
      <c r="J835" s="80">
        <v>165.11259999999999</v>
      </c>
      <c r="K835" s="80">
        <v>-20.779119999999999</v>
      </c>
      <c r="L835" s="71">
        <v>117</v>
      </c>
      <c r="M835" s="73">
        <v>1</v>
      </c>
      <c r="N835" s="73">
        <v>1</v>
      </c>
      <c r="O835" s="73">
        <v>0</v>
      </c>
      <c r="P835" s="17" t="s">
        <v>47</v>
      </c>
      <c r="Q835" t="str">
        <f>LEFT(B835,3)</f>
        <v>PAO</v>
      </c>
    </row>
    <row r="836" spans="1:17">
      <c r="A836" s="17" t="s">
        <v>3328</v>
      </c>
      <c r="B836" s="17" t="s">
        <v>1588</v>
      </c>
      <c r="C836" s="17" t="s">
        <v>1589</v>
      </c>
      <c r="D836" s="17" t="s">
        <v>1589</v>
      </c>
      <c r="E836" s="17" t="s">
        <v>978</v>
      </c>
      <c r="F836" s="17" t="s">
        <v>68</v>
      </c>
      <c r="G836" s="17" t="s">
        <v>68</v>
      </c>
      <c r="H836" s="17">
        <v>307605</v>
      </c>
      <c r="I836" s="19">
        <v>379547</v>
      </c>
      <c r="J836" s="80">
        <v>165.11259999999999</v>
      </c>
      <c r="K836" s="80">
        <v>-20.779119999999999</v>
      </c>
      <c r="L836" s="71">
        <v>253</v>
      </c>
      <c r="M836" s="73">
        <v>1</v>
      </c>
      <c r="N836" s="73">
        <v>1</v>
      </c>
      <c r="O836" s="73">
        <v>0</v>
      </c>
      <c r="P836" s="17" t="s">
        <v>47</v>
      </c>
      <c r="Q836" t="str">
        <f>LEFT(B836,3)</f>
        <v>PAO</v>
      </c>
    </row>
    <row r="837" spans="1:17">
      <c r="A837" s="17" t="s">
        <v>3329</v>
      </c>
      <c r="B837" s="17" t="s">
        <v>1588</v>
      </c>
      <c r="C837" s="17" t="s">
        <v>1589</v>
      </c>
      <c r="D837" s="17" t="s">
        <v>1589</v>
      </c>
      <c r="E837" s="17" t="s">
        <v>978</v>
      </c>
      <c r="F837" s="17" t="s">
        <v>68</v>
      </c>
      <c r="G837" s="17" t="s">
        <v>68</v>
      </c>
      <c r="H837" s="17">
        <v>307605</v>
      </c>
      <c r="I837" s="19">
        <v>379547</v>
      </c>
      <c r="J837" s="80">
        <v>165.11259999999999</v>
      </c>
      <c r="K837" s="80">
        <v>-20.779119999999999</v>
      </c>
      <c r="L837" s="71">
        <v>345</v>
      </c>
      <c r="M837" s="73">
        <v>1</v>
      </c>
      <c r="N837" s="73">
        <v>1</v>
      </c>
      <c r="O837" s="73">
        <v>0</v>
      </c>
      <c r="P837" s="17" t="s">
        <v>47</v>
      </c>
      <c r="Q837" t="str">
        <f>LEFT(B837,3)</f>
        <v>PAO</v>
      </c>
    </row>
    <row r="838" spans="1:17">
      <c r="A838" s="17" t="s">
        <v>3330</v>
      </c>
      <c r="B838" s="17" t="s">
        <v>1592</v>
      </c>
      <c r="C838" s="13" t="s">
        <v>1593</v>
      </c>
      <c r="D838" s="13" t="s">
        <v>1593</v>
      </c>
      <c r="E838" s="17" t="s">
        <v>29</v>
      </c>
      <c r="F838" s="17" t="s">
        <v>43</v>
      </c>
      <c r="G838" s="17" t="s">
        <v>30</v>
      </c>
      <c r="H838" s="7">
        <v>446760.44179000001</v>
      </c>
      <c r="I838" s="7">
        <v>213348.10983999999</v>
      </c>
      <c r="J838" s="80">
        <v>166.45373697870701</v>
      </c>
      <c r="K838" s="80">
        <v>-22.282005792224201</v>
      </c>
      <c r="L838" s="71">
        <v>140</v>
      </c>
      <c r="M838" s="73">
        <v>2</v>
      </c>
      <c r="N838" s="73">
        <v>3</v>
      </c>
      <c r="O838" s="73">
        <v>1</v>
      </c>
      <c r="P838" s="17" t="s">
        <v>37</v>
      </c>
      <c r="Q838" t="str">
        <f>LEFT(B838,3)</f>
        <v>PAP</v>
      </c>
    </row>
    <row r="839" spans="1:17">
      <c r="A839" s="17" t="s">
        <v>3331</v>
      </c>
      <c r="B839" s="17" t="s">
        <v>1592</v>
      </c>
      <c r="C839" s="13" t="s">
        <v>1593</v>
      </c>
      <c r="D839" s="13" t="s">
        <v>1593</v>
      </c>
      <c r="E839" s="17" t="s">
        <v>29</v>
      </c>
      <c r="F839" s="17" t="s">
        <v>43</v>
      </c>
      <c r="G839" s="17" t="s">
        <v>30</v>
      </c>
      <c r="H839" s="7">
        <v>446760.44179000001</v>
      </c>
      <c r="I839" s="7">
        <v>213348.10983999999</v>
      </c>
      <c r="J839" s="80">
        <v>166.45373697870701</v>
      </c>
      <c r="K839" s="80">
        <v>-22.282005792224201</v>
      </c>
      <c r="L839" s="71">
        <v>240</v>
      </c>
      <c r="M839" s="73">
        <v>2</v>
      </c>
      <c r="N839" s="73">
        <v>3</v>
      </c>
      <c r="O839" s="73">
        <v>1</v>
      </c>
      <c r="P839" s="17" t="s">
        <v>37</v>
      </c>
      <c r="Q839" t="str">
        <f>LEFT(B839,3)</f>
        <v>PAP</v>
      </c>
    </row>
    <row r="840" spans="1:17">
      <c r="A840" s="17" t="s">
        <v>3332</v>
      </c>
      <c r="B840" s="17" t="s">
        <v>1592</v>
      </c>
      <c r="C840" s="13" t="s">
        <v>1593</v>
      </c>
      <c r="D840" s="13" t="s">
        <v>1593</v>
      </c>
      <c r="E840" s="17" t="s">
        <v>29</v>
      </c>
      <c r="F840" s="17" t="s">
        <v>43</v>
      </c>
      <c r="G840" s="17" t="s">
        <v>30</v>
      </c>
      <c r="H840" s="7">
        <v>446760.44179000001</v>
      </c>
      <c r="I840" s="7">
        <v>213348.10983999999</v>
      </c>
      <c r="J840" s="80">
        <v>166.45373697870701</v>
      </c>
      <c r="K840" s="80">
        <v>-22.282005792224201</v>
      </c>
      <c r="L840" s="71">
        <v>320</v>
      </c>
      <c r="M840" s="73">
        <v>2</v>
      </c>
      <c r="N840" s="73">
        <v>3</v>
      </c>
      <c r="O840" s="73">
        <v>1</v>
      </c>
      <c r="P840" s="17" t="s">
        <v>37</v>
      </c>
      <c r="Q840" t="str">
        <f>LEFT(B840,3)</f>
        <v>PAP</v>
      </c>
    </row>
    <row r="841" spans="1:17">
      <c r="A841" s="17" t="s">
        <v>3333</v>
      </c>
      <c r="B841" s="17" t="s">
        <v>1596</v>
      </c>
      <c r="C841" s="13" t="s">
        <v>1597</v>
      </c>
      <c r="D841" s="13" t="s">
        <v>1597</v>
      </c>
      <c r="E841" s="17" t="s">
        <v>49</v>
      </c>
      <c r="F841" s="17" t="s">
        <v>43</v>
      </c>
      <c r="G841" s="17" t="s">
        <v>50</v>
      </c>
      <c r="H841" s="7">
        <v>449317.30258000002</v>
      </c>
      <c r="I841" s="7">
        <v>221158.19456999999</v>
      </c>
      <c r="J841" s="80">
        <v>166.47831686928001</v>
      </c>
      <c r="K841" s="80">
        <v>-22.211406184969999</v>
      </c>
      <c r="L841" s="71">
        <v>145</v>
      </c>
      <c r="M841" s="73">
        <v>2</v>
      </c>
      <c r="N841" s="73">
        <v>3</v>
      </c>
      <c r="O841" s="73">
        <v>1</v>
      </c>
      <c r="P841" s="17" t="s">
        <v>37</v>
      </c>
      <c r="Q841" t="str">
        <f>LEFT(B841,3)</f>
        <v>PAR</v>
      </c>
    </row>
    <row r="842" spans="1:17">
      <c r="A842" s="17" t="s">
        <v>3334</v>
      </c>
      <c r="B842" s="17" t="s">
        <v>1596</v>
      </c>
      <c r="C842" s="13" t="s">
        <v>1597</v>
      </c>
      <c r="D842" s="13" t="s">
        <v>1597</v>
      </c>
      <c r="E842" s="17" t="s">
        <v>49</v>
      </c>
      <c r="F842" s="17" t="s">
        <v>43</v>
      </c>
      <c r="G842" s="17" t="s">
        <v>50</v>
      </c>
      <c r="H842" s="7">
        <v>449317.30258000002</v>
      </c>
      <c r="I842" s="7">
        <v>221158.19456999999</v>
      </c>
      <c r="J842" s="80">
        <v>166.47831686928001</v>
      </c>
      <c r="K842" s="80">
        <v>-22.211406184969999</v>
      </c>
      <c r="L842" s="71">
        <v>235</v>
      </c>
      <c r="M842" s="73">
        <v>2</v>
      </c>
      <c r="N842" s="73">
        <v>3</v>
      </c>
      <c r="O842" s="73">
        <v>1</v>
      </c>
      <c r="P842" s="17" t="s">
        <v>37</v>
      </c>
      <c r="Q842" t="str">
        <f>LEFT(B842,3)</f>
        <v>PAR</v>
      </c>
    </row>
    <row r="843" spans="1:17">
      <c r="A843" s="17" t="s">
        <v>3335</v>
      </c>
      <c r="B843" s="17" t="s">
        <v>1596</v>
      </c>
      <c r="C843" s="13" t="s">
        <v>1597</v>
      </c>
      <c r="D843" s="13" t="s">
        <v>1597</v>
      </c>
      <c r="E843" s="17" t="s">
        <v>49</v>
      </c>
      <c r="F843" s="17" t="s">
        <v>43</v>
      </c>
      <c r="G843" s="17" t="s">
        <v>50</v>
      </c>
      <c r="H843" s="7">
        <v>449317.30258000002</v>
      </c>
      <c r="I843" s="7">
        <v>221158.19456999999</v>
      </c>
      <c r="J843" s="80">
        <v>166.47831686928001</v>
      </c>
      <c r="K843" s="80">
        <v>-22.211406184969999</v>
      </c>
      <c r="L843" s="71">
        <v>320</v>
      </c>
      <c r="M843" s="73">
        <v>2</v>
      </c>
      <c r="N843" s="73">
        <v>3</v>
      </c>
      <c r="O843" s="73">
        <v>1</v>
      </c>
      <c r="P843" s="17" t="s">
        <v>37</v>
      </c>
      <c r="Q843" t="str">
        <f>LEFT(B843,3)</f>
        <v>PAR</v>
      </c>
    </row>
    <row r="844" spans="1:17">
      <c r="A844" s="17" t="s">
        <v>3336</v>
      </c>
      <c r="B844" s="17" t="s">
        <v>1601</v>
      </c>
      <c r="C844" s="13" t="s">
        <v>1602</v>
      </c>
      <c r="D844" s="13" t="s">
        <v>1602</v>
      </c>
      <c r="E844" s="17" t="s">
        <v>351</v>
      </c>
      <c r="F844" s="17" t="s">
        <v>129</v>
      </c>
      <c r="G844" s="17" t="s">
        <v>129</v>
      </c>
      <c r="H844" s="7">
        <v>617285.10918000003</v>
      </c>
      <c r="I844" s="7">
        <v>289590.83876000001</v>
      </c>
      <c r="J844" s="80">
        <v>168.09837963147501</v>
      </c>
      <c r="K844" s="80">
        <v>-21.580845962720701</v>
      </c>
      <c r="L844" s="71">
        <v>75</v>
      </c>
      <c r="M844" s="73">
        <v>1</v>
      </c>
      <c r="N844" s="73">
        <v>1</v>
      </c>
      <c r="O844" s="73">
        <v>1</v>
      </c>
      <c r="P844" s="17" t="s">
        <v>47</v>
      </c>
      <c r="Q844" t="str">
        <f>LEFT(B844,3)</f>
        <v>PAT</v>
      </c>
    </row>
    <row r="845" spans="1:17">
      <c r="A845" s="17" t="s">
        <v>3337</v>
      </c>
      <c r="B845" s="17" t="s">
        <v>1601</v>
      </c>
      <c r="C845" s="13" t="s">
        <v>1602</v>
      </c>
      <c r="D845" s="13" t="s">
        <v>1602</v>
      </c>
      <c r="E845" s="17" t="s">
        <v>351</v>
      </c>
      <c r="F845" s="17" t="s">
        <v>129</v>
      </c>
      <c r="G845" s="17" t="s">
        <v>129</v>
      </c>
      <c r="H845" s="7">
        <v>617285.10918000003</v>
      </c>
      <c r="I845" s="7">
        <v>289590.83876000001</v>
      </c>
      <c r="J845" s="80">
        <v>168.09837963147501</v>
      </c>
      <c r="K845" s="80">
        <v>-21.580845962720701</v>
      </c>
      <c r="L845" s="71">
        <v>150</v>
      </c>
      <c r="M845" s="73">
        <v>1</v>
      </c>
      <c r="N845" s="73">
        <v>1</v>
      </c>
      <c r="O845" s="73">
        <v>1</v>
      </c>
      <c r="P845" s="17" t="s">
        <v>47</v>
      </c>
      <c r="Q845" t="str">
        <f>LEFT(B845,3)</f>
        <v>PAT</v>
      </c>
    </row>
    <row r="846" spans="1:17">
      <c r="A846" s="17" t="s">
        <v>3338</v>
      </c>
      <c r="B846" s="17" t="s">
        <v>1605</v>
      </c>
      <c r="C846" s="13" t="s">
        <v>1606</v>
      </c>
      <c r="D846" s="13" t="s">
        <v>1606</v>
      </c>
      <c r="E846" s="17" t="s">
        <v>402</v>
      </c>
      <c r="F846" s="17" t="s">
        <v>68</v>
      </c>
      <c r="G846" s="17" t="s">
        <v>68</v>
      </c>
      <c r="H846" s="7">
        <v>354306.70684</v>
      </c>
      <c r="I846" s="7">
        <v>336707.47112</v>
      </c>
      <c r="J846" s="80">
        <v>165.559985889384</v>
      </c>
      <c r="K846" s="80">
        <v>-21.1678603381425</v>
      </c>
      <c r="L846" s="71">
        <v>6</v>
      </c>
      <c r="M846" s="73">
        <v>1</v>
      </c>
      <c r="N846" s="73">
        <v>2</v>
      </c>
      <c r="O846" s="73">
        <v>1</v>
      </c>
      <c r="P846" s="17" t="s">
        <v>47</v>
      </c>
      <c r="Q846" t="str">
        <f>LEFT(B846,3)</f>
        <v>PBA</v>
      </c>
    </row>
    <row r="847" spans="1:17">
      <c r="A847" s="17" t="s">
        <v>3339</v>
      </c>
      <c r="B847" s="17" t="s">
        <v>1605</v>
      </c>
      <c r="C847" s="13" t="s">
        <v>1606</v>
      </c>
      <c r="D847" s="13" t="s">
        <v>1606</v>
      </c>
      <c r="E847" s="17" t="s">
        <v>402</v>
      </c>
      <c r="F847" s="17" t="s">
        <v>68</v>
      </c>
      <c r="G847" s="17" t="s">
        <v>68</v>
      </c>
      <c r="H847" s="7">
        <v>354306.70684</v>
      </c>
      <c r="I847" s="7">
        <v>336707.47112</v>
      </c>
      <c r="J847" s="80">
        <v>165.559985889384</v>
      </c>
      <c r="K847" s="80">
        <v>-21.1678603381425</v>
      </c>
      <c r="L847" s="71">
        <v>159</v>
      </c>
      <c r="M847" s="73">
        <v>1</v>
      </c>
      <c r="N847" s="73">
        <v>2</v>
      </c>
      <c r="O847" s="73">
        <v>1</v>
      </c>
      <c r="P847" s="17" t="s">
        <v>47</v>
      </c>
      <c r="Q847" t="str">
        <f>LEFT(B847,3)</f>
        <v>PBA</v>
      </c>
    </row>
    <row r="848" spans="1:17">
      <c r="A848" s="17" t="s">
        <v>3340</v>
      </c>
      <c r="B848" s="17" t="s">
        <v>1605</v>
      </c>
      <c r="C848" s="13" t="s">
        <v>1606</v>
      </c>
      <c r="D848" s="13" t="s">
        <v>1606</v>
      </c>
      <c r="E848" s="17" t="s">
        <v>402</v>
      </c>
      <c r="F848" s="17" t="s">
        <v>68</v>
      </c>
      <c r="G848" s="17" t="s">
        <v>68</v>
      </c>
      <c r="H848" s="7">
        <v>354306.70684</v>
      </c>
      <c r="I848" s="7">
        <v>336707.47112</v>
      </c>
      <c r="J848" s="80">
        <v>165.559985889384</v>
      </c>
      <c r="K848" s="80">
        <v>-21.1678603381425</v>
      </c>
      <c r="L848" s="71">
        <v>269</v>
      </c>
      <c r="M848" s="73">
        <v>1</v>
      </c>
      <c r="N848" s="73">
        <v>2</v>
      </c>
      <c r="O848" s="73">
        <v>1</v>
      </c>
      <c r="P848" s="17" t="s">
        <v>47</v>
      </c>
      <c r="Q848" t="str">
        <f>LEFT(B848,3)</f>
        <v>PBA</v>
      </c>
    </row>
    <row r="849" spans="1:17">
      <c r="A849" s="13" t="s">
        <v>3341</v>
      </c>
      <c r="B849" s="13" t="s">
        <v>1609</v>
      </c>
      <c r="C849" s="13" t="s">
        <v>1610</v>
      </c>
      <c r="D849" s="13" t="s">
        <v>1610</v>
      </c>
      <c r="E849" s="17" t="s">
        <v>614</v>
      </c>
      <c r="F849" s="17" t="s">
        <v>43</v>
      </c>
      <c r="G849" s="17" t="s">
        <v>43</v>
      </c>
      <c r="H849" s="7">
        <v>376282</v>
      </c>
      <c r="I849" s="7">
        <v>282926</v>
      </c>
      <c r="J849" s="80">
        <v>165.770840947491</v>
      </c>
      <c r="K849" s="80">
        <v>-21.654061409319802</v>
      </c>
      <c r="L849" s="71">
        <v>70</v>
      </c>
      <c r="M849" s="73">
        <v>1</v>
      </c>
      <c r="N849" s="73">
        <v>1</v>
      </c>
      <c r="O849" s="73">
        <v>1</v>
      </c>
      <c r="P849" s="17" t="s">
        <v>47</v>
      </c>
      <c r="Q849" t="str">
        <f>LEFT(B849,3)</f>
        <v>PBC</v>
      </c>
    </row>
    <row r="850" spans="1:17">
      <c r="A850" s="13" t="s">
        <v>3342</v>
      </c>
      <c r="B850" s="13" t="s">
        <v>1609</v>
      </c>
      <c r="C850" s="13" t="s">
        <v>1610</v>
      </c>
      <c r="D850" s="13" t="s">
        <v>1610</v>
      </c>
      <c r="E850" s="17" t="s">
        <v>614</v>
      </c>
      <c r="F850" s="17" t="s">
        <v>43</v>
      </c>
      <c r="G850" s="17" t="s">
        <v>43</v>
      </c>
      <c r="H850" s="7">
        <v>376282</v>
      </c>
      <c r="I850" s="7">
        <v>282926</v>
      </c>
      <c r="J850" s="80">
        <v>165.770840947491</v>
      </c>
      <c r="K850" s="80">
        <v>-21.654061409319802</v>
      </c>
      <c r="L850" s="71">
        <v>180</v>
      </c>
      <c r="M850" s="73">
        <v>1</v>
      </c>
      <c r="N850" s="73">
        <v>1</v>
      </c>
      <c r="O850" s="73">
        <v>1</v>
      </c>
      <c r="P850" s="17" t="s">
        <v>47</v>
      </c>
      <c r="Q850" t="str">
        <f>LEFT(B850,3)</f>
        <v>PBC</v>
      </c>
    </row>
    <row r="851" spans="1:17">
      <c r="A851" s="13" t="s">
        <v>3343</v>
      </c>
      <c r="B851" s="13" t="s">
        <v>1609</v>
      </c>
      <c r="C851" s="13" t="s">
        <v>1610</v>
      </c>
      <c r="D851" s="13" t="s">
        <v>1610</v>
      </c>
      <c r="E851" s="17" t="s">
        <v>614</v>
      </c>
      <c r="F851" s="17" t="s">
        <v>43</v>
      </c>
      <c r="G851" s="17" t="s">
        <v>43</v>
      </c>
      <c r="H851" s="7">
        <v>376282</v>
      </c>
      <c r="I851" s="7">
        <v>282926</v>
      </c>
      <c r="J851" s="80">
        <v>165.770840947491</v>
      </c>
      <c r="K851" s="80">
        <v>-21.654061409319802</v>
      </c>
      <c r="L851" s="71">
        <v>260</v>
      </c>
      <c r="M851" s="73">
        <v>1</v>
      </c>
      <c r="N851" s="73">
        <v>1</v>
      </c>
      <c r="O851" s="73">
        <v>1</v>
      </c>
      <c r="P851" s="17" t="s">
        <v>47</v>
      </c>
      <c r="Q851" t="str">
        <f>LEFT(B851,3)</f>
        <v>PBC</v>
      </c>
    </row>
    <row r="852" spans="1:17">
      <c r="A852" s="13" t="s">
        <v>3344</v>
      </c>
      <c r="B852" s="13" t="s">
        <v>1613</v>
      </c>
      <c r="C852" s="13" t="s">
        <v>1614</v>
      </c>
      <c r="D852" s="13" t="s">
        <v>1614</v>
      </c>
      <c r="E852" s="17" t="s">
        <v>67</v>
      </c>
      <c r="F852" s="17" t="s">
        <v>68</v>
      </c>
      <c r="G852" s="17" t="s">
        <v>68</v>
      </c>
      <c r="H852" s="7">
        <v>284813</v>
      </c>
      <c r="I852" s="7">
        <v>343923</v>
      </c>
      <c r="J852" s="79">
        <v>164.89128099999999</v>
      </c>
      <c r="K852" s="79">
        <v>-21.099571999999998</v>
      </c>
      <c r="L852" s="71">
        <v>0</v>
      </c>
      <c r="M852" s="73">
        <v>2</v>
      </c>
      <c r="N852" s="73">
        <v>3</v>
      </c>
      <c r="O852" s="73">
        <v>0</v>
      </c>
      <c r="P852" s="17" t="s">
        <v>47</v>
      </c>
      <c r="Q852" t="str">
        <f>LEFT(B852,3)</f>
        <v>PBE</v>
      </c>
    </row>
    <row r="853" spans="1:17">
      <c r="A853" s="13" t="s">
        <v>3345</v>
      </c>
      <c r="B853" s="13" t="s">
        <v>1613</v>
      </c>
      <c r="C853" s="13" t="s">
        <v>1614</v>
      </c>
      <c r="D853" s="13" t="s">
        <v>1614</v>
      </c>
      <c r="E853" s="17" t="s">
        <v>67</v>
      </c>
      <c r="F853" s="17" t="s">
        <v>68</v>
      </c>
      <c r="G853" s="17" t="s">
        <v>68</v>
      </c>
      <c r="H853" s="7">
        <v>284813</v>
      </c>
      <c r="I853" s="7">
        <v>343923</v>
      </c>
      <c r="J853" s="79">
        <v>164.89128099999999</v>
      </c>
      <c r="K853" s="79">
        <v>-21.099571999999998</v>
      </c>
      <c r="L853" s="71">
        <v>120</v>
      </c>
      <c r="M853" s="73">
        <v>2</v>
      </c>
      <c r="N853" s="73">
        <v>3</v>
      </c>
      <c r="O853" s="73">
        <v>0</v>
      </c>
      <c r="P853" s="17" t="s">
        <v>47</v>
      </c>
      <c r="Q853" t="str">
        <f>LEFT(B853,3)</f>
        <v>PBE</v>
      </c>
    </row>
    <row r="854" spans="1:17">
      <c r="A854" s="13" t="s">
        <v>3346</v>
      </c>
      <c r="B854" s="13" t="s">
        <v>1613</v>
      </c>
      <c r="C854" s="13" t="s">
        <v>1614</v>
      </c>
      <c r="D854" s="13" t="s">
        <v>1614</v>
      </c>
      <c r="E854" s="17" t="s">
        <v>67</v>
      </c>
      <c r="F854" s="17" t="s">
        <v>68</v>
      </c>
      <c r="G854" s="17" t="s">
        <v>68</v>
      </c>
      <c r="H854" s="7">
        <v>284813</v>
      </c>
      <c r="I854" s="7">
        <v>343923</v>
      </c>
      <c r="J854" s="79">
        <v>164.89128099999999</v>
      </c>
      <c r="K854" s="79">
        <v>-21.099571999999998</v>
      </c>
      <c r="L854" s="71">
        <v>240</v>
      </c>
      <c r="M854" s="73">
        <v>2</v>
      </c>
      <c r="N854" s="73">
        <v>3</v>
      </c>
      <c r="O854" s="73">
        <v>0</v>
      </c>
      <c r="P854" s="17" t="s">
        <v>47</v>
      </c>
      <c r="Q854" t="str">
        <f>LEFT(B854,3)</f>
        <v>PBE</v>
      </c>
    </row>
    <row r="855" spans="1:17">
      <c r="A855" s="17" t="s">
        <v>3347</v>
      </c>
      <c r="B855" s="17" t="s">
        <v>1616</v>
      </c>
      <c r="C855" s="13" t="s">
        <v>297</v>
      </c>
      <c r="D855" s="13" t="s">
        <v>297</v>
      </c>
      <c r="E855" s="17" t="s">
        <v>297</v>
      </c>
      <c r="F855" s="17" t="s">
        <v>68</v>
      </c>
      <c r="G855" s="17" t="s">
        <v>68</v>
      </c>
      <c r="H855" s="7">
        <v>252498.02879000001</v>
      </c>
      <c r="I855" s="7">
        <v>421347.10720999999</v>
      </c>
      <c r="J855" s="80">
        <v>164.58698856469999</v>
      </c>
      <c r="K855" s="80">
        <v>-20.397914045869399</v>
      </c>
      <c r="L855" s="71">
        <v>125</v>
      </c>
      <c r="M855" s="73">
        <v>1</v>
      </c>
      <c r="N855" s="73">
        <v>1</v>
      </c>
      <c r="O855" s="73">
        <v>1</v>
      </c>
      <c r="P855" s="17" t="s">
        <v>47</v>
      </c>
      <c r="Q855" t="str">
        <f>LEFT(B855,3)</f>
        <v>PBO</v>
      </c>
    </row>
    <row r="856" spans="1:17">
      <c r="A856" s="17" t="s">
        <v>3348</v>
      </c>
      <c r="B856" s="17" t="s">
        <v>1616</v>
      </c>
      <c r="C856" s="13" t="s">
        <v>297</v>
      </c>
      <c r="D856" s="13" t="s">
        <v>297</v>
      </c>
      <c r="E856" s="17" t="s">
        <v>297</v>
      </c>
      <c r="F856" s="17" t="s">
        <v>68</v>
      </c>
      <c r="G856" s="17" t="s">
        <v>68</v>
      </c>
      <c r="H856" s="7">
        <v>252498.02879000001</v>
      </c>
      <c r="I856" s="7">
        <v>421347.10720999999</v>
      </c>
      <c r="J856" s="80">
        <v>164.58698856469999</v>
      </c>
      <c r="K856" s="80">
        <v>-20.397914045869399</v>
      </c>
      <c r="L856" s="71">
        <v>318</v>
      </c>
      <c r="M856" s="73">
        <v>1</v>
      </c>
      <c r="N856" s="73">
        <v>1</v>
      </c>
      <c r="O856" s="73">
        <v>1</v>
      </c>
      <c r="P856" s="17" t="s">
        <v>47</v>
      </c>
      <c r="Q856" t="str">
        <f>LEFT(B856,3)</f>
        <v>PBO</v>
      </c>
    </row>
    <row r="857" spans="1:17">
      <c r="A857" s="17" t="s">
        <v>3349</v>
      </c>
      <c r="B857" s="17" t="s">
        <v>1619</v>
      </c>
      <c r="C857" s="13" t="s">
        <v>647</v>
      </c>
      <c r="D857" s="13" t="s">
        <v>647</v>
      </c>
      <c r="E857" s="17" t="s">
        <v>49</v>
      </c>
      <c r="F857" s="17" t="s">
        <v>43</v>
      </c>
      <c r="G857" s="17" t="s">
        <v>50</v>
      </c>
      <c r="H857" s="7">
        <v>446624.55657999997</v>
      </c>
      <c r="I857" s="7">
        <v>222458.32391000001</v>
      </c>
      <c r="J857" s="80">
        <v>166.45217131702901</v>
      </c>
      <c r="K857" s="80">
        <v>-22.199738295306499</v>
      </c>
      <c r="L857" s="71">
        <v>118</v>
      </c>
      <c r="M857" s="73">
        <v>2</v>
      </c>
      <c r="N857" s="73">
        <v>1</v>
      </c>
      <c r="O857" s="73">
        <v>1</v>
      </c>
      <c r="P857" s="17" t="s">
        <v>37</v>
      </c>
      <c r="Q857" t="str">
        <f>LEFT(B857,3)</f>
        <v>PBR</v>
      </c>
    </row>
    <row r="858" spans="1:17">
      <c r="A858" s="17" t="s">
        <v>3350</v>
      </c>
      <c r="B858" s="17" t="s">
        <v>1619</v>
      </c>
      <c r="C858" s="13" t="s">
        <v>647</v>
      </c>
      <c r="D858" s="13" t="s">
        <v>647</v>
      </c>
      <c r="E858" s="17" t="s">
        <v>49</v>
      </c>
      <c r="F858" s="17" t="s">
        <v>43</v>
      </c>
      <c r="G858" s="17" t="s">
        <v>50</v>
      </c>
      <c r="H858" s="7">
        <v>446624.55657999997</v>
      </c>
      <c r="I858" s="7">
        <v>222458.32391000001</v>
      </c>
      <c r="J858" s="80">
        <v>166.45217131702901</v>
      </c>
      <c r="K858" s="80">
        <v>-22.199738295306499</v>
      </c>
      <c r="L858" s="71">
        <v>306</v>
      </c>
      <c r="M858" s="73">
        <v>2</v>
      </c>
      <c r="N858" s="73">
        <v>1</v>
      </c>
      <c r="O858" s="73">
        <v>1</v>
      </c>
      <c r="P858" s="17" t="s">
        <v>37</v>
      </c>
      <c r="Q858" t="str">
        <f>LEFT(B858,3)</f>
        <v>PBR</v>
      </c>
    </row>
    <row r="859" spans="1:17">
      <c r="A859" s="17" t="s">
        <v>3351</v>
      </c>
      <c r="B859" s="17" t="s">
        <v>1622</v>
      </c>
      <c r="C859" s="17" t="s">
        <v>178</v>
      </c>
      <c r="D859" s="17" t="s">
        <v>178</v>
      </c>
      <c r="E859" s="17" t="s">
        <v>178</v>
      </c>
      <c r="F859" s="17" t="s">
        <v>68</v>
      </c>
      <c r="G859" s="17" t="s">
        <v>68</v>
      </c>
      <c r="H859" s="7">
        <v>285712</v>
      </c>
      <c r="I859" s="7">
        <v>341280</v>
      </c>
      <c r="J859" s="79">
        <v>164.89975999999999</v>
      </c>
      <c r="K859" s="79">
        <v>-21.1235</v>
      </c>
      <c r="L859" s="71">
        <v>210</v>
      </c>
      <c r="M859" s="73">
        <v>1</v>
      </c>
      <c r="N859" s="73">
        <v>1</v>
      </c>
      <c r="O859" s="73">
        <v>0</v>
      </c>
      <c r="P859" s="17" t="s">
        <v>37</v>
      </c>
      <c r="Q859" t="str">
        <f>LEFT(B859,3)</f>
        <v>PBT</v>
      </c>
    </row>
    <row r="860" spans="1:17">
      <c r="A860" s="17" t="s">
        <v>3352</v>
      </c>
      <c r="B860" s="17" t="s">
        <v>1622</v>
      </c>
      <c r="C860" s="17" t="s">
        <v>178</v>
      </c>
      <c r="D860" s="17" t="s">
        <v>178</v>
      </c>
      <c r="E860" s="17" t="s">
        <v>178</v>
      </c>
      <c r="F860" s="17" t="s">
        <v>68</v>
      </c>
      <c r="G860" s="17" t="s">
        <v>68</v>
      </c>
      <c r="H860" s="7">
        <v>285712</v>
      </c>
      <c r="I860" s="7">
        <v>341280</v>
      </c>
      <c r="J860" s="79">
        <v>164.89975999999999</v>
      </c>
      <c r="K860" s="79">
        <v>-21.1235</v>
      </c>
      <c r="L860" s="71">
        <v>353</v>
      </c>
      <c r="M860" s="73">
        <v>1</v>
      </c>
      <c r="N860" s="73">
        <v>1</v>
      </c>
      <c r="O860" s="73">
        <v>0</v>
      </c>
      <c r="P860" s="17" t="s">
        <v>37</v>
      </c>
      <c r="Q860" t="str">
        <f>LEFT(B860,3)</f>
        <v>PBT</v>
      </c>
    </row>
    <row r="861" spans="1:17">
      <c r="A861" s="17" t="s">
        <v>3353</v>
      </c>
      <c r="B861" s="17" t="s">
        <v>1624</v>
      </c>
      <c r="C861" s="13" t="s">
        <v>1625</v>
      </c>
      <c r="D861" s="13" t="s">
        <v>1625</v>
      </c>
      <c r="E861" s="17" t="s">
        <v>173</v>
      </c>
      <c r="F861" s="17" t="s">
        <v>68</v>
      </c>
      <c r="G861" s="17" t="s">
        <v>68</v>
      </c>
      <c r="H861" s="7">
        <v>156455</v>
      </c>
      <c r="I861" s="7">
        <v>492097</v>
      </c>
      <c r="J861" s="79">
        <v>163.67711399999999</v>
      </c>
      <c r="K861" s="79">
        <v>-19.748640999999999</v>
      </c>
      <c r="L861" s="71">
        <v>147</v>
      </c>
      <c r="M861" s="73">
        <v>1</v>
      </c>
      <c r="N861" s="73">
        <v>0</v>
      </c>
      <c r="O861" s="73">
        <v>1</v>
      </c>
      <c r="P861" s="17" t="s">
        <v>47</v>
      </c>
      <c r="Q861" t="str">
        <f>LEFT(B861,3)</f>
        <v>PBW</v>
      </c>
    </row>
    <row r="862" spans="1:17">
      <c r="A862" s="17" t="s">
        <v>3354</v>
      </c>
      <c r="B862" s="17" t="s">
        <v>1624</v>
      </c>
      <c r="C862" s="13" t="s">
        <v>1625</v>
      </c>
      <c r="D862" s="13" t="s">
        <v>1625</v>
      </c>
      <c r="E862" s="17" t="s">
        <v>173</v>
      </c>
      <c r="F862" s="17" t="s">
        <v>68</v>
      </c>
      <c r="G862" s="17" t="s">
        <v>68</v>
      </c>
      <c r="H862" s="7">
        <v>156455</v>
      </c>
      <c r="I862" s="7">
        <v>492097</v>
      </c>
      <c r="J862" s="79">
        <v>163.67711399999999</v>
      </c>
      <c r="K862" s="79">
        <v>-19.748640999999999</v>
      </c>
      <c r="L862" s="71">
        <v>306</v>
      </c>
      <c r="M862" s="73">
        <v>1</v>
      </c>
      <c r="N862" s="73">
        <v>1</v>
      </c>
      <c r="O862" s="73">
        <v>1</v>
      </c>
      <c r="P862" s="17" t="s">
        <v>47</v>
      </c>
      <c r="Q862" t="str">
        <f>LEFT(B862,3)</f>
        <v>PBW</v>
      </c>
    </row>
    <row r="863" spans="1:17">
      <c r="A863" s="17" t="s">
        <v>3355</v>
      </c>
      <c r="B863" s="17" t="s">
        <v>1628</v>
      </c>
      <c r="C863" s="13" t="s">
        <v>1629</v>
      </c>
      <c r="D863" s="13" t="s">
        <v>1630</v>
      </c>
      <c r="E863" s="17" t="s">
        <v>148</v>
      </c>
      <c r="F863" s="17" t="s">
        <v>68</v>
      </c>
      <c r="G863" s="17" t="s">
        <v>68</v>
      </c>
      <c r="H863" s="7">
        <v>317603</v>
      </c>
      <c r="I863" s="7">
        <v>304746</v>
      </c>
      <c r="J863" s="79">
        <v>165.204973</v>
      </c>
      <c r="K863" s="79">
        <v>-21.455238999999999</v>
      </c>
      <c r="L863" s="71">
        <v>10</v>
      </c>
      <c r="M863" s="73">
        <v>1</v>
      </c>
      <c r="N863" s="73">
        <v>1</v>
      </c>
      <c r="O863" s="73">
        <v>0</v>
      </c>
      <c r="P863" s="17" t="s">
        <v>47</v>
      </c>
      <c r="Q863" t="str">
        <f>LEFT(B863,3)</f>
        <v>PBY</v>
      </c>
    </row>
    <row r="864" spans="1:17">
      <c r="A864" s="17" t="s">
        <v>3356</v>
      </c>
      <c r="B864" s="17" t="s">
        <v>1628</v>
      </c>
      <c r="C864" s="13" t="s">
        <v>1629</v>
      </c>
      <c r="D864" s="13" t="s">
        <v>1630</v>
      </c>
      <c r="E864" s="17" t="s">
        <v>148</v>
      </c>
      <c r="F864" s="17" t="s">
        <v>68</v>
      </c>
      <c r="G864" s="17" t="s">
        <v>68</v>
      </c>
      <c r="H864" s="7">
        <v>317603</v>
      </c>
      <c r="I864" s="7">
        <v>304746</v>
      </c>
      <c r="J864" s="79">
        <v>165.204973</v>
      </c>
      <c r="K864" s="79">
        <v>-21.455238999999999</v>
      </c>
      <c r="L864" s="71">
        <v>100</v>
      </c>
      <c r="M864" s="73">
        <v>1</v>
      </c>
      <c r="N864" s="73">
        <v>1</v>
      </c>
      <c r="O864" s="73">
        <v>0</v>
      </c>
      <c r="P864" s="17" t="s">
        <v>47</v>
      </c>
      <c r="Q864" t="str">
        <f>LEFT(B864,3)</f>
        <v>PBY</v>
      </c>
    </row>
    <row r="865" spans="1:17">
      <c r="A865" s="17" t="s">
        <v>3357</v>
      </c>
      <c r="B865" s="17" t="s">
        <v>1628</v>
      </c>
      <c r="C865" s="13" t="s">
        <v>1629</v>
      </c>
      <c r="D865" s="13" t="s">
        <v>1630</v>
      </c>
      <c r="E865" s="17" t="s">
        <v>148</v>
      </c>
      <c r="F865" s="17" t="s">
        <v>68</v>
      </c>
      <c r="G865" s="17" t="s">
        <v>68</v>
      </c>
      <c r="H865" s="7">
        <v>317603</v>
      </c>
      <c r="I865" s="7">
        <v>304746</v>
      </c>
      <c r="J865" s="79">
        <v>165.204973</v>
      </c>
      <c r="K865" s="79">
        <v>-21.455238999999999</v>
      </c>
      <c r="L865" s="71">
        <v>200</v>
      </c>
      <c r="M865" s="73">
        <v>1</v>
      </c>
      <c r="N865" s="73">
        <v>1</v>
      </c>
      <c r="O865" s="73">
        <v>0</v>
      </c>
      <c r="P865" s="17" t="s">
        <v>47</v>
      </c>
      <c r="Q865" t="str">
        <f>LEFT(B865,3)</f>
        <v>PBY</v>
      </c>
    </row>
    <row r="866" spans="1:17">
      <c r="A866" s="17" t="s">
        <v>3358</v>
      </c>
      <c r="B866" s="17" t="s">
        <v>1632</v>
      </c>
      <c r="C866" s="13" t="s">
        <v>1633</v>
      </c>
      <c r="D866" s="13" t="s">
        <v>1633</v>
      </c>
      <c r="E866" s="17" t="s">
        <v>67</v>
      </c>
      <c r="F866" s="17" t="s">
        <v>68</v>
      </c>
      <c r="G866" s="17" t="s">
        <v>68</v>
      </c>
      <c r="H866" s="7">
        <v>291622</v>
      </c>
      <c r="I866" s="7">
        <v>350941</v>
      </c>
      <c r="J866" s="79">
        <v>164.95726999999999</v>
      </c>
      <c r="K866" s="79">
        <v>-21.03661</v>
      </c>
      <c r="L866" s="71">
        <v>80</v>
      </c>
      <c r="M866" s="73">
        <v>1</v>
      </c>
      <c r="N866" s="73">
        <v>1</v>
      </c>
      <c r="O866" s="73">
        <v>0</v>
      </c>
      <c r="P866" s="17" t="s">
        <v>47</v>
      </c>
      <c r="Q866" t="str">
        <f>LEFT(B866,3)</f>
        <v>PDA</v>
      </c>
    </row>
    <row r="867" spans="1:17">
      <c r="A867" s="17" t="s">
        <v>3359</v>
      </c>
      <c r="B867" s="17" t="s">
        <v>1632</v>
      </c>
      <c r="C867" s="13" t="s">
        <v>1633</v>
      </c>
      <c r="D867" s="13" t="s">
        <v>1633</v>
      </c>
      <c r="E867" s="17" t="s">
        <v>67</v>
      </c>
      <c r="F867" s="17" t="s">
        <v>68</v>
      </c>
      <c r="G867" s="17" t="s">
        <v>68</v>
      </c>
      <c r="H867" s="7">
        <v>291622</v>
      </c>
      <c r="I867" s="7">
        <v>350941</v>
      </c>
      <c r="J867" s="79">
        <v>164.95726999999999</v>
      </c>
      <c r="K867" s="79">
        <v>-21.03661</v>
      </c>
      <c r="L867" s="71">
        <v>180</v>
      </c>
      <c r="M867" s="73">
        <v>1</v>
      </c>
      <c r="N867" s="73">
        <v>1</v>
      </c>
      <c r="O867" s="73">
        <v>0</v>
      </c>
      <c r="P867" s="17" t="s">
        <v>47</v>
      </c>
      <c r="Q867" t="str">
        <f>LEFT(B867,3)</f>
        <v>PDA</v>
      </c>
    </row>
    <row r="868" spans="1:17">
      <c r="A868" s="17" t="s">
        <v>3360</v>
      </c>
      <c r="B868" s="17" t="s">
        <v>1635</v>
      </c>
      <c r="C868" s="13" t="s">
        <v>1341</v>
      </c>
      <c r="D868" s="13" t="s">
        <v>1341</v>
      </c>
      <c r="E868" s="17" t="s">
        <v>93</v>
      </c>
      <c r="F868" s="17" t="s">
        <v>43</v>
      </c>
      <c r="G868" s="17" t="s">
        <v>50</v>
      </c>
      <c r="H868" s="7">
        <v>450100</v>
      </c>
      <c r="I868" s="7">
        <v>220028</v>
      </c>
      <c r="J868" s="79">
        <v>166.48594499999999</v>
      </c>
      <c r="K868" s="79">
        <v>-22.221589000000002</v>
      </c>
      <c r="L868" s="71">
        <v>10</v>
      </c>
      <c r="M868" s="73">
        <v>1</v>
      </c>
      <c r="N868" s="73">
        <v>1</v>
      </c>
      <c r="O868" s="73">
        <v>0</v>
      </c>
      <c r="P868" s="17" t="s">
        <v>37</v>
      </c>
      <c r="Q868" t="str">
        <f>LEFT(B868,3)</f>
        <v>PDF</v>
      </c>
    </row>
    <row r="869" spans="1:17">
      <c r="A869" s="17" t="s">
        <v>3361</v>
      </c>
      <c r="B869" s="17" t="s">
        <v>1635</v>
      </c>
      <c r="C869" s="13" t="s">
        <v>1341</v>
      </c>
      <c r="D869" s="13" t="s">
        <v>1341</v>
      </c>
      <c r="E869" s="17" t="s">
        <v>93</v>
      </c>
      <c r="F869" s="17" t="s">
        <v>43</v>
      </c>
      <c r="G869" s="17" t="s">
        <v>50</v>
      </c>
      <c r="H869" s="7">
        <v>450100</v>
      </c>
      <c r="I869" s="7">
        <v>220028</v>
      </c>
      <c r="J869" s="79">
        <v>166.48594499999999</v>
      </c>
      <c r="K869" s="79">
        <v>-22.221589000000002</v>
      </c>
      <c r="L869" s="71">
        <v>160</v>
      </c>
      <c r="M869" s="73">
        <v>1</v>
      </c>
      <c r="N869" s="73">
        <v>1</v>
      </c>
      <c r="O869" s="73">
        <v>0</v>
      </c>
      <c r="P869" s="17" t="s">
        <v>37</v>
      </c>
      <c r="Q869" t="str">
        <f>LEFT(B869,3)</f>
        <v>PDF</v>
      </c>
    </row>
    <row r="870" spans="1:17">
      <c r="A870" s="17" t="s">
        <v>3362</v>
      </c>
      <c r="B870" s="17" t="s">
        <v>1637</v>
      </c>
      <c r="C870" s="6" t="s">
        <v>1638</v>
      </c>
      <c r="D870" s="6" t="s">
        <v>1638</v>
      </c>
      <c r="E870" s="17" t="s">
        <v>49</v>
      </c>
      <c r="F870" s="17" t="s">
        <v>43</v>
      </c>
      <c r="G870" s="17" t="s">
        <v>50</v>
      </c>
      <c r="H870" s="7">
        <v>452597</v>
      </c>
      <c r="I870" s="7">
        <v>230411</v>
      </c>
      <c r="J870" s="79">
        <v>166.50983600000001</v>
      </c>
      <c r="K870" s="79">
        <v>-22.127748</v>
      </c>
      <c r="L870" s="71">
        <v>0</v>
      </c>
      <c r="M870" s="73">
        <v>1</v>
      </c>
      <c r="N870" s="73">
        <v>1</v>
      </c>
      <c r="O870" s="73">
        <v>0</v>
      </c>
      <c r="P870" s="17" t="s">
        <v>47</v>
      </c>
      <c r="Q870" t="str">
        <f>LEFT(B870,3)</f>
        <v>PDH</v>
      </c>
    </row>
    <row r="871" spans="1:17">
      <c r="A871" s="17" t="s">
        <v>3363</v>
      </c>
      <c r="B871" s="17" t="s">
        <v>1637</v>
      </c>
      <c r="C871" s="6" t="s">
        <v>1638</v>
      </c>
      <c r="D871" s="6" t="s">
        <v>1638</v>
      </c>
      <c r="E871" s="17" t="s">
        <v>49</v>
      </c>
      <c r="F871" s="17" t="s">
        <v>43</v>
      </c>
      <c r="G871" s="17" t="s">
        <v>50</v>
      </c>
      <c r="H871" s="7">
        <v>452597</v>
      </c>
      <c r="I871" s="7">
        <v>230411</v>
      </c>
      <c r="J871" s="79">
        <v>166.50983600000001</v>
      </c>
      <c r="K871" s="79">
        <v>-22.127748</v>
      </c>
      <c r="L871" s="71">
        <v>135</v>
      </c>
      <c r="M871" s="73">
        <v>1</v>
      </c>
      <c r="N871" s="73">
        <v>1</v>
      </c>
      <c r="O871" s="73">
        <v>0</v>
      </c>
      <c r="P871" s="17" t="s">
        <v>47</v>
      </c>
      <c r="Q871" t="str">
        <f>LEFT(B871,3)</f>
        <v>PDH</v>
      </c>
    </row>
    <row r="872" spans="1:17">
      <c r="A872" s="17" t="s">
        <v>3364</v>
      </c>
      <c r="B872" s="17" t="s">
        <v>1637</v>
      </c>
      <c r="C872" s="6" t="s">
        <v>1638</v>
      </c>
      <c r="D872" s="6" t="s">
        <v>1638</v>
      </c>
      <c r="E872" s="17" t="s">
        <v>49</v>
      </c>
      <c r="F872" s="17" t="s">
        <v>43</v>
      </c>
      <c r="G872" s="17" t="s">
        <v>50</v>
      </c>
      <c r="H872" s="7">
        <v>452597</v>
      </c>
      <c r="I872" s="7">
        <v>230411</v>
      </c>
      <c r="J872" s="79">
        <v>166.50983600000001</v>
      </c>
      <c r="K872" s="79">
        <v>-22.127748</v>
      </c>
      <c r="L872" s="71">
        <v>270</v>
      </c>
      <c r="M872" s="73">
        <v>1</v>
      </c>
      <c r="N872" s="73">
        <v>1</v>
      </c>
      <c r="O872" s="73">
        <v>0</v>
      </c>
      <c r="P872" s="17" t="s">
        <v>47</v>
      </c>
      <c r="Q872" t="str">
        <f>LEFT(B872,3)</f>
        <v>PDH</v>
      </c>
    </row>
    <row r="873" spans="1:17">
      <c r="A873" s="17" t="s">
        <v>3365</v>
      </c>
      <c r="B873" s="17" t="s">
        <v>1640</v>
      </c>
      <c r="C873" s="13" t="s">
        <v>1641</v>
      </c>
      <c r="D873" s="13" t="s">
        <v>1642</v>
      </c>
      <c r="E873" s="17" t="s">
        <v>79</v>
      </c>
      <c r="F873" s="17" t="s">
        <v>68</v>
      </c>
      <c r="G873" s="17" t="s">
        <v>68</v>
      </c>
      <c r="H873" s="7">
        <v>337655.20288</v>
      </c>
      <c r="I873" s="7">
        <v>349323.23664999998</v>
      </c>
      <c r="J873" s="80">
        <v>165.400098162912</v>
      </c>
      <c r="K873" s="80">
        <v>-21.053404665409499</v>
      </c>
      <c r="L873" s="71">
        <v>7</v>
      </c>
      <c r="M873" s="73">
        <v>1</v>
      </c>
      <c r="N873" s="73">
        <v>2</v>
      </c>
      <c r="O873" s="73">
        <v>1</v>
      </c>
      <c r="P873" s="17" t="s">
        <v>47</v>
      </c>
      <c r="Q873" t="str">
        <f>LEFT(B873,3)</f>
        <v>PEC</v>
      </c>
    </row>
    <row r="874" spans="1:17">
      <c r="A874" s="17" t="s">
        <v>3366</v>
      </c>
      <c r="B874" s="17" t="s">
        <v>1640</v>
      </c>
      <c r="C874" s="13" t="s">
        <v>1641</v>
      </c>
      <c r="D874" s="13" t="s">
        <v>1642</v>
      </c>
      <c r="E874" s="17" t="s">
        <v>79</v>
      </c>
      <c r="F874" s="17" t="s">
        <v>68</v>
      </c>
      <c r="G874" s="17" t="s">
        <v>68</v>
      </c>
      <c r="H874" s="7">
        <v>337655.20288</v>
      </c>
      <c r="I874" s="7">
        <v>349323.23664999998</v>
      </c>
      <c r="J874" s="80">
        <v>165.400098162912</v>
      </c>
      <c r="K874" s="80">
        <v>-21.053404665409499</v>
      </c>
      <c r="L874" s="71">
        <v>127</v>
      </c>
      <c r="M874" s="73">
        <v>1</v>
      </c>
      <c r="N874" s="73">
        <v>2</v>
      </c>
      <c r="O874" s="73">
        <v>1</v>
      </c>
      <c r="P874" s="17" t="s">
        <v>47</v>
      </c>
      <c r="Q874" t="str">
        <f>LEFT(B874,3)</f>
        <v>PEC</v>
      </c>
    </row>
    <row r="875" spans="1:17">
      <c r="A875" s="17" t="s">
        <v>3367</v>
      </c>
      <c r="B875" s="17" t="s">
        <v>1640</v>
      </c>
      <c r="C875" s="13" t="s">
        <v>1641</v>
      </c>
      <c r="D875" s="13" t="s">
        <v>1642</v>
      </c>
      <c r="E875" s="17" t="s">
        <v>79</v>
      </c>
      <c r="F875" s="17" t="s">
        <v>68</v>
      </c>
      <c r="G875" s="17" t="s">
        <v>68</v>
      </c>
      <c r="H875" s="7">
        <v>337655.20288</v>
      </c>
      <c r="I875" s="7">
        <v>349323.23664999998</v>
      </c>
      <c r="J875" s="80">
        <v>165.400098162912</v>
      </c>
      <c r="K875" s="80">
        <v>-21.053404665409499</v>
      </c>
      <c r="L875" s="71">
        <v>247</v>
      </c>
      <c r="M875" s="73">
        <v>1</v>
      </c>
      <c r="N875" s="73">
        <v>2</v>
      </c>
      <c r="O875" s="73">
        <v>1</v>
      </c>
      <c r="P875" s="17" t="s">
        <v>47</v>
      </c>
      <c r="Q875" t="str">
        <f>LEFT(B875,3)</f>
        <v>PEC</v>
      </c>
    </row>
    <row r="876" spans="1:17">
      <c r="A876" s="17" t="s">
        <v>3368</v>
      </c>
      <c r="B876" s="17" t="s">
        <v>1644</v>
      </c>
      <c r="C876" s="13" t="s">
        <v>502</v>
      </c>
      <c r="D876" s="13" t="s">
        <v>502</v>
      </c>
      <c r="E876" s="17" t="s">
        <v>351</v>
      </c>
      <c r="F876" s="17" t="s">
        <v>129</v>
      </c>
      <c r="G876" s="17" t="s">
        <v>129</v>
      </c>
      <c r="H876" s="7">
        <v>616117.51989</v>
      </c>
      <c r="I876" s="7">
        <v>290845.57303999999</v>
      </c>
      <c r="J876" s="80">
        <v>168.08694915127001</v>
      </c>
      <c r="K876" s="80">
        <v>-21.569652466585399</v>
      </c>
      <c r="L876" s="71">
        <v>30</v>
      </c>
      <c r="M876" s="73">
        <v>1</v>
      </c>
      <c r="N876" s="73">
        <v>1</v>
      </c>
      <c r="O876" s="73">
        <v>1</v>
      </c>
      <c r="P876" s="17" t="s">
        <v>47</v>
      </c>
      <c r="Q876" t="str">
        <f>LEFT(B876,3)</f>
        <v>PEN</v>
      </c>
    </row>
    <row r="877" spans="1:17">
      <c r="A877" s="17" t="s">
        <v>3369</v>
      </c>
      <c r="B877" s="17" t="s">
        <v>1644</v>
      </c>
      <c r="C877" s="13" t="s">
        <v>502</v>
      </c>
      <c r="D877" s="13" t="s">
        <v>502</v>
      </c>
      <c r="E877" s="17" t="s">
        <v>351</v>
      </c>
      <c r="F877" s="17" t="s">
        <v>129</v>
      </c>
      <c r="G877" s="17" t="s">
        <v>129</v>
      </c>
      <c r="H877" s="7">
        <v>616117.51989</v>
      </c>
      <c r="I877" s="7">
        <v>290845.57303999999</v>
      </c>
      <c r="J877" s="80">
        <v>168.08694915127001</v>
      </c>
      <c r="K877" s="80">
        <v>-21.569652466585399</v>
      </c>
      <c r="L877" s="71">
        <v>150</v>
      </c>
      <c r="M877" s="73">
        <v>1</v>
      </c>
      <c r="N877" s="73">
        <v>1</v>
      </c>
      <c r="O877" s="73">
        <v>1</v>
      </c>
      <c r="P877" s="17" t="s">
        <v>47</v>
      </c>
      <c r="Q877" t="str">
        <f>LEFT(B877,3)</f>
        <v>PEN</v>
      </c>
    </row>
    <row r="878" spans="1:17">
      <c r="A878" s="13" t="s">
        <v>3370</v>
      </c>
      <c r="B878" s="13" t="s">
        <v>1646</v>
      </c>
      <c r="C878" s="13" t="s">
        <v>1647</v>
      </c>
      <c r="D878" s="13" t="s">
        <v>1647</v>
      </c>
      <c r="E878" s="17" t="s">
        <v>29</v>
      </c>
      <c r="F878" s="17" t="s">
        <v>43</v>
      </c>
      <c r="G878" s="17" t="s">
        <v>30</v>
      </c>
      <c r="H878" s="7">
        <v>449916</v>
      </c>
      <c r="I878" s="7">
        <v>219060</v>
      </c>
      <c r="J878" s="79">
        <v>166.48418945165801</v>
      </c>
      <c r="K878" s="79">
        <v>-22.2303363735723</v>
      </c>
      <c r="L878" s="71">
        <v>140</v>
      </c>
      <c r="M878" s="73">
        <v>3</v>
      </c>
      <c r="N878" s="73">
        <v>3</v>
      </c>
      <c r="O878" s="73">
        <v>1</v>
      </c>
      <c r="P878" s="17" t="s">
        <v>37</v>
      </c>
      <c r="Q878" t="str">
        <f>LEFT(B878,3)</f>
        <v>PEP</v>
      </c>
    </row>
    <row r="879" spans="1:17">
      <c r="A879" s="13" t="s">
        <v>3371</v>
      </c>
      <c r="B879" s="13" t="s">
        <v>1646</v>
      </c>
      <c r="C879" s="13" t="s">
        <v>1647</v>
      </c>
      <c r="D879" s="13" t="s">
        <v>1647</v>
      </c>
      <c r="E879" s="17" t="s">
        <v>29</v>
      </c>
      <c r="F879" s="17" t="s">
        <v>43</v>
      </c>
      <c r="G879" s="17" t="s">
        <v>30</v>
      </c>
      <c r="H879" s="7">
        <v>449916</v>
      </c>
      <c r="I879" s="7">
        <v>219060</v>
      </c>
      <c r="J879" s="79">
        <v>166.48418945165801</v>
      </c>
      <c r="K879" s="79">
        <v>-22.2303363735723</v>
      </c>
      <c r="L879" s="71">
        <v>230</v>
      </c>
      <c r="M879" s="73">
        <v>3</v>
      </c>
      <c r="N879" s="73">
        <v>3</v>
      </c>
      <c r="O879" s="73">
        <v>1</v>
      </c>
      <c r="P879" s="17" t="s">
        <v>37</v>
      </c>
      <c r="Q879" t="str">
        <f>LEFT(B879,3)</f>
        <v>PEP</v>
      </c>
    </row>
    <row r="880" spans="1:17">
      <c r="A880" s="13" t="s">
        <v>3372</v>
      </c>
      <c r="B880" s="13" t="s">
        <v>1646</v>
      </c>
      <c r="C880" s="13" t="s">
        <v>1647</v>
      </c>
      <c r="D880" s="13" t="s">
        <v>1647</v>
      </c>
      <c r="E880" s="17" t="s">
        <v>29</v>
      </c>
      <c r="F880" s="17" t="s">
        <v>43</v>
      </c>
      <c r="G880" s="17" t="s">
        <v>30</v>
      </c>
      <c r="H880" s="7">
        <v>449916</v>
      </c>
      <c r="I880" s="7">
        <v>219060</v>
      </c>
      <c r="J880" s="79">
        <v>166.48418945165801</v>
      </c>
      <c r="K880" s="79">
        <v>-22.2303363735723</v>
      </c>
      <c r="L880" s="71">
        <v>310</v>
      </c>
      <c r="M880" s="73">
        <v>3</v>
      </c>
      <c r="N880" s="73">
        <v>3</v>
      </c>
      <c r="O880" s="73">
        <v>1</v>
      </c>
      <c r="P880" s="17" t="s">
        <v>37</v>
      </c>
      <c r="Q880" t="str">
        <f>LEFT(B880,3)</f>
        <v>PEP</v>
      </c>
    </row>
    <row r="881" spans="1:17">
      <c r="A881" s="17" t="s">
        <v>3373</v>
      </c>
      <c r="B881" s="17" t="s">
        <v>1650</v>
      </c>
      <c r="C881" s="13" t="s">
        <v>1651</v>
      </c>
      <c r="D881" s="13" t="s">
        <v>1651</v>
      </c>
      <c r="E881" s="17" t="s">
        <v>562</v>
      </c>
      <c r="F881" s="17" t="s">
        <v>43</v>
      </c>
      <c r="G881" s="17" t="s">
        <v>43</v>
      </c>
      <c r="H881" s="7">
        <v>420710</v>
      </c>
      <c r="I881" s="7">
        <v>284648</v>
      </c>
      <c r="J881" s="80">
        <v>166.20007000000001</v>
      </c>
      <c r="K881" s="80">
        <v>-21.638545000000001</v>
      </c>
      <c r="L881" s="71">
        <v>44</v>
      </c>
      <c r="M881" s="73">
        <v>1</v>
      </c>
      <c r="N881" s="73">
        <v>2</v>
      </c>
      <c r="O881" s="73">
        <v>1</v>
      </c>
      <c r="P881" s="17" t="s">
        <v>47</v>
      </c>
      <c r="Q881" t="str">
        <f>LEFT(B881,3)</f>
        <v>PET</v>
      </c>
    </row>
    <row r="882" spans="1:17">
      <c r="A882" s="17" t="s">
        <v>3374</v>
      </c>
      <c r="B882" s="17" t="s">
        <v>1650</v>
      </c>
      <c r="C882" s="13" t="s">
        <v>1651</v>
      </c>
      <c r="D882" s="13" t="s">
        <v>1651</v>
      </c>
      <c r="E882" s="17" t="s">
        <v>562</v>
      </c>
      <c r="F882" s="17" t="s">
        <v>43</v>
      </c>
      <c r="G882" s="17" t="s">
        <v>43</v>
      </c>
      <c r="H882" s="7">
        <v>420710</v>
      </c>
      <c r="I882" s="7">
        <v>284648</v>
      </c>
      <c r="J882" s="80">
        <v>166.20007000000001</v>
      </c>
      <c r="K882" s="80">
        <v>-21.638545000000001</v>
      </c>
      <c r="L882" s="71">
        <v>231</v>
      </c>
      <c r="M882" s="73">
        <v>1</v>
      </c>
      <c r="N882" s="73">
        <v>2</v>
      </c>
      <c r="O882" s="73">
        <v>1</v>
      </c>
      <c r="P882" s="17" t="s">
        <v>47</v>
      </c>
      <c r="Q882" t="str">
        <f>LEFT(B882,3)</f>
        <v>PET</v>
      </c>
    </row>
    <row r="883" spans="1:17">
      <c r="A883" s="17" t="s">
        <v>3375</v>
      </c>
      <c r="B883" s="17" t="s">
        <v>1650</v>
      </c>
      <c r="C883" s="13" t="s">
        <v>1651</v>
      </c>
      <c r="D883" s="13" t="s">
        <v>1651</v>
      </c>
      <c r="E883" s="17" t="s">
        <v>562</v>
      </c>
      <c r="F883" s="17" t="s">
        <v>43</v>
      </c>
      <c r="G883" s="17" t="s">
        <v>43</v>
      </c>
      <c r="H883" s="7">
        <v>420710</v>
      </c>
      <c r="I883" s="7">
        <v>284648</v>
      </c>
      <c r="J883" s="80">
        <v>166.20007000000001</v>
      </c>
      <c r="K883" s="80">
        <v>-21.638545000000001</v>
      </c>
      <c r="L883" s="71">
        <v>324</v>
      </c>
      <c r="M883" s="73">
        <v>1</v>
      </c>
      <c r="N883" s="73">
        <v>2</v>
      </c>
      <c r="O883" s="73">
        <v>0</v>
      </c>
      <c r="P883" s="17" t="s">
        <v>47</v>
      </c>
      <c r="Q883" t="str">
        <f>LEFT(B883,3)</f>
        <v>PET</v>
      </c>
    </row>
    <row r="884" spans="1:17">
      <c r="A884" s="17" t="s">
        <v>3376</v>
      </c>
      <c r="B884" s="17" t="s">
        <v>1654</v>
      </c>
      <c r="C884" s="13" t="s">
        <v>1655</v>
      </c>
      <c r="D884" s="13" t="s">
        <v>1656</v>
      </c>
      <c r="E884" s="17" t="s">
        <v>614</v>
      </c>
      <c r="F884" s="17" t="s">
        <v>43</v>
      </c>
      <c r="G884" s="17" t="s">
        <v>43</v>
      </c>
      <c r="H884" s="7">
        <v>376086</v>
      </c>
      <c r="I884" s="7">
        <v>286670</v>
      </c>
      <c r="J884" s="84">
        <v>165.76900000000001</v>
      </c>
      <c r="K884" s="79">
        <v>-21.620239999999999</v>
      </c>
      <c r="L884" s="71">
        <v>180</v>
      </c>
      <c r="M884" s="73">
        <v>1</v>
      </c>
      <c r="N884" s="73">
        <v>1</v>
      </c>
      <c r="O884" s="73">
        <v>0</v>
      </c>
      <c r="P884" s="17" t="s">
        <v>47</v>
      </c>
      <c r="Q884" t="str">
        <f>LEFT(B884,3)</f>
        <v>PGF</v>
      </c>
    </row>
    <row r="885" spans="1:17">
      <c r="A885" s="17" t="s">
        <v>3377</v>
      </c>
      <c r="B885" s="17" t="s">
        <v>1654</v>
      </c>
      <c r="C885" s="13" t="s">
        <v>1655</v>
      </c>
      <c r="D885" s="13" t="s">
        <v>1656</v>
      </c>
      <c r="E885" s="17" t="s">
        <v>614</v>
      </c>
      <c r="F885" s="17" t="s">
        <v>43</v>
      </c>
      <c r="G885" s="17" t="s">
        <v>43</v>
      </c>
      <c r="H885" s="7">
        <v>376086</v>
      </c>
      <c r="I885" s="7">
        <v>286670</v>
      </c>
      <c r="J885" s="84">
        <v>165.76900000000001</v>
      </c>
      <c r="K885" s="79">
        <v>-21.620239999999999</v>
      </c>
      <c r="L885" s="71">
        <v>330</v>
      </c>
      <c r="M885" s="73">
        <v>1</v>
      </c>
      <c r="N885" s="73">
        <v>1</v>
      </c>
      <c r="O885" s="73">
        <v>0</v>
      </c>
      <c r="P885" s="17" t="s">
        <v>47</v>
      </c>
      <c r="Q885" t="str">
        <f>LEFT(B885,3)</f>
        <v>PGF</v>
      </c>
    </row>
    <row r="886" spans="1:17">
      <c r="A886" s="17" t="s">
        <v>3378</v>
      </c>
      <c r="B886" s="17" t="s">
        <v>1658</v>
      </c>
      <c r="C886" s="13" t="s">
        <v>1659</v>
      </c>
      <c r="D886" s="13" t="s">
        <v>1661</v>
      </c>
      <c r="E886" s="17" t="s">
        <v>123</v>
      </c>
      <c r="F886" s="17" t="s">
        <v>68</v>
      </c>
      <c r="G886" s="17" t="s">
        <v>68</v>
      </c>
      <c r="H886" s="7">
        <v>193776.92501000001</v>
      </c>
      <c r="I886" s="7">
        <v>455371.00597</v>
      </c>
      <c r="J886" s="80">
        <v>164.02862567355001</v>
      </c>
      <c r="K886" s="80">
        <v>-20.0848995765217</v>
      </c>
      <c r="L886" s="71">
        <v>60</v>
      </c>
      <c r="M886" s="73">
        <v>1</v>
      </c>
      <c r="N886" s="73">
        <v>1</v>
      </c>
      <c r="O886" s="73">
        <v>1</v>
      </c>
      <c r="P886" s="17" t="s">
        <v>47</v>
      </c>
      <c r="Q886" t="str">
        <f>LEFT(B886,3)</f>
        <v>PGM</v>
      </c>
    </row>
    <row r="887" spans="1:17">
      <c r="A887" s="17" t="s">
        <v>3379</v>
      </c>
      <c r="B887" s="17" t="s">
        <v>1658</v>
      </c>
      <c r="C887" s="13" t="s">
        <v>1659</v>
      </c>
      <c r="D887" s="13" t="s">
        <v>1661</v>
      </c>
      <c r="E887" s="17" t="s">
        <v>123</v>
      </c>
      <c r="F887" s="17" t="s">
        <v>68</v>
      </c>
      <c r="G887" s="17" t="s">
        <v>68</v>
      </c>
      <c r="H887" s="7">
        <v>193776.92501000001</v>
      </c>
      <c r="I887" s="7">
        <v>455371.00597</v>
      </c>
      <c r="J887" s="80">
        <v>164.02862567355001</v>
      </c>
      <c r="K887" s="80">
        <v>-20.0848995765217</v>
      </c>
      <c r="L887" s="71">
        <v>180</v>
      </c>
      <c r="M887" s="73">
        <v>1</v>
      </c>
      <c r="N887" s="73">
        <v>1</v>
      </c>
      <c r="O887" s="73">
        <v>1</v>
      </c>
      <c r="P887" s="17" t="s">
        <v>47</v>
      </c>
      <c r="Q887" t="str">
        <f>LEFT(B887,3)</f>
        <v>PGM</v>
      </c>
    </row>
    <row r="888" spans="1:17">
      <c r="A888" s="17" t="s">
        <v>3380</v>
      </c>
      <c r="B888" s="17" t="s">
        <v>1658</v>
      </c>
      <c r="C888" s="13" t="s">
        <v>1659</v>
      </c>
      <c r="D888" s="13" t="s">
        <v>1661</v>
      </c>
      <c r="E888" s="17" t="s">
        <v>123</v>
      </c>
      <c r="F888" s="17" t="s">
        <v>68</v>
      </c>
      <c r="G888" s="17" t="s">
        <v>68</v>
      </c>
      <c r="H888" s="7">
        <v>193776.92501000001</v>
      </c>
      <c r="I888" s="7">
        <v>455371.00597</v>
      </c>
      <c r="J888" s="80">
        <v>164.02862567355001</v>
      </c>
      <c r="K888" s="80">
        <v>-20.0848995765217</v>
      </c>
      <c r="L888" s="71">
        <v>300</v>
      </c>
      <c r="M888" s="73">
        <v>1</v>
      </c>
      <c r="N888" s="73">
        <v>1</v>
      </c>
      <c r="O888" s="73">
        <v>1</v>
      </c>
      <c r="P888" s="17" t="s">
        <v>47</v>
      </c>
      <c r="Q888" t="str">
        <f>LEFT(B888,3)</f>
        <v>PGM</v>
      </c>
    </row>
    <row r="889" spans="1:17">
      <c r="A889" s="17" t="s">
        <v>3381</v>
      </c>
      <c r="B889" s="17" t="s">
        <v>1663</v>
      </c>
      <c r="C889" s="13" t="s">
        <v>1664</v>
      </c>
      <c r="D889" s="13" t="s">
        <v>1665</v>
      </c>
      <c r="E889" s="17" t="s">
        <v>128</v>
      </c>
      <c r="F889" s="17" t="s">
        <v>129</v>
      </c>
      <c r="G889" s="17" t="s">
        <v>129</v>
      </c>
      <c r="H889" s="7">
        <v>458376</v>
      </c>
      <c r="I889" s="7">
        <v>390801</v>
      </c>
      <c r="J889" s="80">
        <v>166.560281</v>
      </c>
      <c r="K889" s="80">
        <v>-20.678888000000001</v>
      </c>
      <c r="L889" s="71">
        <v>25</v>
      </c>
      <c r="M889" s="73">
        <v>1</v>
      </c>
      <c r="N889" s="73">
        <v>1</v>
      </c>
      <c r="O889" s="73">
        <v>0</v>
      </c>
      <c r="P889" s="17" t="s">
        <v>47</v>
      </c>
      <c r="Q889" t="str">
        <f>LEFT(B889,3)</f>
        <v>PGR</v>
      </c>
    </row>
    <row r="890" spans="1:17">
      <c r="A890" s="17" t="s">
        <v>3382</v>
      </c>
      <c r="B890" s="17" t="s">
        <v>1663</v>
      </c>
      <c r="C890" s="13" t="s">
        <v>1664</v>
      </c>
      <c r="D890" s="13" t="s">
        <v>1665</v>
      </c>
      <c r="E890" s="17" t="s">
        <v>128</v>
      </c>
      <c r="F890" s="17" t="s">
        <v>129</v>
      </c>
      <c r="G890" s="17" t="s">
        <v>129</v>
      </c>
      <c r="H890" s="7">
        <v>458376</v>
      </c>
      <c r="I890" s="7">
        <v>390801</v>
      </c>
      <c r="J890" s="80">
        <v>166.560281</v>
      </c>
      <c r="K890" s="80">
        <v>-20.678888000000001</v>
      </c>
      <c r="L890" s="71">
        <v>210</v>
      </c>
      <c r="M890" s="73">
        <v>1</v>
      </c>
      <c r="N890" s="73">
        <v>1</v>
      </c>
      <c r="O890" s="73">
        <v>0</v>
      </c>
      <c r="P890" s="17" t="s">
        <v>47</v>
      </c>
      <c r="Q890" t="str">
        <f>LEFT(B890,3)</f>
        <v>PGR</v>
      </c>
    </row>
    <row r="891" spans="1:17">
      <c r="A891" s="17" t="s">
        <v>3383</v>
      </c>
      <c r="B891" s="17" t="s">
        <v>1663</v>
      </c>
      <c r="C891" s="13" t="s">
        <v>1664</v>
      </c>
      <c r="D891" s="13" t="s">
        <v>1665</v>
      </c>
      <c r="E891" s="17" t="s">
        <v>128</v>
      </c>
      <c r="F891" s="17" t="s">
        <v>129</v>
      </c>
      <c r="G891" s="17" t="s">
        <v>129</v>
      </c>
      <c r="H891" s="7">
        <v>458376</v>
      </c>
      <c r="I891" s="7">
        <v>390801</v>
      </c>
      <c r="J891" s="80">
        <v>166.560281</v>
      </c>
      <c r="K891" s="80">
        <v>-20.678888000000001</v>
      </c>
      <c r="L891" s="71">
        <v>300</v>
      </c>
      <c r="M891" s="73">
        <v>1</v>
      </c>
      <c r="N891" s="73">
        <v>1</v>
      </c>
      <c r="O891" s="73">
        <v>0</v>
      </c>
      <c r="P891" s="17" t="s">
        <v>47</v>
      </c>
      <c r="Q891" t="str">
        <f>LEFT(B891,3)</f>
        <v>PGR</v>
      </c>
    </row>
    <row r="892" spans="1:17">
      <c r="A892" s="17" t="s">
        <v>3384</v>
      </c>
      <c r="B892" s="17" t="s">
        <v>1667</v>
      </c>
      <c r="C892" s="13" t="s">
        <v>1668</v>
      </c>
      <c r="D892" s="13" t="s">
        <v>1669</v>
      </c>
      <c r="E892" s="17" t="s">
        <v>29</v>
      </c>
      <c r="F892" s="17" t="s">
        <v>43</v>
      </c>
      <c r="G892" s="17" t="s">
        <v>30</v>
      </c>
      <c r="H892" s="7">
        <v>448059</v>
      </c>
      <c r="I892" s="7">
        <v>191658</v>
      </c>
      <c r="J892" s="79">
        <v>166.46697</v>
      </c>
      <c r="K892" s="79">
        <v>-22.47784</v>
      </c>
      <c r="L892" s="71">
        <v>80</v>
      </c>
      <c r="M892" s="73">
        <v>1</v>
      </c>
      <c r="N892" s="73">
        <v>1</v>
      </c>
      <c r="O892" s="73">
        <v>0</v>
      </c>
      <c r="P892" s="17" t="s">
        <v>47</v>
      </c>
      <c r="Q892" t="str">
        <f>LEFT(B892,3)</f>
        <v>PHA</v>
      </c>
    </row>
    <row r="893" spans="1:17">
      <c r="A893" s="17" t="s">
        <v>3385</v>
      </c>
      <c r="B893" s="17" t="s">
        <v>1667</v>
      </c>
      <c r="C893" s="13" t="s">
        <v>1668</v>
      </c>
      <c r="D893" s="13" t="s">
        <v>1669</v>
      </c>
      <c r="E893" s="17" t="s">
        <v>29</v>
      </c>
      <c r="F893" s="17" t="s">
        <v>43</v>
      </c>
      <c r="G893" s="17" t="s">
        <v>30</v>
      </c>
      <c r="H893" s="7">
        <v>448059</v>
      </c>
      <c r="I893" s="7">
        <v>191658</v>
      </c>
      <c r="J893" s="79">
        <v>166.46697</v>
      </c>
      <c r="K893" s="79">
        <v>-22.47784</v>
      </c>
      <c r="L893" s="71">
        <v>230</v>
      </c>
      <c r="M893" s="73">
        <v>1</v>
      </c>
      <c r="N893" s="73">
        <v>1</v>
      </c>
      <c r="O893" s="73">
        <v>0</v>
      </c>
      <c r="P893" s="17" t="s">
        <v>47</v>
      </c>
      <c r="Q893" t="str">
        <f>LEFT(B893,3)</f>
        <v>PHA</v>
      </c>
    </row>
    <row r="894" spans="1:17">
      <c r="A894" s="17" t="s">
        <v>3386</v>
      </c>
      <c r="B894" s="17" t="s">
        <v>1667</v>
      </c>
      <c r="C894" s="13" t="s">
        <v>1668</v>
      </c>
      <c r="D894" s="13" t="s">
        <v>1669</v>
      </c>
      <c r="E894" s="17" t="s">
        <v>29</v>
      </c>
      <c r="F894" s="17" t="s">
        <v>43</v>
      </c>
      <c r="G894" s="17" t="s">
        <v>30</v>
      </c>
      <c r="H894" s="7">
        <v>448059</v>
      </c>
      <c r="I894" s="7">
        <v>191658</v>
      </c>
      <c r="J894" s="79">
        <v>166.46697</v>
      </c>
      <c r="K894" s="79">
        <v>-22.47784</v>
      </c>
      <c r="L894" s="71">
        <v>310</v>
      </c>
      <c r="M894" s="73">
        <v>1</v>
      </c>
      <c r="N894" s="73">
        <v>1</v>
      </c>
      <c r="O894" s="73">
        <v>0</v>
      </c>
      <c r="P894" s="17" t="s">
        <v>47</v>
      </c>
      <c r="Q894" t="str">
        <f>LEFT(B894,3)</f>
        <v>PHA</v>
      </c>
    </row>
    <row r="895" spans="1:17">
      <c r="A895" s="17" t="s">
        <v>3387</v>
      </c>
      <c r="B895" s="17" t="s">
        <v>1671</v>
      </c>
      <c r="C895" s="13" t="s">
        <v>1672</v>
      </c>
      <c r="D895" s="13" t="s">
        <v>1673</v>
      </c>
      <c r="E895" s="17" t="s">
        <v>29</v>
      </c>
      <c r="F895" s="17" t="s">
        <v>43</v>
      </c>
      <c r="G895" s="17" t="s">
        <v>30</v>
      </c>
      <c r="H895" s="7">
        <v>442171</v>
      </c>
      <c r="I895" s="7">
        <v>214888</v>
      </c>
      <c r="J895" s="79">
        <v>166.40916999999999</v>
      </c>
      <c r="K895" s="79">
        <v>-22.26821</v>
      </c>
      <c r="L895" s="71">
        <v>50</v>
      </c>
      <c r="M895" s="73">
        <v>3</v>
      </c>
      <c r="N895" s="73">
        <v>2</v>
      </c>
      <c r="O895" s="73">
        <v>0</v>
      </c>
      <c r="P895" s="17" t="s">
        <v>37</v>
      </c>
      <c r="Q895" t="str">
        <f>LEFT(B895,3)</f>
        <v>PHP</v>
      </c>
    </row>
    <row r="896" spans="1:17">
      <c r="A896" s="17" t="s">
        <v>3388</v>
      </c>
      <c r="B896" s="17" t="s">
        <v>1671</v>
      </c>
      <c r="C896" s="13" t="s">
        <v>1672</v>
      </c>
      <c r="D896" s="13" t="s">
        <v>1673</v>
      </c>
      <c r="E896" s="17" t="s">
        <v>29</v>
      </c>
      <c r="F896" s="17" t="s">
        <v>43</v>
      </c>
      <c r="G896" s="17" t="s">
        <v>30</v>
      </c>
      <c r="H896" s="7">
        <v>442171</v>
      </c>
      <c r="I896" s="7">
        <v>214888</v>
      </c>
      <c r="J896" s="79">
        <v>166.40916999999999</v>
      </c>
      <c r="K896" s="79">
        <v>-22.26821</v>
      </c>
      <c r="L896" s="71">
        <v>210</v>
      </c>
      <c r="M896" s="73">
        <v>3</v>
      </c>
      <c r="N896" s="73">
        <v>2</v>
      </c>
      <c r="O896" s="73">
        <v>0</v>
      </c>
      <c r="P896" s="17" t="s">
        <v>37</v>
      </c>
      <c r="Q896" t="str">
        <f>LEFT(B896,3)</f>
        <v>PHP</v>
      </c>
    </row>
    <row r="897" spans="1:17">
      <c r="A897" s="17" t="s">
        <v>3389</v>
      </c>
      <c r="B897" s="17" t="s">
        <v>1674</v>
      </c>
      <c r="C897" s="13" t="s">
        <v>1675</v>
      </c>
      <c r="D897" s="13" t="s">
        <v>1675</v>
      </c>
      <c r="E897" s="17" t="s">
        <v>56</v>
      </c>
      <c r="F897" s="17" t="s">
        <v>43</v>
      </c>
      <c r="G897" s="17" t="s">
        <v>50</v>
      </c>
      <c r="H897" s="7">
        <v>436775.85145000002</v>
      </c>
      <c r="I897" s="7">
        <v>229319.56228000001</v>
      </c>
      <c r="J897" s="80">
        <v>166.35650389072899</v>
      </c>
      <c r="K897" s="80">
        <v>-22.137997115615502</v>
      </c>
      <c r="L897" s="71">
        <v>26</v>
      </c>
      <c r="M897" s="73">
        <v>2</v>
      </c>
      <c r="N897" s="73">
        <v>3</v>
      </c>
      <c r="O897" s="73">
        <v>1</v>
      </c>
      <c r="P897" s="17" t="s">
        <v>37</v>
      </c>
      <c r="Q897" t="str">
        <f>LEFT(B897,3)</f>
        <v>PIM</v>
      </c>
    </row>
    <row r="898" spans="1:17">
      <c r="A898" s="17" t="s">
        <v>3390</v>
      </c>
      <c r="B898" s="17" t="s">
        <v>1674</v>
      </c>
      <c r="C898" s="13" t="s">
        <v>1675</v>
      </c>
      <c r="D898" s="13" t="s">
        <v>1675</v>
      </c>
      <c r="E898" s="17" t="s">
        <v>56</v>
      </c>
      <c r="F898" s="17" t="s">
        <v>43</v>
      </c>
      <c r="G898" s="17" t="s">
        <v>50</v>
      </c>
      <c r="H898" s="7">
        <v>436775.85145000002</v>
      </c>
      <c r="I898" s="7">
        <v>229319.56228000001</v>
      </c>
      <c r="J898" s="80">
        <v>166.35650389072899</v>
      </c>
      <c r="K898" s="80">
        <v>-22.137997115615502</v>
      </c>
      <c r="L898" s="71">
        <v>115</v>
      </c>
      <c r="M898" s="73">
        <v>2</v>
      </c>
      <c r="N898" s="73">
        <v>3</v>
      </c>
      <c r="O898" s="73">
        <v>1</v>
      </c>
      <c r="P898" s="17" t="s">
        <v>37</v>
      </c>
      <c r="Q898" t="str">
        <f>LEFT(B898,3)</f>
        <v>PIM</v>
      </c>
    </row>
    <row r="899" spans="1:17">
      <c r="A899" s="17" t="s">
        <v>3391</v>
      </c>
      <c r="B899" s="17" t="s">
        <v>1674</v>
      </c>
      <c r="C899" s="13" t="s">
        <v>1675</v>
      </c>
      <c r="D899" s="13" t="s">
        <v>1675</v>
      </c>
      <c r="E899" s="17" t="s">
        <v>56</v>
      </c>
      <c r="F899" s="17" t="s">
        <v>43</v>
      </c>
      <c r="G899" s="17" t="s">
        <v>50</v>
      </c>
      <c r="H899" s="7">
        <v>436775.85145000002</v>
      </c>
      <c r="I899" s="7">
        <v>229319.56228000001</v>
      </c>
      <c r="J899" s="80">
        <v>166.35650389072899</v>
      </c>
      <c r="K899" s="80">
        <v>-22.137997115615502</v>
      </c>
      <c r="L899" s="71">
        <v>291</v>
      </c>
      <c r="M899" s="73">
        <v>2</v>
      </c>
      <c r="N899" s="73">
        <v>3</v>
      </c>
      <c r="O899" s="73">
        <v>1</v>
      </c>
      <c r="P899" s="17" t="s">
        <v>37</v>
      </c>
      <c r="Q899" t="str">
        <f>LEFT(B899,3)</f>
        <v>PIM</v>
      </c>
    </row>
    <row r="900" spans="1:17">
      <c r="A900" s="26" t="s">
        <v>3392</v>
      </c>
      <c r="B900" s="26" t="s">
        <v>1678</v>
      </c>
      <c r="C900" s="26" t="s">
        <v>1680</v>
      </c>
      <c r="D900" s="26" t="s">
        <v>1680</v>
      </c>
      <c r="E900" s="25" t="s">
        <v>29</v>
      </c>
      <c r="F900" s="25" t="s">
        <v>43</v>
      </c>
      <c r="G900" s="25" t="s">
        <v>30</v>
      </c>
      <c r="H900" s="27">
        <v>449467.10709</v>
      </c>
      <c r="I900" s="27">
        <v>218838.94537</v>
      </c>
      <c r="J900" s="81">
        <v>166.479840720987</v>
      </c>
      <c r="K900" s="81">
        <v>-22.232344699511501</v>
      </c>
      <c r="L900" s="75">
        <v>45</v>
      </c>
      <c r="M900" s="76">
        <v>2</v>
      </c>
      <c r="N900" s="76">
        <v>0</v>
      </c>
      <c r="O900" s="76">
        <v>1</v>
      </c>
      <c r="P900" s="25" t="s">
        <v>37</v>
      </c>
      <c r="Q900" t="str">
        <f>LEFT(B900,3)</f>
        <v>PIZ</v>
      </c>
    </row>
    <row r="901" spans="1:17">
      <c r="A901" s="17" t="s">
        <v>3393</v>
      </c>
      <c r="B901" s="17" t="s">
        <v>1683</v>
      </c>
      <c r="C901" s="13" t="s">
        <v>775</v>
      </c>
      <c r="D901" s="13" t="s">
        <v>775</v>
      </c>
      <c r="E901" s="17" t="s">
        <v>29</v>
      </c>
      <c r="F901" s="17" t="s">
        <v>43</v>
      </c>
      <c r="G901" s="17" t="s">
        <v>30</v>
      </c>
      <c r="H901" s="7">
        <v>448288.69211</v>
      </c>
      <c r="I901" s="7">
        <v>217696.91323000001</v>
      </c>
      <c r="J901" s="80">
        <v>166.46844712774001</v>
      </c>
      <c r="K901" s="80">
        <v>-22.2426902038798</v>
      </c>
      <c r="L901" s="71">
        <v>50</v>
      </c>
      <c r="M901" s="73">
        <v>3</v>
      </c>
      <c r="N901" s="73">
        <v>3</v>
      </c>
      <c r="O901" s="73">
        <v>1</v>
      </c>
      <c r="P901" s="17" t="s">
        <v>37</v>
      </c>
      <c r="Q901" t="str">
        <f>LEFT(B901,3)</f>
        <v>PK5</v>
      </c>
    </row>
    <row r="902" spans="1:17">
      <c r="A902" s="17" t="s">
        <v>3394</v>
      </c>
      <c r="B902" s="17" t="s">
        <v>1683</v>
      </c>
      <c r="C902" s="13" t="s">
        <v>775</v>
      </c>
      <c r="D902" s="13" t="s">
        <v>775</v>
      </c>
      <c r="E902" s="17" t="s">
        <v>29</v>
      </c>
      <c r="F902" s="17" t="s">
        <v>43</v>
      </c>
      <c r="G902" s="17" t="s">
        <v>30</v>
      </c>
      <c r="H902" s="7">
        <v>448288.69211</v>
      </c>
      <c r="I902" s="7">
        <v>217696.91323000001</v>
      </c>
      <c r="J902" s="80">
        <v>166.46844712774001</v>
      </c>
      <c r="K902" s="80">
        <v>-22.2426902038798</v>
      </c>
      <c r="L902" s="71">
        <v>175</v>
      </c>
      <c r="M902" s="73">
        <v>3</v>
      </c>
      <c r="N902" s="73">
        <v>3</v>
      </c>
      <c r="O902" s="73">
        <v>1</v>
      </c>
      <c r="P902" s="17" t="s">
        <v>37</v>
      </c>
      <c r="Q902" t="str">
        <f>LEFT(B902,3)</f>
        <v>PK5</v>
      </c>
    </row>
    <row r="903" spans="1:17">
      <c r="A903" s="17" t="s">
        <v>3395</v>
      </c>
      <c r="B903" s="17" t="s">
        <v>1683</v>
      </c>
      <c r="C903" s="13" t="s">
        <v>775</v>
      </c>
      <c r="D903" s="13" t="s">
        <v>775</v>
      </c>
      <c r="E903" s="17" t="s">
        <v>29</v>
      </c>
      <c r="F903" s="17" t="s">
        <v>43</v>
      </c>
      <c r="G903" s="17" t="s">
        <v>30</v>
      </c>
      <c r="H903" s="7">
        <v>448288.69211</v>
      </c>
      <c r="I903" s="7">
        <v>217696.91323000001</v>
      </c>
      <c r="J903" s="80">
        <v>166.46844712774001</v>
      </c>
      <c r="K903" s="80">
        <v>-22.2426902038798</v>
      </c>
      <c r="L903" s="71">
        <v>300</v>
      </c>
      <c r="M903" s="73">
        <v>3</v>
      </c>
      <c r="N903" s="73">
        <v>3</v>
      </c>
      <c r="O903" s="73">
        <v>1</v>
      </c>
      <c r="P903" s="17" t="s">
        <v>37</v>
      </c>
      <c r="Q903" t="str">
        <f>LEFT(B903,3)</f>
        <v>PK5</v>
      </c>
    </row>
    <row r="904" spans="1:17">
      <c r="A904" s="17" t="s">
        <v>3396</v>
      </c>
      <c r="B904" s="17" t="s">
        <v>1685</v>
      </c>
      <c r="C904" s="13" t="s">
        <v>1686</v>
      </c>
      <c r="D904" s="13" t="s">
        <v>1686</v>
      </c>
      <c r="E904" s="17" t="s">
        <v>67</v>
      </c>
      <c r="F904" s="17" t="s">
        <v>68</v>
      </c>
      <c r="G904" s="17" t="s">
        <v>68</v>
      </c>
      <c r="H904" s="7">
        <v>285378.90736000001</v>
      </c>
      <c r="I904" s="7">
        <v>357538.80229000002</v>
      </c>
      <c r="J904" s="80">
        <v>164.897653535666</v>
      </c>
      <c r="K904" s="80">
        <v>-20.976622604260299</v>
      </c>
      <c r="L904" s="71">
        <v>15</v>
      </c>
      <c r="M904" s="73">
        <v>2</v>
      </c>
      <c r="N904" s="73">
        <v>1</v>
      </c>
      <c r="O904" s="73">
        <v>1</v>
      </c>
      <c r="P904" s="17" t="s">
        <v>47</v>
      </c>
      <c r="Q904" t="str">
        <f>LEFT(B904,3)</f>
        <v>PKI</v>
      </c>
    </row>
    <row r="905" spans="1:17">
      <c r="A905" s="17" t="s">
        <v>3397</v>
      </c>
      <c r="B905" s="17" t="s">
        <v>1685</v>
      </c>
      <c r="C905" s="13" t="s">
        <v>1686</v>
      </c>
      <c r="D905" s="13" t="s">
        <v>1686</v>
      </c>
      <c r="E905" s="17" t="s">
        <v>67</v>
      </c>
      <c r="F905" s="17" t="s">
        <v>68</v>
      </c>
      <c r="G905" s="17" t="s">
        <v>68</v>
      </c>
      <c r="H905" s="7">
        <v>285378.90736000001</v>
      </c>
      <c r="I905" s="7">
        <v>357538.80229000002</v>
      </c>
      <c r="J905" s="80">
        <v>164.897653535666</v>
      </c>
      <c r="K905" s="80">
        <v>-20.976622604260299</v>
      </c>
      <c r="L905" s="71">
        <v>190</v>
      </c>
      <c r="M905" s="73">
        <v>2</v>
      </c>
      <c r="N905" s="73">
        <v>1</v>
      </c>
      <c r="O905" s="73">
        <v>1</v>
      </c>
      <c r="P905" s="17" t="s">
        <v>47</v>
      </c>
      <c r="Q905" t="str">
        <f>LEFT(B905,3)</f>
        <v>PKI</v>
      </c>
    </row>
    <row r="906" spans="1:17">
      <c r="A906" s="17" t="s">
        <v>3398</v>
      </c>
      <c r="B906" s="17" t="s">
        <v>1689</v>
      </c>
      <c r="C906" s="13" t="s">
        <v>1690</v>
      </c>
      <c r="D906" s="13" t="s">
        <v>1690</v>
      </c>
      <c r="E906" s="17" t="s">
        <v>562</v>
      </c>
      <c r="F906" s="17" t="s">
        <v>43</v>
      </c>
      <c r="G906" s="17" t="s">
        <v>43</v>
      </c>
      <c r="H906" s="7">
        <v>419491.85762999998</v>
      </c>
      <c r="I906" s="7">
        <v>286441.88506</v>
      </c>
      <c r="J906" s="80">
        <v>166.188287327566</v>
      </c>
      <c r="K906" s="80">
        <v>-21.622354928423501</v>
      </c>
      <c r="L906" s="71">
        <v>90</v>
      </c>
      <c r="M906" s="73">
        <v>1</v>
      </c>
      <c r="N906" s="73">
        <v>1</v>
      </c>
      <c r="O906" s="73">
        <v>1</v>
      </c>
      <c r="P906" s="17" t="s">
        <v>47</v>
      </c>
      <c r="Q906" t="str">
        <f>LEFT(B906,3)</f>
        <v>PLA</v>
      </c>
    </row>
    <row r="907" spans="1:17">
      <c r="A907" s="17" t="s">
        <v>3399</v>
      </c>
      <c r="B907" s="17" t="s">
        <v>1689</v>
      </c>
      <c r="C907" s="13" t="s">
        <v>1690</v>
      </c>
      <c r="D907" s="13" t="s">
        <v>1690</v>
      </c>
      <c r="E907" s="17" t="s">
        <v>562</v>
      </c>
      <c r="F907" s="17" t="s">
        <v>43</v>
      </c>
      <c r="G907" s="17" t="s">
        <v>43</v>
      </c>
      <c r="H907" s="7">
        <v>419491.85762999998</v>
      </c>
      <c r="I907" s="7">
        <v>286441.88506</v>
      </c>
      <c r="J907" s="80">
        <v>166.188287327566</v>
      </c>
      <c r="K907" s="80">
        <v>-21.622354928423501</v>
      </c>
      <c r="L907" s="71">
        <v>210</v>
      </c>
      <c r="M907" s="73">
        <v>1</v>
      </c>
      <c r="N907" s="73">
        <v>1</v>
      </c>
      <c r="O907" s="73">
        <v>1</v>
      </c>
      <c r="P907" s="17" t="s">
        <v>47</v>
      </c>
      <c r="Q907" t="str">
        <f>LEFT(B907,3)</f>
        <v>PLA</v>
      </c>
    </row>
    <row r="908" spans="1:17">
      <c r="A908" s="17" t="s">
        <v>3400</v>
      </c>
      <c r="B908" s="17" t="s">
        <v>1693</v>
      </c>
      <c r="C908" s="13" t="s">
        <v>1694</v>
      </c>
      <c r="D908" s="13" t="s">
        <v>1694</v>
      </c>
      <c r="E908" s="17" t="s">
        <v>56</v>
      </c>
      <c r="F908" s="17" t="s">
        <v>43</v>
      </c>
      <c r="G908" s="17" t="s">
        <v>50</v>
      </c>
      <c r="H908" s="7">
        <v>432711.56634999998</v>
      </c>
      <c r="I908" s="7">
        <v>233197.15259000001</v>
      </c>
      <c r="J908" s="80">
        <v>166.31703166319099</v>
      </c>
      <c r="K908" s="80">
        <v>-22.103062128949201</v>
      </c>
      <c r="L908" s="71">
        <v>10</v>
      </c>
      <c r="M908" s="73">
        <v>1</v>
      </c>
      <c r="N908" s="73">
        <v>2</v>
      </c>
      <c r="O908" s="73">
        <v>1</v>
      </c>
      <c r="P908" s="17" t="s">
        <v>47</v>
      </c>
      <c r="Q908" t="str">
        <f>LEFT(B908,3)</f>
        <v>PLG</v>
      </c>
    </row>
    <row r="909" spans="1:17">
      <c r="A909" s="17" t="s">
        <v>3401</v>
      </c>
      <c r="B909" s="17" t="s">
        <v>1693</v>
      </c>
      <c r="C909" s="13" t="s">
        <v>1694</v>
      </c>
      <c r="D909" s="13" t="s">
        <v>1694</v>
      </c>
      <c r="E909" s="17" t="s">
        <v>56</v>
      </c>
      <c r="F909" s="17" t="s">
        <v>43</v>
      </c>
      <c r="G909" s="17" t="s">
        <v>50</v>
      </c>
      <c r="H909" s="7">
        <v>432711.56634999998</v>
      </c>
      <c r="I909" s="7">
        <v>233197.15259000001</v>
      </c>
      <c r="J909" s="80">
        <v>166.31703166319099</v>
      </c>
      <c r="K909" s="80">
        <v>-22.103062128949201</v>
      </c>
      <c r="L909" s="71">
        <v>170</v>
      </c>
      <c r="M909" s="73">
        <v>1</v>
      </c>
      <c r="N909" s="73">
        <v>2</v>
      </c>
      <c r="O909" s="73">
        <v>1</v>
      </c>
      <c r="P909" s="17" t="s">
        <v>47</v>
      </c>
      <c r="Q909" t="str">
        <f>LEFT(B909,3)</f>
        <v>PLG</v>
      </c>
    </row>
    <row r="910" spans="1:17">
      <c r="A910" s="17" t="s">
        <v>3402</v>
      </c>
      <c r="B910" s="17" t="s">
        <v>1698</v>
      </c>
      <c r="C910" s="13" t="s">
        <v>1699</v>
      </c>
      <c r="D910" s="13" t="s">
        <v>1699</v>
      </c>
      <c r="E910" s="17" t="s">
        <v>93</v>
      </c>
      <c r="F910" s="17" t="s">
        <v>43</v>
      </c>
      <c r="G910" s="17" t="s">
        <v>50</v>
      </c>
      <c r="H910" s="7">
        <v>461537.56198</v>
      </c>
      <c r="I910" s="7">
        <v>215588.29895</v>
      </c>
      <c r="J910" s="80">
        <v>166.59705147639599</v>
      </c>
      <c r="K910" s="80">
        <v>-22.261328403811</v>
      </c>
      <c r="L910" s="71">
        <v>30</v>
      </c>
      <c r="M910" s="73">
        <v>2</v>
      </c>
      <c r="N910" s="73">
        <v>2</v>
      </c>
      <c r="O910" s="73">
        <v>1</v>
      </c>
      <c r="P910" s="17" t="s">
        <v>47</v>
      </c>
      <c r="Q910" t="str">
        <f>LEFT(B910,3)</f>
        <v>PLT</v>
      </c>
    </row>
    <row r="911" spans="1:17">
      <c r="A911" s="17" t="s">
        <v>3403</v>
      </c>
      <c r="B911" s="17" t="s">
        <v>1698</v>
      </c>
      <c r="C911" s="13" t="s">
        <v>1699</v>
      </c>
      <c r="D911" s="13" t="s">
        <v>1699</v>
      </c>
      <c r="E911" s="17" t="s">
        <v>93</v>
      </c>
      <c r="F911" s="17" t="s">
        <v>43</v>
      </c>
      <c r="G911" s="17" t="s">
        <v>50</v>
      </c>
      <c r="H911" s="7">
        <v>461537.56198</v>
      </c>
      <c r="I911" s="7">
        <v>215588.29895</v>
      </c>
      <c r="J911" s="80">
        <v>166.59705147639599</v>
      </c>
      <c r="K911" s="80">
        <v>-22.261328403811</v>
      </c>
      <c r="L911" s="71">
        <v>105</v>
      </c>
      <c r="M911" s="73">
        <v>2</v>
      </c>
      <c r="N911" s="73">
        <v>2</v>
      </c>
      <c r="O911" s="73">
        <v>1</v>
      </c>
      <c r="P911" s="17" t="s">
        <v>47</v>
      </c>
      <c r="Q911" t="str">
        <f>LEFT(B911,3)</f>
        <v>PLT</v>
      </c>
    </row>
    <row r="912" spans="1:17">
      <c r="A912" s="17" t="s">
        <v>3404</v>
      </c>
      <c r="B912" s="17" t="s">
        <v>1702</v>
      </c>
      <c r="C912" s="13" t="s">
        <v>1703</v>
      </c>
      <c r="D912" s="13" t="s">
        <v>1704</v>
      </c>
      <c r="E912" s="17" t="s">
        <v>93</v>
      </c>
      <c r="F912" s="17" t="s">
        <v>43</v>
      </c>
      <c r="G912" s="17" t="s">
        <v>50</v>
      </c>
      <c r="H912" s="7">
        <v>464222</v>
      </c>
      <c r="I912" s="7">
        <v>214304</v>
      </c>
      <c r="J912" s="79">
        <v>166.623141</v>
      </c>
      <c r="K912" s="79">
        <v>-22.272829000000002</v>
      </c>
      <c r="L912" s="71">
        <v>90</v>
      </c>
      <c r="M912" s="73">
        <v>1</v>
      </c>
      <c r="N912" s="73">
        <v>1</v>
      </c>
      <c r="O912" s="73">
        <v>1</v>
      </c>
      <c r="P912" s="17" t="s">
        <v>47</v>
      </c>
      <c r="Q912" t="str">
        <f>LEFT(B912,3)</f>
        <v>PLU</v>
      </c>
    </row>
    <row r="913" spans="1:17">
      <c r="A913" s="17" t="s">
        <v>3405</v>
      </c>
      <c r="B913" s="17" t="s">
        <v>1702</v>
      </c>
      <c r="C913" s="13" t="s">
        <v>1703</v>
      </c>
      <c r="D913" s="13" t="s">
        <v>1704</v>
      </c>
      <c r="E913" s="17" t="s">
        <v>93</v>
      </c>
      <c r="F913" s="17" t="s">
        <v>43</v>
      </c>
      <c r="G913" s="17" t="s">
        <v>50</v>
      </c>
      <c r="H913" s="7">
        <v>464222</v>
      </c>
      <c r="I913" s="7">
        <v>214304</v>
      </c>
      <c r="J913" s="79">
        <v>166.623141</v>
      </c>
      <c r="K913" s="79">
        <v>-22.272829000000002</v>
      </c>
      <c r="L913" s="71">
        <v>180</v>
      </c>
      <c r="M913" s="73">
        <v>1</v>
      </c>
      <c r="N913" s="73">
        <v>1</v>
      </c>
      <c r="O913" s="73">
        <v>1</v>
      </c>
      <c r="P913" s="17" t="s">
        <v>47</v>
      </c>
      <c r="Q913" t="str">
        <f>LEFT(B913,3)</f>
        <v>PLU</v>
      </c>
    </row>
    <row r="914" spans="1:17">
      <c r="A914" s="17" t="s">
        <v>3406</v>
      </c>
      <c r="B914" s="17" t="s">
        <v>1702</v>
      </c>
      <c r="C914" s="13" t="s">
        <v>1703</v>
      </c>
      <c r="D914" s="13" t="s">
        <v>1704</v>
      </c>
      <c r="E914" s="17" t="s">
        <v>93</v>
      </c>
      <c r="F914" s="17" t="s">
        <v>43</v>
      </c>
      <c r="G914" s="17" t="s">
        <v>50</v>
      </c>
      <c r="H914" s="7">
        <v>464222</v>
      </c>
      <c r="I914" s="7">
        <v>214304</v>
      </c>
      <c r="J914" s="79">
        <v>166.623141</v>
      </c>
      <c r="K914" s="79">
        <v>-22.272829000000002</v>
      </c>
      <c r="L914" s="71">
        <v>300</v>
      </c>
      <c r="M914" s="73">
        <v>1</v>
      </c>
      <c r="N914" s="73">
        <v>1</v>
      </c>
      <c r="O914" s="73">
        <v>1</v>
      </c>
      <c r="P914" s="17" t="s">
        <v>47</v>
      </c>
      <c r="Q914" t="str">
        <f>LEFT(B914,3)</f>
        <v>PLU</v>
      </c>
    </row>
    <row r="915" spans="1:17">
      <c r="A915" s="17" t="s">
        <v>3407</v>
      </c>
      <c r="B915" s="17" t="s">
        <v>1706</v>
      </c>
      <c r="C915" s="3" t="s">
        <v>1707</v>
      </c>
      <c r="D915" s="3" t="s">
        <v>1708</v>
      </c>
      <c r="E915" s="3" t="s">
        <v>29</v>
      </c>
      <c r="F915" s="3" t="s">
        <v>43</v>
      </c>
      <c r="G915" s="17" t="s">
        <v>30</v>
      </c>
      <c r="H915" s="4">
        <v>445540</v>
      </c>
      <c r="I915" s="7">
        <v>215140</v>
      </c>
      <c r="J915" s="79">
        <v>166.44184999999999</v>
      </c>
      <c r="K915" s="79">
        <v>-22.26585</v>
      </c>
      <c r="L915" s="71">
        <v>55</v>
      </c>
      <c r="M915" s="73">
        <v>2</v>
      </c>
      <c r="N915" s="73">
        <v>3</v>
      </c>
      <c r="O915" s="73">
        <v>0</v>
      </c>
      <c r="P915" s="17" t="s">
        <v>37</v>
      </c>
      <c r="Q915" t="str">
        <f>LEFT(B915,3)</f>
        <v>PLZ</v>
      </c>
    </row>
    <row r="916" spans="1:17">
      <c r="A916" s="17" t="s">
        <v>3408</v>
      </c>
      <c r="B916" s="17" t="s">
        <v>1706</v>
      </c>
      <c r="C916" s="3" t="s">
        <v>1707</v>
      </c>
      <c r="D916" s="3" t="s">
        <v>1708</v>
      </c>
      <c r="E916" s="3" t="s">
        <v>29</v>
      </c>
      <c r="F916" s="3" t="s">
        <v>43</v>
      </c>
      <c r="G916" s="17" t="s">
        <v>30</v>
      </c>
      <c r="H916" s="4">
        <v>445540</v>
      </c>
      <c r="I916" s="7">
        <v>215140</v>
      </c>
      <c r="J916" s="79">
        <v>166.44184999999999</v>
      </c>
      <c r="K916" s="79">
        <v>-22.26585</v>
      </c>
      <c r="L916" s="71">
        <v>200</v>
      </c>
      <c r="M916" s="73">
        <v>2</v>
      </c>
      <c r="N916" s="73">
        <v>3</v>
      </c>
      <c r="O916" s="73">
        <v>0</v>
      </c>
      <c r="P916" s="17" t="s">
        <v>37</v>
      </c>
      <c r="Q916" t="str">
        <f>LEFT(B916,3)</f>
        <v>PLZ</v>
      </c>
    </row>
    <row r="917" spans="1:17">
      <c r="A917" s="17" t="s">
        <v>3409</v>
      </c>
      <c r="B917" s="17" t="s">
        <v>1710</v>
      </c>
      <c r="C917" s="6" t="s">
        <v>1711</v>
      </c>
      <c r="D917" s="6" t="s">
        <v>1712</v>
      </c>
      <c r="E917" s="17" t="s">
        <v>3410</v>
      </c>
      <c r="F917" s="17" t="s">
        <v>68</v>
      </c>
      <c r="G917" s="17" t="s">
        <v>68</v>
      </c>
      <c r="H917" s="7">
        <v>193613</v>
      </c>
      <c r="I917" s="7">
        <v>439035</v>
      </c>
      <c r="J917" s="80">
        <v>164.02508499999999</v>
      </c>
      <c r="K917" s="80">
        <v>-20.232406000000001</v>
      </c>
      <c r="L917" s="71">
        <v>0</v>
      </c>
      <c r="M917" s="73">
        <v>1</v>
      </c>
      <c r="N917" s="73">
        <v>1</v>
      </c>
      <c r="O917" s="73">
        <v>0</v>
      </c>
      <c r="P917" s="17" t="s">
        <v>47</v>
      </c>
      <c r="Q917" t="str">
        <f>LEFT(B917,3)</f>
        <v>PMA</v>
      </c>
    </row>
    <row r="918" spans="1:17">
      <c r="A918" s="17" t="s">
        <v>3411</v>
      </c>
      <c r="B918" s="17" t="s">
        <v>1710</v>
      </c>
      <c r="C918" s="6" t="s">
        <v>1711</v>
      </c>
      <c r="D918" s="6" t="s">
        <v>1712</v>
      </c>
      <c r="E918" s="17" t="s">
        <v>3410</v>
      </c>
      <c r="F918" s="17" t="s">
        <v>68</v>
      </c>
      <c r="G918" s="17" t="s">
        <v>68</v>
      </c>
      <c r="H918" s="7">
        <v>193613</v>
      </c>
      <c r="I918" s="7">
        <v>439035</v>
      </c>
      <c r="J918" s="80">
        <v>164.02508499999999</v>
      </c>
      <c r="K918" s="80">
        <v>-20.232406000000001</v>
      </c>
      <c r="L918" s="71">
        <v>120</v>
      </c>
      <c r="M918" s="73">
        <v>1</v>
      </c>
      <c r="N918" s="73">
        <v>1</v>
      </c>
      <c r="O918" s="73">
        <v>0</v>
      </c>
      <c r="P918" s="17" t="s">
        <v>47</v>
      </c>
      <c r="Q918" t="str">
        <f>LEFT(B918,3)</f>
        <v>PMA</v>
      </c>
    </row>
    <row r="919" spans="1:17">
      <c r="A919" s="17" t="s">
        <v>3412</v>
      </c>
      <c r="B919" s="17" t="s">
        <v>1710</v>
      </c>
      <c r="C919" s="6" t="s">
        <v>1711</v>
      </c>
      <c r="D919" s="6" t="s">
        <v>1712</v>
      </c>
      <c r="E919" s="17" t="s">
        <v>3410</v>
      </c>
      <c r="F919" s="17" t="s">
        <v>68</v>
      </c>
      <c r="G919" s="17" t="s">
        <v>68</v>
      </c>
      <c r="H919" s="7">
        <v>193613</v>
      </c>
      <c r="I919" s="7">
        <v>439035</v>
      </c>
      <c r="J919" s="80">
        <v>164.02508499999999</v>
      </c>
      <c r="K919" s="80">
        <v>-20.232406000000001</v>
      </c>
      <c r="L919" s="71">
        <v>240</v>
      </c>
      <c r="M919" s="73">
        <v>1</v>
      </c>
      <c r="N919" s="73">
        <v>1</v>
      </c>
      <c r="O919" s="73">
        <v>0</v>
      </c>
      <c r="P919" s="17" t="s">
        <v>47</v>
      </c>
      <c r="Q919" t="str">
        <f>LEFT(B919,3)</f>
        <v>PMA</v>
      </c>
    </row>
    <row r="920" spans="1:17">
      <c r="A920" s="17" t="s">
        <v>3413</v>
      </c>
      <c r="B920" s="17" t="s">
        <v>1714</v>
      </c>
      <c r="C920" s="13" t="s">
        <v>1715</v>
      </c>
      <c r="D920" s="13" t="s">
        <v>1716</v>
      </c>
      <c r="E920" s="17" t="s">
        <v>79</v>
      </c>
      <c r="F920" s="17" t="s">
        <v>68</v>
      </c>
      <c r="G920" s="17" t="s">
        <v>68</v>
      </c>
      <c r="H920" s="7">
        <v>332943.96558999998</v>
      </c>
      <c r="I920" s="7">
        <v>350211.12669</v>
      </c>
      <c r="J920" s="80">
        <v>165.35480330429201</v>
      </c>
      <c r="K920" s="80">
        <v>-21.045214271828701</v>
      </c>
      <c r="L920" s="71">
        <v>20</v>
      </c>
      <c r="M920" s="73">
        <v>1</v>
      </c>
      <c r="N920" s="73">
        <v>1</v>
      </c>
      <c r="O920" s="73">
        <v>1</v>
      </c>
      <c r="P920" s="17" t="s">
        <v>47</v>
      </c>
      <c r="Q920" t="str">
        <f>LEFT(B920,3)</f>
        <v>PMW</v>
      </c>
    </row>
    <row r="921" spans="1:17">
      <c r="A921" s="17" t="s">
        <v>3414</v>
      </c>
      <c r="B921" s="17" t="s">
        <v>1714</v>
      </c>
      <c r="C921" s="13" t="s">
        <v>1715</v>
      </c>
      <c r="D921" s="13" t="s">
        <v>1716</v>
      </c>
      <c r="E921" s="17" t="s">
        <v>79</v>
      </c>
      <c r="F921" s="17" t="s">
        <v>68</v>
      </c>
      <c r="G921" s="17" t="s">
        <v>68</v>
      </c>
      <c r="H921" s="7">
        <v>332943.96558999998</v>
      </c>
      <c r="I921" s="7">
        <v>350211.12669</v>
      </c>
      <c r="J921" s="80">
        <v>165.35480330429201</v>
      </c>
      <c r="K921" s="80">
        <v>-21.045214271828701</v>
      </c>
      <c r="L921" s="71">
        <v>130</v>
      </c>
      <c r="M921" s="73">
        <v>1</v>
      </c>
      <c r="N921" s="73">
        <v>1</v>
      </c>
      <c r="O921" s="73">
        <v>1</v>
      </c>
      <c r="P921" s="17" t="s">
        <v>47</v>
      </c>
      <c r="Q921" t="str">
        <f>LEFT(B921,3)</f>
        <v>PMW</v>
      </c>
    </row>
    <row r="922" spans="1:17">
      <c r="A922" s="17" t="s">
        <v>3415</v>
      </c>
      <c r="B922" s="17" t="s">
        <v>1714</v>
      </c>
      <c r="C922" s="13" t="s">
        <v>1715</v>
      </c>
      <c r="D922" s="13" t="s">
        <v>1716</v>
      </c>
      <c r="E922" s="17" t="s">
        <v>79</v>
      </c>
      <c r="F922" s="17" t="s">
        <v>68</v>
      </c>
      <c r="G922" s="17" t="s">
        <v>68</v>
      </c>
      <c r="H922" s="7">
        <v>332943.96558999998</v>
      </c>
      <c r="I922" s="7">
        <v>350211.12669</v>
      </c>
      <c r="J922" s="80">
        <v>165.35480330429201</v>
      </c>
      <c r="K922" s="80">
        <v>-21.045214271828701</v>
      </c>
      <c r="L922" s="71">
        <v>270</v>
      </c>
      <c r="M922" s="73">
        <v>1</v>
      </c>
      <c r="N922" s="73">
        <v>1</v>
      </c>
      <c r="O922" s="73">
        <v>1</v>
      </c>
      <c r="P922" s="17" t="s">
        <v>47</v>
      </c>
      <c r="Q922" t="str">
        <f>LEFT(B922,3)</f>
        <v>PMW</v>
      </c>
    </row>
    <row r="923" spans="1:17">
      <c r="A923" s="2" t="s">
        <v>3416</v>
      </c>
      <c r="B923" s="2" t="s">
        <v>1718</v>
      </c>
      <c r="C923" s="2" t="s">
        <v>1719</v>
      </c>
      <c r="D923" s="2" t="s">
        <v>3417</v>
      </c>
      <c r="E923" s="2" t="s">
        <v>684</v>
      </c>
      <c r="F923" s="2" t="s">
        <v>68</v>
      </c>
      <c r="G923" s="2" t="s">
        <v>68</v>
      </c>
      <c r="H923" s="2">
        <v>278085</v>
      </c>
      <c r="I923" s="2">
        <v>400711</v>
      </c>
      <c r="J923" s="79">
        <v>164.830613</v>
      </c>
      <c r="K923" s="79">
        <v>-20.586203000000001</v>
      </c>
      <c r="L923" s="71">
        <v>240</v>
      </c>
      <c r="M923" s="73">
        <v>1</v>
      </c>
      <c r="N923" s="73">
        <v>1</v>
      </c>
      <c r="O923" s="73">
        <v>0</v>
      </c>
      <c r="P923" s="17" t="s">
        <v>47</v>
      </c>
      <c r="Q923" t="str">
        <f>LEFT(B923,3)</f>
        <v>PNC</v>
      </c>
    </row>
    <row r="924" spans="1:17">
      <c r="A924" s="17" t="s">
        <v>3418</v>
      </c>
      <c r="B924" s="17" t="s">
        <v>1723</v>
      </c>
      <c r="C924" s="13" t="s">
        <v>1724</v>
      </c>
      <c r="D924" s="13" t="s">
        <v>1724</v>
      </c>
      <c r="E924" s="17" t="s">
        <v>56</v>
      </c>
      <c r="F924" s="17" t="s">
        <v>43</v>
      </c>
      <c r="G924" s="17" t="s">
        <v>50</v>
      </c>
      <c r="H924" s="7">
        <v>416341.99790999998</v>
      </c>
      <c r="I924" s="7">
        <v>244634.11376000001</v>
      </c>
      <c r="J924" s="80">
        <v>166.15826809223901</v>
      </c>
      <c r="K924" s="80">
        <v>-21.999994521333399</v>
      </c>
      <c r="L924" s="71">
        <v>43</v>
      </c>
      <c r="M924" s="73">
        <v>2</v>
      </c>
      <c r="N924" s="73">
        <v>1</v>
      </c>
      <c r="O924" s="73">
        <v>1</v>
      </c>
      <c r="P924" s="17" t="s">
        <v>47</v>
      </c>
      <c r="Q924" t="str">
        <f>LEFT(B924,3)</f>
        <v>PND</v>
      </c>
    </row>
    <row r="925" spans="1:17">
      <c r="A925" s="17" t="s">
        <v>3419</v>
      </c>
      <c r="B925" s="17" t="s">
        <v>1723</v>
      </c>
      <c r="C925" s="13" t="s">
        <v>1724</v>
      </c>
      <c r="D925" s="13" t="s">
        <v>1724</v>
      </c>
      <c r="E925" s="17" t="s">
        <v>56</v>
      </c>
      <c r="F925" s="17" t="s">
        <v>43</v>
      </c>
      <c r="G925" s="17" t="s">
        <v>50</v>
      </c>
      <c r="H925" s="7">
        <v>416341.99790999998</v>
      </c>
      <c r="I925" s="7">
        <v>244634.11376000001</v>
      </c>
      <c r="J925" s="80">
        <v>166.15826809223901</v>
      </c>
      <c r="K925" s="80">
        <v>-21.999994521333399</v>
      </c>
      <c r="L925" s="71">
        <v>192</v>
      </c>
      <c r="M925" s="73">
        <v>1</v>
      </c>
      <c r="N925" s="73">
        <v>1</v>
      </c>
      <c r="O925" s="73">
        <v>1</v>
      </c>
      <c r="P925" s="17" t="s">
        <v>47</v>
      </c>
      <c r="Q925" t="str">
        <f>LEFT(B925,3)</f>
        <v>PND</v>
      </c>
    </row>
    <row r="926" spans="1:17">
      <c r="A926" s="17" t="s">
        <v>3420</v>
      </c>
      <c r="B926" s="17" t="s">
        <v>1723</v>
      </c>
      <c r="C926" s="13" t="s">
        <v>1724</v>
      </c>
      <c r="D926" s="13" t="s">
        <v>1724</v>
      </c>
      <c r="E926" s="17" t="s">
        <v>56</v>
      </c>
      <c r="F926" s="17" t="s">
        <v>43</v>
      </c>
      <c r="G926" s="17" t="s">
        <v>50</v>
      </c>
      <c r="H926" s="7">
        <v>416341.99790999998</v>
      </c>
      <c r="I926" s="7">
        <v>244634.11376000001</v>
      </c>
      <c r="J926" s="80">
        <v>166.15826809223901</v>
      </c>
      <c r="K926" s="80">
        <v>-21.999994521333399</v>
      </c>
      <c r="L926" s="71">
        <v>303</v>
      </c>
      <c r="M926" s="73">
        <v>1</v>
      </c>
      <c r="N926" s="73">
        <v>1</v>
      </c>
      <c r="O926" s="73">
        <v>1</v>
      </c>
      <c r="P926" s="17" t="s">
        <v>47</v>
      </c>
      <c r="Q926" t="str">
        <f>LEFT(B926,3)</f>
        <v>PND</v>
      </c>
    </row>
    <row r="927" spans="1:17">
      <c r="A927" s="17" t="s">
        <v>3421</v>
      </c>
      <c r="B927" s="17" t="s">
        <v>1727</v>
      </c>
      <c r="C927" s="13" t="s">
        <v>1728</v>
      </c>
      <c r="D927" s="13" t="s">
        <v>1728</v>
      </c>
      <c r="E927" s="17" t="s">
        <v>437</v>
      </c>
      <c r="F927" s="17" t="s">
        <v>68</v>
      </c>
      <c r="G927" s="17" t="s">
        <v>68</v>
      </c>
      <c r="H927" s="7">
        <v>242553.11614999999</v>
      </c>
      <c r="I927" s="7">
        <v>390316.97081999999</v>
      </c>
      <c r="J927" s="80">
        <v>164.48885172285</v>
      </c>
      <c r="K927" s="80">
        <v>-20.6773307094392</v>
      </c>
      <c r="L927" s="71">
        <v>50</v>
      </c>
      <c r="M927" s="73">
        <v>1</v>
      </c>
      <c r="N927" s="73">
        <v>1</v>
      </c>
      <c r="O927" s="73">
        <v>1</v>
      </c>
      <c r="P927" s="17" t="s">
        <v>47</v>
      </c>
      <c r="Q927" t="str">
        <f>LEFT(B927,3)</f>
        <v>PNE</v>
      </c>
    </row>
    <row r="928" spans="1:17">
      <c r="A928" s="17" t="s">
        <v>3422</v>
      </c>
      <c r="B928" s="17" t="s">
        <v>1727</v>
      </c>
      <c r="C928" s="13" t="s">
        <v>1728</v>
      </c>
      <c r="D928" s="13" t="s">
        <v>1728</v>
      </c>
      <c r="E928" s="17" t="s">
        <v>437</v>
      </c>
      <c r="F928" s="17" t="s">
        <v>68</v>
      </c>
      <c r="G928" s="17" t="s">
        <v>68</v>
      </c>
      <c r="H928" s="7">
        <v>242553.11614999999</v>
      </c>
      <c r="I928" s="7">
        <v>390316.97081999999</v>
      </c>
      <c r="J928" s="80">
        <v>164.48885172285</v>
      </c>
      <c r="K928" s="80">
        <v>-20.6773307094392</v>
      </c>
      <c r="L928" s="71">
        <v>180</v>
      </c>
      <c r="M928" s="73">
        <v>1</v>
      </c>
      <c r="N928" s="73">
        <v>1</v>
      </c>
      <c r="O928" s="73">
        <v>1</v>
      </c>
      <c r="P928" s="17" t="s">
        <v>47</v>
      </c>
      <c r="Q928" t="str">
        <f>LEFT(B928,3)</f>
        <v>PNE</v>
      </c>
    </row>
    <row r="929" spans="1:17">
      <c r="A929" s="2" t="s">
        <v>3423</v>
      </c>
      <c r="B929" s="2" t="s">
        <v>1731</v>
      </c>
      <c r="C929" s="2" t="s">
        <v>3417</v>
      </c>
      <c r="D929" s="2" t="s">
        <v>3417</v>
      </c>
      <c r="E929" s="2" t="s">
        <v>684</v>
      </c>
      <c r="F929" s="2" t="s">
        <v>68</v>
      </c>
      <c r="G929" s="2" t="s">
        <v>68</v>
      </c>
      <c r="H929" s="2">
        <v>278537</v>
      </c>
      <c r="I929" s="2">
        <v>400167</v>
      </c>
      <c r="J929" s="79">
        <v>164.83491000000001</v>
      </c>
      <c r="K929" s="79">
        <v>-20.591149999999999</v>
      </c>
      <c r="L929" s="71">
        <v>146</v>
      </c>
      <c r="M929" s="73">
        <v>1</v>
      </c>
      <c r="N929" s="73">
        <v>1</v>
      </c>
      <c r="O929" s="73">
        <v>0</v>
      </c>
      <c r="P929" s="17" t="s">
        <v>47</v>
      </c>
      <c r="Q929" t="str">
        <f>LEFT(B929,3)</f>
        <v>PNI</v>
      </c>
    </row>
    <row r="930" spans="1:17">
      <c r="A930" s="2" t="s">
        <v>3424</v>
      </c>
      <c r="B930" s="2" t="s">
        <v>1731</v>
      </c>
      <c r="C930" s="2" t="s">
        <v>3417</v>
      </c>
      <c r="D930" s="2" t="s">
        <v>3417</v>
      </c>
      <c r="E930" s="2" t="s">
        <v>684</v>
      </c>
      <c r="F930" s="2" t="s">
        <v>68</v>
      </c>
      <c r="G930" s="2" t="s">
        <v>68</v>
      </c>
      <c r="H930" s="2">
        <v>278537</v>
      </c>
      <c r="I930" s="2">
        <v>400167</v>
      </c>
      <c r="J930" s="79">
        <v>164.83491000000001</v>
      </c>
      <c r="K930" s="79">
        <v>-20.591149999999999</v>
      </c>
      <c r="L930" s="71">
        <v>146</v>
      </c>
      <c r="M930" s="73">
        <v>1</v>
      </c>
      <c r="N930" s="73">
        <v>1</v>
      </c>
      <c r="O930" s="73">
        <v>0</v>
      </c>
      <c r="P930" s="17" t="s">
        <v>47</v>
      </c>
      <c r="Q930" t="str">
        <f>LEFT(B930,3)</f>
        <v>PNI</v>
      </c>
    </row>
    <row r="931" spans="1:17">
      <c r="A931" s="17" t="s">
        <v>3425</v>
      </c>
      <c r="B931" s="17" t="s">
        <v>1733</v>
      </c>
      <c r="C931" s="13" t="s">
        <v>1735</v>
      </c>
      <c r="D931" s="13" t="s">
        <v>1735</v>
      </c>
      <c r="E931" s="17" t="s">
        <v>148</v>
      </c>
      <c r="F931" s="17" t="s">
        <v>68</v>
      </c>
      <c r="G931" s="17" t="s">
        <v>68</v>
      </c>
      <c r="H931" s="7">
        <v>312780</v>
      </c>
      <c r="I931" s="7">
        <v>316717</v>
      </c>
      <c r="J931" s="80">
        <v>165.15906000000001</v>
      </c>
      <c r="K931" s="80">
        <v>-21.346883999999999</v>
      </c>
      <c r="L931" s="71">
        <v>110</v>
      </c>
      <c r="M931" s="73">
        <v>1</v>
      </c>
      <c r="N931" s="73">
        <v>1</v>
      </c>
      <c r="O931" s="73">
        <v>0</v>
      </c>
      <c r="P931" s="17" t="s">
        <v>47</v>
      </c>
      <c r="Q931" t="str">
        <f>LEFT(B931,3)</f>
        <v>POA</v>
      </c>
    </row>
    <row r="932" spans="1:17">
      <c r="A932" s="17" t="s">
        <v>3426</v>
      </c>
      <c r="B932" s="17" t="s">
        <v>1733</v>
      </c>
      <c r="C932" s="13" t="s">
        <v>1735</v>
      </c>
      <c r="D932" s="13" t="s">
        <v>1735</v>
      </c>
      <c r="E932" s="17" t="s">
        <v>148</v>
      </c>
      <c r="F932" s="17" t="s">
        <v>68</v>
      </c>
      <c r="G932" s="17" t="s">
        <v>68</v>
      </c>
      <c r="H932" s="7">
        <v>312780</v>
      </c>
      <c r="I932" s="7">
        <v>316717</v>
      </c>
      <c r="J932" s="80">
        <v>165.15906000000001</v>
      </c>
      <c r="K932" s="80">
        <v>-21.346883999999999</v>
      </c>
      <c r="L932" s="71">
        <v>180</v>
      </c>
      <c r="M932" s="73">
        <v>1</v>
      </c>
      <c r="N932" s="73">
        <v>1</v>
      </c>
      <c r="O932" s="73">
        <v>0</v>
      </c>
      <c r="P932" s="17" t="s">
        <v>47</v>
      </c>
      <c r="Q932" t="str">
        <f>LEFT(B932,3)</f>
        <v>POA</v>
      </c>
    </row>
    <row r="933" spans="1:17">
      <c r="A933" s="17" t="s">
        <v>3427</v>
      </c>
      <c r="B933" s="17" t="s">
        <v>1733</v>
      </c>
      <c r="C933" s="13" t="s">
        <v>1735</v>
      </c>
      <c r="D933" s="13" t="s">
        <v>1735</v>
      </c>
      <c r="E933" s="17" t="s">
        <v>148</v>
      </c>
      <c r="F933" s="17" t="s">
        <v>68</v>
      </c>
      <c r="G933" s="17" t="s">
        <v>68</v>
      </c>
      <c r="H933" s="7">
        <v>312780</v>
      </c>
      <c r="I933" s="7">
        <v>316717</v>
      </c>
      <c r="J933" s="80">
        <v>165.15906000000001</v>
      </c>
      <c r="K933" s="80">
        <v>-21.346883999999999</v>
      </c>
      <c r="L933" s="71">
        <v>330</v>
      </c>
      <c r="M933" s="73">
        <v>1</v>
      </c>
      <c r="N933" s="73">
        <v>1</v>
      </c>
      <c r="O933" s="73">
        <v>0</v>
      </c>
      <c r="P933" s="17" t="s">
        <v>47</v>
      </c>
      <c r="Q933" t="str">
        <f>LEFT(B933,3)</f>
        <v>POA</v>
      </c>
    </row>
    <row r="934" spans="1:17">
      <c r="A934" s="17" t="s">
        <v>3428</v>
      </c>
      <c r="B934" s="17" t="s">
        <v>1737</v>
      </c>
      <c r="C934" s="13" t="s">
        <v>1738</v>
      </c>
      <c r="D934" s="13" t="s">
        <v>1738</v>
      </c>
      <c r="E934" s="17" t="s">
        <v>191</v>
      </c>
      <c r="F934" s="17" t="s">
        <v>43</v>
      </c>
      <c r="G934" s="17" t="s">
        <v>43</v>
      </c>
      <c r="H934" s="7">
        <v>340416.96724999999</v>
      </c>
      <c r="I934" s="7">
        <v>287478.24063000001</v>
      </c>
      <c r="J934" s="80">
        <v>165.42448386812799</v>
      </c>
      <c r="K934" s="80">
        <v>-21.612112845081601</v>
      </c>
      <c r="L934" s="71">
        <v>100</v>
      </c>
      <c r="M934" s="73">
        <v>2</v>
      </c>
      <c r="N934" s="73">
        <v>2</v>
      </c>
      <c r="O934" s="73">
        <v>1</v>
      </c>
      <c r="P934" s="17" t="s">
        <v>47</v>
      </c>
      <c r="Q934" t="str">
        <f>LEFT(B934,3)</f>
        <v>POE</v>
      </c>
    </row>
    <row r="935" spans="1:17">
      <c r="A935" s="17" t="s">
        <v>3429</v>
      </c>
      <c r="B935" s="17" t="s">
        <v>1737</v>
      </c>
      <c r="C935" s="13" t="s">
        <v>1738</v>
      </c>
      <c r="D935" s="13" t="s">
        <v>1738</v>
      </c>
      <c r="E935" s="17" t="s">
        <v>191</v>
      </c>
      <c r="F935" s="17" t="s">
        <v>43</v>
      </c>
      <c r="G935" s="17" t="s">
        <v>43</v>
      </c>
      <c r="H935" s="7">
        <v>340416.96724999999</v>
      </c>
      <c r="I935" s="7">
        <v>287478.24063000001</v>
      </c>
      <c r="J935" s="80">
        <v>165.42448386812799</v>
      </c>
      <c r="K935" s="80">
        <v>-21.612112845081601</v>
      </c>
      <c r="L935" s="71">
        <v>315</v>
      </c>
      <c r="M935" s="73">
        <v>2</v>
      </c>
      <c r="N935" s="73">
        <v>2</v>
      </c>
      <c r="O935" s="73">
        <v>1</v>
      </c>
      <c r="P935" s="17" t="s">
        <v>47</v>
      </c>
      <c r="Q935" t="str">
        <f>LEFT(B935,3)</f>
        <v>POE</v>
      </c>
    </row>
    <row r="936" spans="1:17">
      <c r="A936" s="17" t="s">
        <v>3430</v>
      </c>
      <c r="B936" s="17" t="s">
        <v>1740</v>
      </c>
      <c r="C936" s="13" t="s">
        <v>104</v>
      </c>
      <c r="D936" s="13" t="s">
        <v>1741</v>
      </c>
      <c r="E936" s="17" t="s">
        <v>104</v>
      </c>
      <c r="F936" s="17" t="s">
        <v>68</v>
      </c>
      <c r="G936" s="17" t="s">
        <v>68</v>
      </c>
      <c r="H936" s="7">
        <v>330450.21732</v>
      </c>
      <c r="I936" s="7">
        <v>362074.82074</v>
      </c>
      <c r="J936" s="80">
        <v>165.33129522317699</v>
      </c>
      <c r="K936" s="80">
        <v>-20.937957335807099</v>
      </c>
      <c r="L936" s="71">
        <v>60</v>
      </c>
      <c r="M936" s="73">
        <v>1</v>
      </c>
      <c r="N936" s="73">
        <v>1</v>
      </c>
      <c r="O936" s="73">
        <v>1</v>
      </c>
      <c r="P936" s="17" t="s">
        <v>37</v>
      </c>
      <c r="Q936" t="str">
        <f>LEFT(B936,3)</f>
        <v>POI</v>
      </c>
    </row>
    <row r="937" spans="1:17">
      <c r="A937" s="17" t="s">
        <v>3431</v>
      </c>
      <c r="B937" s="17" t="s">
        <v>1740</v>
      </c>
      <c r="C937" s="13" t="s">
        <v>104</v>
      </c>
      <c r="D937" s="13" t="s">
        <v>1741</v>
      </c>
      <c r="E937" s="17" t="s">
        <v>104</v>
      </c>
      <c r="F937" s="17" t="s">
        <v>68</v>
      </c>
      <c r="G937" s="17" t="s">
        <v>68</v>
      </c>
      <c r="H937" s="7">
        <v>330450.21732</v>
      </c>
      <c r="I937" s="7">
        <v>362074.82074</v>
      </c>
      <c r="J937" s="80">
        <v>165.33129522317699</v>
      </c>
      <c r="K937" s="80">
        <v>-20.937957335807099</v>
      </c>
      <c r="L937" s="71">
        <v>160</v>
      </c>
      <c r="M937" s="73">
        <v>1</v>
      </c>
      <c r="N937" s="73">
        <v>1</v>
      </c>
      <c r="O937" s="73">
        <v>1</v>
      </c>
      <c r="P937" s="17" t="s">
        <v>37</v>
      </c>
      <c r="Q937" t="str">
        <f>LEFT(B937,3)</f>
        <v>POI</v>
      </c>
    </row>
    <row r="938" spans="1:17">
      <c r="A938" s="17" t="s">
        <v>3432</v>
      </c>
      <c r="B938" s="17" t="s">
        <v>1740</v>
      </c>
      <c r="C938" s="13" t="s">
        <v>104</v>
      </c>
      <c r="D938" s="13" t="s">
        <v>1741</v>
      </c>
      <c r="E938" s="17" t="s">
        <v>104</v>
      </c>
      <c r="F938" s="17" t="s">
        <v>68</v>
      </c>
      <c r="G938" s="17" t="s">
        <v>68</v>
      </c>
      <c r="H938" s="7">
        <v>330450.21732</v>
      </c>
      <c r="I938" s="7">
        <v>362074.82074</v>
      </c>
      <c r="J938" s="80">
        <v>165.33129522317699</v>
      </c>
      <c r="K938" s="80">
        <v>-20.937957335807099</v>
      </c>
      <c r="L938" s="71">
        <v>340</v>
      </c>
      <c r="M938" s="73">
        <v>1</v>
      </c>
      <c r="N938" s="73">
        <v>1</v>
      </c>
      <c r="O938" s="73">
        <v>1</v>
      </c>
      <c r="P938" s="17" t="s">
        <v>37</v>
      </c>
      <c r="Q938" t="str">
        <f>LEFT(B938,3)</f>
        <v>POI</v>
      </c>
    </row>
    <row r="939" spans="1:17">
      <c r="A939" s="17" t="s">
        <v>3433</v>
      </c>
      <c r="B939" s="17" t="s">
        <v>1743</v>
      </c>
      <c r="C939" s="17" t="s">
        <v>1744</v>
      </c>
      <c r="D939" s="17" t="s">
        <v>1744</v>
      </c>
      <c r="E939" s="17" t="s">
        <v>79</v>
      </c>
      <c r="F939" s="17" t="s">
        <v>68</v>
      </c>
      <c r="G939" s="17" t="s">
        <v>68</v>
      </c>
      <c r="H939" s="17">
        <v>337729</v>
      </c>
      <c r="I939" s="17">
        <v>347340</v>
      </c>
      <c r="J939" s="80">
        <v>165.40074000000001</v>
      </c>
      <c r="K939" s="80">
        <v>-21.07132</v>
      </c>
      <c r="L939" s="71">
        <v>140</v>
      </c>
      <c r="M939" s="73">
        <v>1</v>
      </c>
      <c r="N939" s="73">
        <v>1</v>
      </c>
      <c r="O939" s="73">
        <v>0</v>
      </c>
      <c r="P939" s="17" t="s">
        <v>47</v>
      </c>
      <c r="Q939" t="str">
        <f>LEFT(B939,3)</f>
        <v>PON</v>
      </c>
    </row>
    <row r="940" spans="1:17">
      <c r="A940" s="17" t="s">
        <v>3434</v>
      </c>
      <c r="B940" s="17" t="s">
        <v>1743</v>
      </c>
      <c r="C940" s="17" t="s">
        <v>1744</v>
      </c>
      <c r="D940" s="17" t="s">
        <v>1744</v>
      </c>
      <c r="E940" s="17" t="s">
        <v>79</v>
      </c>
      <c r="F940" s="17" t="s">
        <v>68</v>
      </c>
      <c r="G940" s="17" t="s">
        <v>68</v>
      </c>
      <c r="H940" s="17">
        <v>337729</v>
      </c>
      <c r="I940" s="17">
        <v>347340</v>
      </c>
      <c r="J940" s="80">
        <v>165.40074000000001</v>
      </c>
      <c r="K940" s="80">
        <v>-21.07132</v>
      </c>
      <c r="L940" s="71">
        <v>225</v>
      </c>
      <c r="M940" s="73">
        <v>1</v>
      </c>
      <c r="N940" s="73">
        <v>1</v>
      </c>
      <c r="O940" s="73">
        <v>0</v>
      </c>
      <c r="P940" s="17" t="s">
        <v>47</v>
      </c>
      <c r="Q940" t="str">
        <f>LEFT(B940,3)</f>
        <v>PON</v>
      </c>
    </row>
    <row r="941" spans="1:17">
      <c r="A941" s="17" t="s">
        <v>3435</v>
      </c>
      <c r="B941" s="17" t="s">
        <v>1743</v>
      </c>
      <c r="C941" s="17" t="s">
        <v>1744</v>
      </c>
      <c r="D941" s="17" t="s">
        <v>1744</v>
      </c>
      <c r="E941" s="17" t="s">
        <v>79</v>
      </c>
      <c r="F941" s="17" t="s">
        <v>68</v>
      </c>
      <c r="G941" s="17" t="s">
        <v>68</v>
      </c>
      <c r="H941" s="17">
        <v>337729</v>
      </c>
      <c r="I941" s="17">
        <v>347340</v>
      </c>
      <c r="J941" s="80">
        <v>165.40074000000001</v>
      </c>
      <c r="K941" s="80">
        <v>-21.07132</v>
      </c>
      <c r="L941" s="71">
        <v>310</v>
      </c>
      <c r="M941" s="73">
        <v>1</v>
      </c>
      <c r="N941" s="73">
        <v>1</v>
      </c>
      <c r="O941" s="73">
        <v>0</v>
      </c>
      <c r="P941" s="17" t="s">
        <v>47</v>
      </c>
      <c r="Q941" t="str">
        <f>LEFT(B941,3)</f>
        <v>PON</v>
      </c>
    </row>
    <row r="942" spans="1:17">
      <c r="A942" s="17" t="s">
        <v>3436</v>
      </c>
      <c r="B942" s="17" t="s">
        <v>1747</v>
      </c>
      <c r="C942" s="17" t="s">
        <v>1748</v>
      </c>
      <c r="D942" s="17" t="s">
        <v>1749</v>
      </c>
      <c r="E942" s="17" t="s">
        <v>402</v>
      </c>
      <c r="F942" s="17" t="s">
        <v>68</v>
      </c>
      <c r="G942" s="17" t="s">
        <v>68</v>
      </c>
      <c r="H942" s="19">
        <v>335561</v>
      </c>
      <c r="I942" s="19">
        <v>335502</v>
      </c>
      <c r="J942" s="80">
        <v>165.37942000000001</v>
      </c>
      <c r="K942" s="80">
        <v>-21.178170000000001</v>
      </c>
      <c r="L942" s="71">
        <v>55</v>
      </c>
      <c r="M942" s="73">
        <v>1</v>
      </c>
      <c r="N942" s="73">
        <v>1</v>
      </c>
      <c r="O942" s="73">
        <v>0</v>
      </c>
      <c r="P942" s="17" t="s">
        <v>47</v>
      </c>
      <c r="Q942" t="str">
        <f>LEFT(B942,3)</f>
        <v>POO</v>
      </c>
    </row>
    <row r="943" spans="1:17">
      <c r="A943" s="17" t="s">
        <v>3437</v>
      </c>
      <c r="B943" s="17" t="s">
        <v>1750</v>
      </c>
      <c r="C943" s="13" t="s">
        <v>107</v>
      </c>
      <c r="D943" s="13" t="s">
        <v>107</v>
      </c>
      <c r="E943" s="17" t="s">
        <v>978</v>
      </c>
      <c r="F943" s="17" t="s">
        <v>68</v>
      </c>
      <c r="G943" s="17" t="s">
        <v>68</v>
      </c>
      <c r="H943" s="7">
        <v>319726.76841000002</v>
      </c>
      <c r="I943" s="7">
        <v>377565.44183000003</v>
      </c>
      <c r="J943" s="80">
        <v>165.228932579972</v>
      </c>
      <c r="K943" s="80">
        <v>-20.797598208617099</v>
      </c>
      <c r="L943" s="71">
        <v>150</v>
      </c>
      <c r="M943" s="73">
        <v>1</v>
      </c>
      <c r="N943" s="73">
        <v>1</v>
      </c>
      <c r="O943" s="73">
        <v>1</v>
      </c>
      <c r="P943" s="17" t="s">
        <v>47</v>
      </c>
      <c r="Q943" t="str">
        <f>LEFT(B943,3)</f>
        <v>POP</v>
      </c>
    </row>
    <row r="944" spans="1:17">
      <c r="A944" s="17" t="s">
        <v>3438</v>
      </c>
      <c r="B944" s="17" t="s">
        <v>1750</v>
      </c>
      <c r="C944" s="13" t="s">
        <v>107</v>
      </c>
      <c r="D944" s="13" t="s">
        <v>107</v>
      </c>
      <c r="E944" s="17" t="s">
        <v>978</v>
      </c>
      <c r="F944" s="17" t="s">
        <v>68</v>
      </c>
      <c r="G944" s="17" t="s">
        <v>68</v>
      </c>
      <c r="H944" s="7">
        <v>319726.76841000002</v>
      </c>
      <c r="I944" s="7">
        <v>377565.44183000003</v>
      </c>
      <c r="J944" s="80">
        <v>165.228932579972</v>
      </c>
      <c r="K944" s="80">
        <v>-20.797598208617099</v>
      </c>
      <c r="L944" s="71">
        <v>290</v>
      </c>
      <c r="M944" s="73">
        <v>1</v>
      </c>
      <c r="N944" s="73">
        <v>1</v>
      </c>
      <c r="O944" s="73">
        <v>1</v>
      </c>
      <c r="P944" s="17" t="s">
        <v>47</v>
      </c>
      <c r="Q944" t="str">
        <f>LEFT(B944,3)</f>
        <v>POP</v>
      </c>
    </row>
    <row r="945" spans="1:17">
      <c r="A945" s="17" t="s">
        <v>3439</v>
      </c>
      <c r="B945" s="17" t="s">
        <v>1753</v>
      </c>
      <c r="C945" s="17" t="s">
        <v>1754</v>
      </c>
      <c r="D945" s="17" t="s">
        <v>1755</v>
      </c>
      <c r="E945" s="17" t="s">
        <v>602</v>
      </c>
      <c r="F945" s="17" t="s">
        <v>43</v>
      </c>
      <c r="G945" s="17" t="s">
        <v>43</v>
      </c>
      <c r="H945" s="7">
        <v>390414</v>
      </c>
      <c r="I945" s="7">
        <v>275517</v>
      </c>
      <c r="J945" s="79">
        <v>165.90733900000001</v>
      </c>
      <c r="K945" s="79">
        <v>-21.721112000000002</v>
      </c>
      <c r="L945" s="71">
        <v>90</v>
      </c>
      <c r="M945" s="73">
        <v>1</v>
      </c>
      <c r="N945" s="73">
        <v>1</v>
      </c>
      <c r="O945" s="73">
        <v>0</v>
      </c>
      <c r="P945" s="17" t="s">
        <v>47</v>
      </c>
      <c r="Q945" t="str">
        <f>LEFT(B945,3)</f>
        <v>POQ</v>
      </c>
    </row>
    <row r="946" spans="1:17">
      <c r="A946" s="17" t="s">
        <v>3440</v>
      </c>
      <c r="B946" s="17" t="s">
        <v>1753</v>
      </c>
      <c r="C946" s="17" t="s">
        <v>1754</v>
      </c>
      <c r="D946" s="17" t="s">
        <v>1755</v>
      </c>
      <c r="E946" s="17" t="s">
        <v>602</v>
      </c>
      <c r="F946" s="17" t="s">
        <v>43</v>
      </c>
      <c r="G946" s="17" t="s">
        <v>43</v>
      </c>
      <c r="H946" s="7">
        <v>390414</v>
      </c>
      <c r="I946" s="7">
        <v>275517</v>
      </c>
      <c r="J946" s="79">
        <v>165.90733900000001</v>
      </c>
      <c r="K946" s="79">
        <v>-21.721112000000002</v>
      </c>
      <c r="L946" s="71">
        <v>230</v>
      </c>
      <c r="M946" s="73">
        <v>1</v>
      </c>
      <c r="N946" s="73">
        <v>1</v>
      </c>
      <c r="O946" s="73">
        <v>0</v>
      </c>
      <c r="P946" s="17" t="s">
        <v>47</v>
      </c>
      <c r="Q946" t="str">
        <f>LEFT(B946,3)</f>
        <v>POQ</v>
      </c>
    </row>
    <row r="947" spans="1:17">
      <c r="A947" s="17" t="s">
        <v>3441</v>
      </c>
      <c r="B947" s="17" t="s">
        <v>1753</v>
      </c>
      <c r="C947" s="17" t="s">
        <v>1754</v>
      </c>
      <c r="D947" s="17" t="s">
        <v>1755</v>
      </c>
      <c r="E947" s="17" t="s">
        <v>602</v>
      </c>
      <c r="F947" s="17" t="s">
        <v>43</v>
      </c>
      <c r="G947" s="17" t="s">
        <v>43</v>
      </c>
      <c r="H947" s="7">
        <v>390414</v>
      </c>
      <c r="I947" s="7">
        <v>275517</v>
      </c>
      <c r="J947" s="79">
        <v>165.90733900000001</v>
      </c>
      <c r="K947" s="79">
        <v>-21.721112000000002</v>
      </c>
      <c r="L947" s="71">
        <v>300</v>
      </c>
      <c r="M947" s="73">
        <v>1</v>
      </c>
      <c r="N947" s="73">
        <v>1</v>
      </c>
      <c r="O947" s="73">
        <v>0</v>
      </c>
      <c r="P947" s="17" t="s">
        <v>47</v>
      </c>
      <c r="Q947" t="str">
        <f>LEFT(B947,3)</f>
        <v>POQ</v>
      </c>
    </row>
    <row r="948" spans="1:17">
      <c r="A948" s="17" t="s">
        <v>3442</v>
      </c>
      <c r="B948" s="17" t="s">
        <v>1757</v>
      </c>
      <c r="C948" s="13" t="s">
        <v>1758</v>
      </c>
      <c r="D948" s="13" t="s">
        <v>1759</v>
      </c>
      <c r="E948" s="17" t="s">
        <v>402</v>
      </c>
      <c r="F948" s="17" t="s">
        <v>68</v>
      </c>
      <c r="G948" s="17" t="s">
        <v>68</v>
      </c>
      <c r="H948" s="7">
        <v>369911</v>
      </c>
      <c r="I948" s="7">
        <v>322004</v>
      </c>
      <c r="J948" s="8">
        <v>165.70998599999999</v>
      </c>
      <c r="K948" s="8">
        <v>-21.300996000000001</v>
      </c>
      <c r="L948" s="71">
        <v>137</v>
      </c>
      <c r="M948" s="73">
        <v>1</v>
      </c>
      <c r="N948" s="73">
        <v>1</v>
      </c>
      <c r="O948" s="73">
        <v>0</v>
      </c>
      <c r="P948" s="17" t="s">
        <v>47</v>
      </c>
      <c r="Q948" t="str">
        <f>LEFT(B948,3)</f>
        <v>POR</v>
      </c>
    </row>
    <row r="949" spans="1:17">
      <c r="A949" s="17" t="s">
        <v>3443</v>
      </c>
      <c r="B949" s="17" t="s">
        <v>1757</v>
      </c>
      <c r="C949" s="13" t="s">
        <v>1758</v>
      </c>
      <c r="D949" s="13" t="s">
        <v>1759</v>
      </c>
      <c r="E949" s="17" t="s">
        <v>402</v>
      </c>
      <c r="F949" s="17" t="s">
        <v>68</v>
      </c>
      <c r="G949" s="17" t="s">
        <v>68</v>
      </c>
      <c r="H949" s="7">
        <v>369911</v>
      </c>
      <c r="I949" s="7">
        <v>322004</v>
      </c>
      <c r="J949" s="8">
        <v>165.70998599999999</v>
      </c>
      <c r="K949" s="8">
        <v>-21.300996000000001</v>
      </c>
      <c r="L949" s="71">
        <v>220</v>
      </c>
      <c r="M949" s="73">
        <v>1</v>
      </c>
      <c r="N949" s="73">
        <v>1</v>
      </c>
      <c r="O949" s="73">
        <v>0</v>
      </c>
      <c r="P949" s="17" t="s">
        <v>47</v>
      </c>
      <c r="Q949" t="str">
        <f>LEFT(B949,3)</f>
        <v>POR</v>
      </c>
    </row>
    <row r="950" spans="1:17">
      <c r="A950" s="17" t="s">
        <v>3444</v>
      </c>
      <c r="B950" s="17" t="s">
        <v>1761</v>
      </c>
      <c r="C950" s="13" t="s">
        <v>1763</v>
      </c>
      <c r="D950" s="13" t="s">
        <v>1763</v>
      </c>
      <c r="E950" s="17" t="s">
        <v>402</v>
      </c>
      <c r="F950" s="17" t="s">
        <v>68</v>
      </c>
      <c r="G950" s="17" t="s">
        <v>68</v>
      </c>
      <c r="H950" s="7">
        <v>371416</v>
      </c>
      <c r="I950" s="7">
        <v>321872</v>
      </c>
      <c r="J950" s="80">
        <v>165.72449</v>
      </c>
      <c r="K950" s="80">
        <v>-21.302212999999998</v>
      </c>
      <c r="L950" s="71">
        <v>63</v>
      </c>
      <c r="M950" s="73">
        <v>1</v>
      </c>
      <c r="N950" s="73">
        <v>1</v>
      </c>
      <c r="O950" s="73">
        <v>0</v>
      </c>
      <c r="P950" s="17" t="s">
        <v>47</v>
      </c>
      <c r="Q950" t="str">
        <f>LEFT(B950,3)</f>
        <v>POT</v>
      </c>
    </row>
    <row r="951" spans="1:17">
      <c r="A951" s="17" t="s">
        <v>3445</v>
      </c>
      <c r="B951" s="17" t="s">
        <v>1761</v>
      </c>
      <c r="C951" s="13" t="s">
        <v>1763</v>
      </c>
      <c r="D951" s="13" t="s">
        <v>1763</v>
      </c>
      <c r="E951" s="17" t="s">
        <v>402</v>
      </c>
      <c r="F951" s="17" t="s">
        <v>68</v>
      </c>
      <c r="G951" s="17" t="s">
        <v>68</v>
      </c>
      <c r="H951" s="7">
        <v>371416</v>
      </c>
      <c r="I951" s="7">
        <v>321872</v>
      </c>
      <c r="J951" s="80">
        <v>165.72449</v>
      </c>
      <c r="K951" s="80">
        <v>-21.302212999999998</v>
      </c>
      <c r="L951" s="71">
        <v>275</v>
      </c>
      <c r="M951" s="73">
        <v>1</v>
      </c>
      <c r="N951" s="73">
        <v>1</v>
      </c>
      <c r="O951" s="73">
        <v>0</v>
      </c>
      <c r="P951" s="17" t="s">
        <v>47</v>
      </c>
      <c r="Q951" t="str">
        <f>LEFT(B951,3)</f>
        <v>POT</v>
      </c>
    </row>
    <row r="952" spans="1:17">
      <c r="A952" s="17" t="s">
        <v>3446</v>
      </c>
      <c r="B952" s="17" t="s">
        <v>1765</v>
      </c>
      <c r="C952" s="17" t="s">
        <v>1766</v>
      </c>
      <c r="D952" s="17" t="s">
        <v>1767</v>
      </c>
      <c r="E952" s="17" t="s">
        <v>191</v>
      </c>
      <c r="F952" s="17" t="s">
        <v>43</v>
      </c>
      <c r="G952" s="17" t="s">
        <v>43</v>
      </c>
      <c r="H952" s="22">
        <v>349280</v>
      </c>
      <c r="I952" s="22">
        <v>300544</v>
      </c>
      <c r="J952" s="80">
        <v>165.51048700000001</v>
      </c>
      <c r="K952" s="83">
        <v>-21.494368999999999</v>
      </c>
      <c r="L952" s="71">
        <v>0</v>
      </c>
      <c r="M952" s="73">
        <v>1</v>
      </c>
      <c r="N952" s="73">
        <v>1</v>
      </c>
      <c r="O952" s="73">
        <v>0</v>
      </c>
      <c r="P952" s="17" t="s">
        <v>47</v>
      </c>
      <c r="Q952" t="str">
        <f>LEFT(B952,3)</f>
        <v>POU</v>
      </c>
    </row>
    <row r="953" spans="1:17">
      <c r="A953" s="17" t="s">
        <v>3447</v>
      </c>
      <c r="B953" s="17" t="s">
        <v>1769</v>
      </c>
      <c r="C953" s="13" t="s">
        <v>1770</v>
      </c>
      <c r="D953" s="13" t="s">
        <v>1770</v>
      </c>
      <c r="E953" s="17" t="s">
        <v>148</v>
      </c>
      <c r="F953" s="17" t="s">
        <v>68</v>
      </c>
      <c r="G953" s="17" t="s">
        <v>68</v>
      </c>
      <c r="H953" s="7">
        <v>313580.11940999998</v>
      </c>
      <c r="I953" s="7">
        <v>315595.65694000002</v>
      </c>
      <c r="J953" s="80">
        <v>165.16671536351899</v>
      </c>
      <c r="K953" s="80">
        <v>-21.357048426590001</v>
      </c>
      <c r="L953" s="71">
        <v>15</v>
      </c>
      <c r="M953" s="73">
        <v>2</v>
      </c>
      <c r="N953" s="73">
        <v>2</v>
      </c>
      <c r="O953" s="73">
        <v>1</v>
      </c>
      <c r="P953" s="17" t="s">
        <v>47</v>
      </c>
      <c r="Q953" t="str">
        <f>LEFT(B953,3)</f>
        <v>POY</v>
      </c>
    </row>
    <row r="954" spans="1:17">
      <c r="A954" s="17" t="s">
        <v>3448</v>
      </c>
      <c r="B954" s="17" t="s">
        <v>1769</v>
      </c>
      <c r="C954" s="13" t="s">
        <v>1770</v>
      </c>
      <c r="D954" s="13" t="s">
        <v>1770</v>
      </c>
      <c r="E954" s="17" t="s">
        <v>148</v>
      </c>
      <c r="F954" s="17" t="s">
        <v>68</v>
      </c>
      <c r="G954" s="17" t="s">
        <v>68</v>
      </c>
      <c r="H954" s="7">
        <v>313580.11940999998</v>
      </c>
      <c r="I954" s="7">
        <v>315595.65694000002</v>
      </c>
      <c r="J954" s="80">
        <v>165.16671536351899</v>
      </c>
      <c r="K954" s="80">
        <v>-21.357048426590001</v>
      </c>
      <c r="L954" s="71">
        <v>120</v>
      </c>
      <c r="M954" s="73">
        <v>1</v>
      </c>
      <c r="N954" s="73">
        <v>2</v>
      </c>
      <c r="O954" s="73">
        <v>1</v>
      </c>
      <c r="P954" s="17" t="s">
        <v>47</v>
      </c>
      <c r="Q954" t="str">
        <f>LEFT(B954,3)</f>
        <v>POY</v>
      </c>
    </row>
    <row r="955" spans="1:17">
      <c r="A955" s="17" t="s">
        <v>3449</v>
      </c>
      <c r="B955" s="17" t="s">
        <v>1769</v>
      </c>
      <c r="C955" s="13" t="s">
        <v>1770</v>
      </c>
      <c r="D955" s="13" t="s">
        <v>1770</v>
      </c>
      <c r="E955" s="17" t="s">
        <v>148</v>
      </c>
      <c r="F955" s="17" t="s">
        <v>68</v>
      </c>
      <c r="G955" s="17" t="s">
        <v>68</v>
      </c>
      <c r="H955" s="7">
        <v>313580.11940999998</v>
      </c>
      <c r="I955" s="7">
        <v>315595.65694000002</v>
      </c>
      <c r="J955" s="80">
        <v>165.16671536351899</v>
      </c>
      <c r="K955" s="80">
        <v>-21.357048426590001</v>
      </c>
      <c r="L955" s="71">
        <v>265</v>
      </c>
      <c r="M955" s="73">
        <v>2</v>
      </c>
      <c r="N955" s="73">
        <v>2</v>
      </c>
      <c r="O955" s="73">
        <v>1</v>
      </c>
      <c r="P955" s="17" t="s">
        <v>47</v>
      </c>
      <c r="Q955" t="str">
        <f>LEFT(B955,3)</f>
        <v>POY</v>
      </c>
    </row>
    <row r="956" spans="1:17">
      <c r="A956" s="17" t="s">
        <v>3450</v>
      </c>
      <c r="B956" s="17" t="s">
        <v>1772</v>
      </c>
      <c r="C956" s="13" t="s">
        <v>1774</v>
      </c>
      <c r="D956" s="13" t="s">
        <v>1774</v>
      </c>
      <c r="E956" s="17" t="s">
        <v>178</v>
      </c>
      <c r="F956" s="17" t="s">
        <v>68</v>
      </c>
      <c r="G956" s="17" t="s">
        <v>68</v>
      </c>
      <c r="H956" s="7">
        <v>295068.05092000001</v>
      </c>
      <c r="I956" s="7">
        <v>347204.72655000002</v>
      </c>
      <c r="J956" s="80">
        <v>164.990191023949</v>
      </c>
      <c r="K956" s="80">
        <v>-21.0705550811496</v>
      </c>
      <c r="L956" s="71">
        <v>50</v>
      </c>
      <c r="M956" s="73">
        <v>2</v>
      </c>
      <c r="N956" s="73">
        <v>1</v>
      </c>
      <c r="O956" s="73">
        <v>1</v>
      </c>
      <c r="P956" s="17" t="s">
        <v>47</v>
      </c>
      <c r="Q956" t="str">
        <f>LEFT(B956,3)</f>
        <v>PPA</v>
      </c>
    </row>
    <row r="957" spans="1:17">
      <c r="A957" s="17" t="s">
        <v>3451</v>
      </c>
      <c r="B957" s="17" t="s">
        <v>1772</v>
      </c>
      <c r="C957" s="13" t="s">
        <v>1774</v>
      </c>
      <c r="D957" s="13" t="s">
        <v>1774</v>
      </c>
      <c r="E957" s="17" t="s">
        <v>178</v>
      </c>
      <c r="F957" s="17" t="s">
        <v>68</v>
      </c>
      <c r="G957" s="17" t="s">
        <v>68</v>
      </c>
      <c r="H957" s="7">
        <v>295068.05092000001</v>
      </c>
      <c r="I957" s="7">
        <v>347204.72655000002</v>
      </c>
      <c r="J957" s="80">
        <v>164.990191023949</v>
      </c>
      <c r="K957" s="80">
        <v>-21.0705550811496</v>
      </c>
      <c r="L957" s="71">
        <v>140</v>
      </c>
      <c r="M957" s="73">
        <v>2</v>
      </c>
      <c r="N957" s="73">
        <v>1</v>
      </c>
      <c r="O957" s="73">
        <v>1</v>
      </c>
      <c r="P957" s="17" t="s">
        <v>47</v>
      </c>
      <c r="Q957" t="str">
        <f>LEFT(B957,3)</f>
        <v>PPA</v>
      </c>
    </row>
    <row r="958" spans="1:17">
      <c r="A958" s="17" t="s">
        <v>3452</v>
      </c>
      <c r="B958" s="17" t="s">
        <v>1772</v>
      </c>
      <c r="C958" s="13" t="s">
        <v>1774</v>
      </c>
      <c r="D958" s="13" t="s">
        <v>1774</v>
      </c>
      <c r="E958" s="17" t="s">
        <v>178</v>
      </c>
      <c r="F958" s="17" t="s">
        <v>68</v>
      </c>
      <c r="G958" s="17" t="s">
        <v>68</v>
      </c>
      <c r="H958" s="7">
        <v>295068.05092000001</v>
      </c>
      <c r="I958" s="7">
        <v>347204.72655000002</v>
      </c>
      <c r="J958" s="80">
        <v>164.990191023949</v>
      </c>
      <c r="K958" s="80">
        <v>-21.0705550811496</v>
      </c>
      <c r="L958" s="71">
        <v>235</v>
      </c>
      <c r="M958" s="73">
        <v>2</v>
      </c>
      <c r="N958" s="73">
        <v>1</v>
      </c>
      <c r="O958" s="73">
        <v>1</v>
      </c>
      <c r="P958" s="17" t="s">
        <v>47</v>
      </c>
      <c r="Q958" t="str">
        <f>LEFT(B958,3)</f>
        <v>PPA</v>
      </c>
    </row>
    <row r="959" spans="1:17">
      <c r="A959" s="17" t="s">
        <v>3453</v>
      </c>
      <c r="B959" s="17" t="s">
        <v>1777</v>
      </c>
      <c r="C959" s="13" t="s">
        <v>1778</v>
      </c>
      <c r="D959" s="13" t="s">
        <v>1778</v>
      </c>
      <c r="E959" s="17" t="s">
        <v>421</v>
      </c>
      <c r="F959" s="17" t="s">
        <v>43</v>
      </c>
      <c r="G959" s="17" t="s">
        <v>43</v>
      </c>
      <c r="H959" s="7">
        <v>370177.07104000001</v>
      </c>
      <c r="I959" s="7">
        <v>276167.74372000003</v>
      </c>
      <c r="J959" s="80">
        <v>165.71173525207001</v>
      </c>
      <c r="K959" s="80">
        <v>-21.7150096936865</v>
      </c>
      <c r="L959" s="71">
        <v>45</v>
      </c>
      <c r="M959" s="73">
        <v>1</v>
      </c>
      <c r="N959" s="73">
        <v>1</v>
      </c>
      <c r="O959" s="73">
        <v>1</v>
      </c>
      <c r="P959" s="17" t="s">
        <v>47</v>
      </c>
      <c r="Q959" t="str">
        <f>LEFT(B959,3)</f>
        <v>PRA</v>
      </c>
    </row>
    <row r="960" spans="1:17">
      <c r="A960" s="17" t="s">
        <v>3454</v>
      </c>
      <c r="B960" s="17" t="s">
        <v>1777</v>
      </c>
      <c r="C960" s="13" t="s">
        <v>1778</v>
      </c>
      <c r="D960" s="13" t="s">
        <v>1778</v>
      </c>
      <c r="E960" s="17" t="s">
        <v>421</v>
      </c>
      <c r="F960" s="17" t="s">
        <v>43</v>
      </c>
      <c r="G960" s="17" t="s">
        <v>43</v>
      </c>
      <c r="H960" s="7">
        <v>370177.07104000001</v>
      </c>
      <c r="I960" s="7">
        <v>276167.74372000003</v>
      </c>
      <c r="J960" s="80">
        <v>165.71173525207001</v>
      </c>
      <c r="K960" s="80">
        <v>-21.7150096936865</v>
      </c>
      <c r="L960" s="71">
        <v>180</v>
      </c>
      <c r="M960" s="73">
        <v>1</v>
      </c>
      <c r="N960" s="73">
        <v>1</v>
      </c>
      <c r="O960" s="73">
        <v>1</v>
      </c>
      <c r="P960" s="17" t="s">
        <v>47</v>
      </c>
      <c r="Q960" t="str">
        <f>LEFT(B960,3)</f>
        <v>PRA</v>
      </c>
    </row>
    <row r="961" spans="1:17">
      <c r="A961" s="17" t="s">
        <v>3455</v>
      </c>
      <c r="B961" s="17" t="s">
        <v>1777</v>
      </c>
      <c r="C961" s="13" t="s">
        <v>1778</v>
      </c>
      <c r="D961" s="13" t="s">
        <v>1778</v>
      </c>
      <c r="E961" s="17" t="s">
        <v>421</v>
      </c>
      <c r="F961" s="17" t="s">
        <v>43</v>
      </c>
      <c r="G961" s="17" t="s">
        <v>43</v>
      </c>
      <c r="H961" s="7">
        <v>370177.07104000001</v>
      </c>
      <c r="I961" s="7">
        <v>276167.74372000003</v>
      </c>
      <c r="J961" s="80">
        <v>165.71173525207001</v>
      </c>
      <c r="K961" s="80">
        <v>-21.7150096936865</v>
      </c>
      <c r="L961" s="71">
        <v>295</v>
      </c>
      <c r="M961" s="73">
        <v>1</v>
      </c>
      <c r="N961" s="73">
        <v>1</v>
      </c>
      <c r="O961" s="73">
        <v>1</v>
      </c>
      <c r="P961" s="17" t="s">
        <v>47</v>
      </c>
      <c r="Q961" t="str">
        <f>LEFT(B961,3)</f>
        <v>PRA</v>
      </c>
    </row>
    <row r="962" spans="1:17">
      <c r="A962" s="17" t="s">
        <v>3456</v>
      </c>
      <c r="B962" s="17" t="s">
        <v>1781</v>
      </c>
      <c r="C962" s="6" t="s">
        <v>1782</v>
      </c>
      <c r="D962" s="6" t="s">
        <v>1783</v>
      </c>
      <c r="E962" s="17" t="s">
        <v>142</v>
      </c>
      <c r="F962" s="17" t="s">
        <v>43</v>
      </c>
      <c r="G962" s="17" t="s">
        <v>43</v>
      </c>
      <c r="H962" s="7">
        <v>469156</v>
      </c>
      <c r="I962" s="7">
        <v>232181</v>
      </c>
      <c r="J962" s="8">
        <v>166.67027100000001</v>
      </c>
      <c r="K962" s="8">
        <v>-22.111198999999999</v>
      </c>
      <c r="L962" s="71">
        <v>5</v>
      </c>
      <c r="M962" s="73">
        <v>1</v>
      </c>
      <c r="N962" s="73">
        <v>1</v>
      </c>
      <c r="O962" s="73">
        <v>0</v>
      </c>
      <c r="P962" s="17" t="s">
        <v>47</v>
      </c>
      <c r="Q962" t="str">
        <f>LEFT(B962,3)</f>
        <v>PRB</v>
      </c>
    </row>
    <row r="963" spans="1:17">
      <c r="A963" s="17" t="s">
        <v>3457</v>
      </c>
      <c r="B963" s="17" t="s">
        <v>1781</v>
      </c>
      <c r="C963" s="6" t="s">
        <v>1782</v>
      </c>
      <c r="D963" s="6" t="s">
        <v>1783</v>
      </c>
      <c r="E963" s="17" t="s">
        <v>142</v>
      </c>
      <c r="F963" s="17" t="s">
        <v>43</v>
      </c>
      <c r="G963" s="17" t="s">
        <v>43</v>
      </c>
      <c r="H963" s="7">
        <v>469156</v>
      </c>
      <c r="I963" s="7">
        <v>232181</v>
      </c>
      <c r="J963" s="8">
        <v>166.67027100000001</v>
      </c>
      <c r="K963" s="8">
        <v>-22.111198999999999</v>
      </c>
      <c r="L963" s="71">
        <v>70</v>
      </c>
      <c r="M963" s="73">
        <v>1</v>
      </c>
      <c r="N963" s="73">
        <v>1</v>
      </c>
      <c r="O963" s="73">
        <v>0</v>
      </c>
      <c r="P963" s="17" t="s">
        <v>47</v>
      </c>
      <c r="Q963" t="str">
        <f>LEFT(B963,3)</f>
        <v>PRB</v>
      </c>
    </row>
    <row r="964" spans="1:17">
      <c r="A964" s="17" t="s">
        <v>3458</v>
      </c>
      <c r="B964" s="17" t="s">
        <v>1781</v>
      </c>
      <c r="C964" s="6" t="s">
        <v>1782</v>
      </c>
      <c r="D964" s="6" t="s">
        <v>1783</v>
      </c>
      <c r="E964" s="17" t="s">
        <v>142</v>
      </c>
      <c r="F964" s="17" t="s">
        <v>43</v>
      </c>
      <c r="G964" s="17" t="s">
        <v>43</v>
      </c>
      <c r="H964" s="7">
        <v>469156</v>
      </c>
      <c r="I964" s="7">
        <v>232181</v>
      </c>
      <c r="J964" s="8">
        <v>166.67027100000001</v>
      </c>
      <c r="K964" s="8">
        <v>-22.111198999999999</v>
      </c>
      <c r="L964" s="71">
        <v>190</v>
      </c>
      <c r="M964" s="73">
        <v>1</v>
      </c>
      <c r="N964" s="73">
        <v>1</v>
      </c>
      <c r="O964" s="73">
        <v>0</v>
      </c>
      <c r="P964" s="17" t="s">
        <v>47</v>
      </c>
      <c r="Q964" t="str">
        <f>LEFT(B964,3)</f>
        <v>PRB</v>
      </c>
    </row>
    <row r="965" spans="1:17">
      <c r="A965" s="17" t="s">
        <v>3459</v>
      </c>
      <c r="B965" s="17" t="s">
        <v>1781</v>
      </c>
      <c r="C965" s="6" t="s">
        <v>1782</v>
      </c>
      <c r="D965" s="6" t="s">
        <v>1783</v>
      </c>
      <c r="E965" s="17" t="s">
        <v>142</v>
      </c>
      <c r="F965" s="17" t="s">
        <v>43</v>
      </c>
      <c r="G965" s="17" t="s">
        <v>43</v>
      </c>
      <c r="H965" s="7">
        <v>469156</v>
      </c>
      <c r="I965" s="7">
        <v>232181</v>
      </c>
      <c r="J965" s="8">
        <v>166.67027100000001</v>
      </c>
      <c r="K965" s="8">
        <v>-22.111198999999999</v>
      </c>
      <c r="L965" s="71">
        <v>290</v>
      </c>
      <c r="M965" s="73">
        <v>1</v>
      </c>
      <c r="N965" s="73">
        <v>1</v>
      </c>
      <c r="O965" s="73">
        <v>0</v>
      </c>
      <c r="P965" s="17" t="s">
        <v>47</v>
      </c>
      <c r="Q965" t="str">
        <f>LEFT(B965,3)</f>
        <v>PRB</v>
      </c>
    </row>
    <row r="966" spans="1:17">
      <c r="A966" s="17" t="s">
        <v>3460</v>
      </c>
      <c r="B966" s="17" t="s">
        <v>1785</v>
      </c>
      <c r="C966" s="13" t="s">
        <v>1786</v>
      </c>
      <c r="D966" s="13" t="s">
        <v>1787</v>
      </c>
      <c r="E966" s="17" t="s">
        <v>49</v>
      </c>
      <c r="F966" s="17" t="s">
        <v>43</v>
      </c>
      <c r="G966" s="17" t="s">
        <v>50</v>
      </c>
      <c r="H966" s="7">
        <v>449519</v>
      </c>
      <c r="I966" s="7">
        <v>223112</v>
      </c>
      <c r="J966" s="80">
        <v>166.48021800000001</v>
      </c>
      <c r="K966" s="80">
        <v>-22.193753999999998</v>
      </c>
      <c r="L966" s="71">
        <v>28</v>
      </c>
      <c r="M966" s="73">
        <v>1</v>
      </c>
      <c r="N966" s="73">
        <v>1</v>
      </c>
      <c r="O966" s="73">
        <v>0</v>
      </c>
      <c r="P966" s="17" t="s">
        <v>37</v>
      </c>
      <c r="Q966" t="str">
        <f>LEFT(B966,3)</f>
        <v>PRE</v>
      </c>
    </row>
    <row r="967" spans="1:17">
      <c r="A967" s="17" t="s">
        <v>3461</v>
      </c>
      <c r="B967" s="17" t="s">
        <v>1785</v>
      </c>
      <c r="C967" s="13" t="s">
        <v>1786</v>
      </c>
      <c r="D967" s="13" t="s">
        <v>1787</v>
      </c>
      <c r="E967" s="17" t="s">
        <v>49</v>
      </c>
      <c r="F967" s="17" t="s">
        <v>43</v>
      </c>
      <c r="G967" s="17" t="s">
        <v>50</v>
      </c>
      <c r="H967" s="7">
        <v>449519</v>
      </c>
      <c r="I967" s="7">
        <v>223112</v>
      </c>
      <c r="J967" s="80">
        <v>166.48021800000001</v>
      </c>
      <c r="K967" s="80">
        <v>-22.193753999999998</v>
      </c>
      <c r="L967" s="71">
        <v>120</v>
      </c>
      <c r="M967" s="73">
        <v>1</v>
      </c>
      <c r="N967" s="73">
        <v>1</v>
      </c>
      <c r="O967" s="73">
        <v>0</v>
      </c>
      <c r="P967" s="17" t="s">
        <v>37</v>
      </c>
      <c r="Q967" t="str">
        <f>LEFT(B967,3)</f>
        <v>PRE</v>
      </c>
    </row>
    <row r="968" spans="1:17">
      <c r="A968" s="17" t="s">
        <v>3462</v>
      </c>
      <c r="B968" s="17" t="s">
        <v>1785</v>
      </c>
      <c r="C968" s="13" t="s">
        <v>1786</v>
      </c>
      <c r="D968" s="13" t="s">
        <v>1787</v>
      </c>
      <c r="E968" s="17" t="s">
        <v>49</v>
      </c>
      <c r="F968" s="17" t="s">
        <v>43</v>
      </c>
      <c r="G968" s="17" t="s">
        <v>50</v>
      </c>
      <c r="H968" s="7">
        <v>449519</v>
      </c>
      <c r="I968" s="7">
        <v>223112</v>
      </c>
      <c r="J968" s="80">
        <v>166.48021800000001</v>
      </c>
      <c r="K968" s="80">
        <v>-22.193753999999998</v>
      </c>
      <c r="L968" s="71">
        <v>260</v>
      </c>
      <c r="M968" s="73">
        <v>1</v>
      </c>
      <c r="N968" s="73">
        <v>1</v>
      </c>
      <c r="O968" s="73">
        <v>0</v>
      </c>
      <c r="P968" s="17" t="s">
        <v>37</v>
      </c>
      <c r="Q968" t="str">
        <f>LEFT(B968,3)</f>
        <v>PRE</v>
      </c>
    </row>
    <row r="969" spans="1:17">
      <c r="A969" s="17" t="s">
        <v>3463</v>
      </c>
      <c r="B969" s="17" t="s">
        <v>1789</v>
      </c>
      <c r="C969" s="13" t="s">
        <v>1790</v>
      </c>
      <c r="D969" s="13" t="s">
        <v>460</v>
      </c>
      <c r="E969" s="17" t="s">
        <v>93</v>
      </c>
      <c r="F969" s="17" t="s">
        <v>43</v>
      </c>
      <c r="G969" s="17" t="s">
        <v>50</v>
      </c>
      <c r="H969" s="7">
        <v>461183</v>
      </c>
      <c r="I969" s="7">
        <v>212793</v>
      </c>
      <c r="J969" s="80">
        <v>166.59370999999999</v>
      </c>
      <c r="K969" s="80">
        <v>-22.286581000000002</v>
      </c>
      <c r="L969" s="71">
        <v>0</v>
      </c>
      <c r="M969" s="73">
        <v>1</v>
      </c>
      <c r="N969" s="73">
        <v>1</v>
      </c>
      <c r="O969" s="73">
        <v>0</v>
      </c>
      <c r="P969" s="17" t="s">
        <v>47</v>
      </c>
      <c r="Q969" t="str">
        <f>LEFT(B969,3)</f>
        <v>PRH</v>
      </c>
    </row>
    <row r="970" spans="1:17">
      <c r="A970" s="17" t="s">
        <v>3464</v>
      </c>
      <c r="B970" s="17" t="s">
        <v>1789</v>
      </c>
      <c r="C970" s="13" t="s">
        <v>1790</v>
      </c>
      <c r="D970" s="13" t="s">
        <v>460</v>
      </c>
      <c r="E970" s="17" t="s">
        <v>93</v>
      </c>
      <c r="F970" s="17" t="s">
        <v>43</v>
      </c>
      <c r="G970" s="17" t="s">
        <v>50</v>
      </c>
      <c r="H970" s="7">
        <v>461183</v>
      </c>
      <c r="I970" s="7">
        <v>212793</v>
      </c>
      <c r="J970" s="80">
        <v>166.59370999999999</v>
      </c>
      <c r="K970" s="80">
        <v>-22.286581000000002</v>
      </c>
      <c r="L970" s="71">
        <v>120</v>
      </c>
      <c r="M970" s="73">
        <v>1</v>
      </c>
      <c r="N970" s="73">
        <v>1</v>
      </c>
      <c r="O970" s="73">
        <v>0</v>
      </c>
      <c r="P970" s="17" t="s">
        <v>47</v>
      </c>
      <c r="Q970" t="str">
        <f>LEFT(B970,3)</f>
        <v>PRH</v>
      </c>
    </row>
    <row r="971" spans="1:17">
      <c r="A971" s="17" t="s">
        <v>3465</v>
      </c>
      <c r="B971" s="17" t="s">
        <v>1789</v>
      </c>
      <c r="C971" s="13" t="s">
        <v>1790</v>
      </c>
      <c r="D971" s="13" t="s">
        <v>460</v>
      </c>
      <c r="E971" s="17" t="s">
        <v>93</v>
      </c>
      <c r="F971" s="17" t="s">
        <v>43</v>
      </c>
      <c r="G971" s="17" t="s">
        <v>50</v>
      </c>
      <c r="H971" s="7">
        <v>461183</v>
      </c>
      <c r="I971" s="7">
        <v>212793</v>
      </c>
      <c r="J971" s="80">
        <v>166.59370999999999</v>
      </c>
      <c r="K971" s="80">
        <v>-22.286581000000002</v>
      </c>
      <c r="L971" s="71">
        <v>240</v>
      </c>
      <c r="M971" s="73">
        <v>1</v>
      </c>
      <c r="N971" s="73">
        <v>1</v>
      </c>
      <c r="O971" s="73">
        <v>0</v>
      </c>
      <c r="P971" s="17" t="s">
        <v>47</v>
      </c>
      <c r="Q971" t="str">
        <f>LEFT(B971,3)</f>
        <v>PRH</v>
      </c>
    </row>
    <row r="972" spans="1:17">
      <c r="A972" s="17" t="s">
        <v>3466</v>
      </c>
      <c r="B972" s="17" t="s">
        <v>1793</v>
      </c>
      <c r="C972" s="13" t="s">
        <v>112</v>
      </c>
      <c r="D972" s="13" t="s">
        <v>112</v>
      </c>
      <c r="E972" s="17" t="s">
        <v>98</v>
      </c>
      <c r="F972" s="17" t="s">
        <v>68</v>
      </c>
      <c r="G972" s="17" t="s">
        <v>68</v>
      </c>
      <c r="H972" s="7">
        <v>385467.03149000002</v>
      </c>
      <c r="I972" s="7">
        <v>300085.52402000001</v>
      </c>
      <c r="J972" s="80">
        <v>165.85973346794199</v>
      </c>
      <c r="K972" s="80">
        <v>-21.4991643177393</v>
      </c>
      <c r="L972" s="71">
        <v>80</v>
      </c>
      <c r="M972" s="73">
        <v>1</v>
      </c>
      <c r="N972" s="73">
        <v>2</v>
      </c>
      <c r="O972" s="73">
        <v>1</v>
      </c>
      <c r="P972" s="17" t="s">
        <v>47</v>
      </c>
      <c r="Q972" t="str">
        <f>LEFT(B972,3)</f>
        <v>PRK</v>
      </c>
    </row>
    <row r="973" spans="1:17">
      <c r="A973" s="17" t="s">
        <v>3467</v>
      </c>
      <c r="B973" s="17" t="s">
        <v>1793</v>
      </c>
      <c r="C973" s="13" t="s">
        <v>112</v>
      </c>
      <c r="D973" s="13" t="s">
        <v>112</v>
      </c>
      <c r="E973" s="17" t="s">
        <v>98</v>
      </c>
      <c r="F973" s="17" t="s">
        <v>68</v>
      </c>
      <c r="G973" s="17" t="s">
        <v>68</v>
      </c>
      <c r="H973" s="7">
        <v>385467.03149000002</v>
      </c>
      <c r="I973" s="7">
        <v>300085.52402000001</v>
      </c>
      <c r="J973" s="80">
        <v>165.85973346794199</v>
      </c>
      <c r="K973" s="80">
        <v>-21.4991643177393</v>
      </c>
      <c r="L973" s="71">
        <v>145</v>
      </c>
      <c r="M973" s="73">
        <v>1</v>
      </c>
      <c r="N973" s="73">
        <v>2</v>
      </c>
      <c r="O973" s="73">
        <v>1</v>
      </c>
      <c r="P973" s="17" t="s">
        <v>47</v>
      </c>
      <c r="Q973" t="str">
        <f>LEFT(B973,3)</f>
        <v>PRK</v>
      </c>
    </row>
    <row r="974" spans="1:17">
      <c r="A974" s="17" t="s">
        <v>3468</v>
      </c>
      <c r="B974" s="17" t="s">
        <v>1793</v>
      </c>
      <c r="C974" s="13" t="s">
        <v>112</v>
      </c>
      <c r="D974" s="13" t="s">
        <v>112</v>
      </c>
      <c r="E974" s="17" t="s">
        <v>98</v>
      </c>
      <c r="F974" s="17" t="s">
        <v>68</v>
      </c>
      <c r="G974" s="17" t="s">
        <v>68</v>
      </c>
      <c r="H974" s="7">
        <v>385467.03149000002</v>
      </c>
      <c r="I974" s="7">
        <v>300085.52402000001</v>
      </c>
      <c r="J974" s="80">
        <v>165.85973346794199</v>
      </c>
      <c r="K974" s="80">
        <v>-21.4991643177393</v>
      </c>
      <c r="L974" s="71">
        <v>245</v>
      </c>
      <c r="M974" s="73">
        <v>1</v>
      </c>
      <c r="N974" s="73">
        <v>2</v>
      </c>
      <c r="O974" s="73">
        <v>1</v>
      </c>
      <c r="P974" s="17" t="s">
        <v>47</v>
      </c>
      <c r="Q974" t="str">
        <f>LEFT(B974,3)</f>
        <v>PRK</v>
      </c>
    </row>
    <row r="975" spans="1:17">
      <c r="A975" s="17" t="s">
        <v>3469</v>
      </c>
      <c r="B975" s="17" t="s">
        <v>1796</v>
      </c>
      <c r="C975" s="13" t="s">
        <v>3470</v>
      </c>
      <c r="D975" s="13" t="s">
        <v>3471</v>
      </c>
      <c r="E975" s="17" t="s">
        <v>178</v>
      </c>
      <c r="F975" s="17" t="s">
        <v>68</v>
      </c>
      <c r="G975" s="17" t="s">
        <v>68</v>
      </c>
      <c r="H975" s="7">
        <v>288258</v>
      </c>
      <c r="I975" s="7">
        <v>341345</v>
      </c>
      <c r="J975" s="80">
        <v>164.92426920606201</v>
      </c>
      <c r="K975" s="80">
        <v>-21.123074966944799</v>
      </c>
      <c r="L975" s="71">
        <v>23</v>
      </c>
      <c r="M975" s="73">
        <v>2</v>
      </c>
      <c r="N975" s="73">
        <v>3</v>
      </c>
      <c r="O975" s="73">
        <v>0</v>
      </c>
      <c r="P975" s="17" t="s">
        <v>47</v>
      </c>
      <c r="Q975" t="str">
        <f>LEFT(B975,3)</f>
        <v>PRP</v>
      </c>
    </row>
    <row r="976" spans="1:17">
      <c r="A976" s="17" t="s">
        <v>3472</v>
      </c>
      <c r="B976" s="17" t="s">
        <v>1796</v>
      </c>
      <c r="C976" s="13" t="s">
        <v>3470</v>
      </c>
      <c r="D976" s="13" t="s">
        <v>3471</v>
      </c>
      <c r="E976" s="17" t="s">
        <v>178</v>
      </c>
      <c r="F976" s="17" t="s">
        <v>68</v>
      </c>
      <c r="G976" s="17" t="s">
        <v>68</v>
      </c>
      <c r="H976" s="7">
        <v>288258</v>
      </c>
      <c r="I976" s="7">
        <v>341345</v>
      </c>
      <c r="J976" s="80">
        <v>164.92426920606201</v>
      </c>
      <c r="K976" s="80">
        <v>-21.123074966944799</v>
      </c>
      <c r="L976" s="71">
        <v>180</v>
      </c>
      <c r="M976" s="73">
        <v>2</v>
      </c>
      <c r="N976" s="73">
        <v>2</v>
      </c>
      <c r="O976" s="73">
        <v>0</v>
      </c>
      <c r="P976" s="17" t="s">
        <v>47</v>
      </c>
      <c r="Q976" t="str">
        <f>LEFT(B976,3)</f>
        <v>PRP</v>
      </c>
    </row>
    <row r="977" spans="1:17">
      <c r="A977" s="17" t="s">
        <v>3473</v>
      </c>
      <c r="B977" s="17" t="s">
        <v>1796</v>
      </c>
      <c r="C977" s="13" t="s">
        <v>3470</v>
      </c>
      <c r="D977" s="13" t="s">
        <v>3471</v>
      </c>
      <c r="E977" s="17" t="s">
        <v>178</v>
      </c>
      <c r="F977" s="17" t="s">
        <v>68</v>
      </c>
      <c r="G977" s="17" t="s">
        <v>68</v>
      </c>
      <c r="H977" s="7">
        <v>288258</v>
      </c>
      <c r="I977" s="7">
        <v>341345</v>
      </c>
      <c r="J977" s="80">
        <v>164.92426920606201</v>
      </c>
      <c r="K977" s="80">
        <v>-21.123074966944799</v>
      </c>
      <c r="L977" s="71">
        <v>267</v>
      </c>
      <c r="M977" s="73">
        <v>2</v>
      </c>
      <c r="N977" s="73">
        <v>3</v>
      </c>
      <c r="O977" s="73">
        <v>0</v>
      </c>
      <c r="P977" s="17" t="s">
        <v>47</v>
      </c>
      <c r="Q977" t="str">
        <f>LEFT(B977,3)</f>
        <v>PRP</v>
      </c>
    </row>
    <row r="978" spans="1:17">
      <c r="A978" s="17" t="s">
        <v>3474</v>
      </c>
      <c r="B978" s="17" t="s">
        <v>1800</v>
      </c>
      <c r="C978" s="13" t="s">
        <v>1801</v>
      </c>
      <c r="D978" s="13" t="s">
        <v>1801</v>
      </c>
      <c r="E978" s="17" t="s">
        <v>562</v>
      </c>
      <c r="F978" s="17" t="s">
        <v>43</v>
      </c>
      <c r="G978" s="17" t="s">
        <v>43</v>
      </c>
      <c r="H978" s="7">
        <v>416588.02065999998</v>
      </c>
      <c r="I978" s="7">
        <v>281070.43563000002</v>
      </c>
      <c r="J978" s="80">
        <v>166.16028871972</v>
      </c>
      <c r="K978" s="80">
        <v>-21.670905446975102</v>
      </c>
      <c r="L978" s="71">
        <v>30</v>
      </c>
      <c r="M978" s="73">
        <v>1</v>
      </c>
      <c r="N978" s="73">
        <v>1</v>
      </c>
      <c r="O978" s="73">
        <v>1</v>
      </c>
      <c r="P978" s="17" t="s">
        <v>47</v>
      </c>
      <c r="Q978" t="str">
        <f>LEFT(B978,3)</f>
        <v>PRU</v>
      </c>
    </row>
    <row r="979" spans="1:17">
      <c r="A979" s="17" t="s">
        <v>3475</v>
      </c>
      <c r="B979" s="17" t="s">
        <v>1800</v>
      </c>
      <c r="C979" s="13" t="s">
        <v>1801</v>
      </c>
      <c r="D979" s="13" t="s">
        <v>1801</v>
      </c>
      <c r="E979" s="17" t="s">
        <v>562</v>
      </c>
      <c r="F979" s="17" t="s">
        <v>43</v>
      </c>
      <c r="G979" s="17" t="s">
        <v>43</v>
      </c>
      <c r="H979" s="7">
        <v>416588.02065999998</v>
      </c>
      <c r="I979" s="7">
        <v>281070.43563000002</v>
      </c>
      <c r="J979" s="80">
        <v>166.16028871972</v>
      </c>
      <c r="K979" s="80">
        <v>-21.670905446975102</v>
      </c>
      <c r="L979" s="71">
        <v>260</v>
      </c>
      <c r="M979" s="73">
        <v>1</v>
      </c>
      <c r="N979" s="73">
        <v>1</v>
      </c>
      <c r="O979" s="73">
        <v>1</v>
      </c>
      <c r="P979" s="17" t="s">
        <v>47</v>
      </c>
      <c r="Q979" t="str">
        <f>LEFT(B979,3)</f>
        <v>PRU</v>
      </c>
    </row>
    <row r="980" spans="1:17">
      <c r="A980" s="17" t="s">
        <v>3476</v>
      </c>
      <c r="B980" s="17" t="s">
        <v>1800</v>
      </c>
      <c r="C980" s="13" t="s">
        <v>1801</v>
      </c>
      <c r="D980" s="13" t="s">
        <v>1801</v>
      </c>
      <c r="E980" s="17" t="s">
        <v>562</v>
      </c>
      <c r="F980" s="17" t="s">
        <v>43</v>
      </c>
      <c r="G980" s="17" t="s">
        <v>43</v>
      </c>
      <c r="H980" s="7">
        <v>416588.02389000001</v>
      </c>
      <c r="I980" s="7">
        <v>281069.93557999999</v>
      </c>
      <c r="J980" s="80">
        <v>166.16028871972</v>
      </c>
      <c r="K980" s="80">
        <v>-21.670905446975102</v>
      </c>
      <c r="L980" s="71">
        <v>315</v>
      </c>
      <c r="M980" s="73">
        <v>1</v>
      </c>
      <c r="N980" s="73">
        <v>1</v>
      </c>
      <c r="O980" s="73">
        <v>1</v>
      </c>
      <c r="P980" s="17" t="s">
        <v>47</v>
      </c>
      <c r="Q980" t="str">
        <f>LEFT(B980,3)</f>
        <v>PRU</v>
      </c>
    </row>
    <row r="981" spans="1:17">
      <c r="A981" s="17" t="s">
        <v>3477</v>
      </c>
      <c r="B981" s="17" t="s">
        <v>1804</v>
      </c>
      <c r="C981" s="13" t="s">
        <v>1805</v>
      </c>
      <c r="D981" s="13" t="s">
        <v>1806</v>
      </c>
      <c r="E981" s="17" t="s">
        <v>178</v>
      </c>
      <c r="F981" s="17" t="s">
        <v>68</v>
      </c>
      <c r="G981" s="17" t="s">
        <v>68</v>
      </c>
      <c r="H981" s="15">
        <v>283476</v>
      </c>
      <c r="I981" s="15">
        <v>335023</v>
      </c>
      <c r="J981" s="79">
        <v>164.87780000000001</v>
      </c>
      <c r="K981" s="79">
        <v>-21.179870000000001</v>
      </c>
      <c r="L981" s="71">
        <v>160</v>
      </c>
      <c r="M981" s="73">
        <v>1</v>
      </c>
      <c r="N981" s="73">
        <v>1</v>
      </c>
      <c r="O981" s="73">
        <v>0</v>
      </c>
      <c r="P981" s="17" t="s">
        <v>47</v>
      </c>
      <c r="Q981" t="str">
        <f>LEFT(B981,3)</f>
        <v>PTA</v>
      </c>
    </row>
    <row r="982" spans="1:17">
      <c r="A982" s="17" t="s">
        <v>3478</v>
      </c>
      <c r="B982" s="17" t="s">
        <v>1804</v>
      </c>
      <c r="C982" s="13" t="s">
        <v>1805</v>
      </c>
      <c r="D982" s="13" t="s">
        <v>1806</v>
      </c>
      <c r="E982" s="17" t="s">
        <v>178</v>
      </c>
      <c r="F982" s="17" t="s">
        <v>68</v>
      </c>
      <c r="G982" s="17" t="s">
        <v>68</v>
      </c>
      <c r="H982" s="15">
        <v>283476</v>
      </c>
      <c r="I982" s="15">
        <v>335023</v>
      </c>
      <c r="J982" s="79">
        <v>164.87780000000001</v>
      </c>
      <c r="K982" s="79">
        <v>-21.179870000000001</v>
      </c>
      <c r="L982" s="71">
        <v>344</v>
      </c>
      <c r="M982" s="73">
        <v>1</v>
      </c>
      <c r="N982" s="73">
        <v>1</v>
      </c>
      <c r="O982" s="73">
        <v>0</v>
      </c>
      <c r="P982" s="17" t="s">
        <v>47</v>
      </c>
      <c r="Q982" t="str">
        <f>LEFT(B982,3)</f>
        <v>PTA</v>
      </c>
    </row>
    <row r="983" spans="1:17">
      <c r="A983" s="17" t="s">
        <v>3479</v>
      </c>
      <c r="B983" s="17" t="s">
        <v>1808</v>
      </c>
      <c r="C983" s="13" t="s">
        <v>3480</v>
      </c>
      <c r="D983" s="13" t="s">
        <v>1074</v>
      </c>
      <c r="E983" s="17" t="s">
        <v>614</v>
      </c>
      <c r="F983" s="17" t="s">
        <v>43</v>
      </c>
      <c r="G983" s="17" t="s">
        <v>43</v>
      </c>
      <c r="H983" s="7">
        <v>372364.02919999999</v>
      </c>
      <c r="I983" s="7">
        <v>281573.17794000002</v>
      </c>
      <c r="J983" s="80">
        <v>165.73296367386499</v>
      </c>
      <c r="K983" s="80">
        <v>-21.666225852644001</v>
      </c>
      <c r="L983" s="71">
        <v>70</v>
      </c>
      <c r="M983" s="73">
        <v>1</v>
      </c>
      <c r="N983" s="73">
        <v>1</v>
      </c>
      <c r="O983" s="73">
        <v>1</v>
      </c>
      <c r="P983" s="17" t="s">
        <v>47</v>
      </c>
      <c r="Q983" t="str">
        <f>LEFT(B983,3)</f>
        <v>PTO</v>
      </c>
    </row>
    <row r="984" spans="1:17">
      <c r="A984" s="17" t="s">
        <v>3481</v>
      </c>
      <c r="B984" s="17" t="s">
        <v>1808</v>
      </c>
      <c r="C984" s="13" t="s">
        <v>3480</v>
      </c>
      <c r="D984" s="13" t="s">
        <v>1074</v>
      </c>
      <c r="E984" s="17" t="s">
        <v>614</v>
      </c>
      <c r="F984" s="17" t="s">
        <v>43</v>
      </c>
      <c r="G984" s="17" t="s">
        <v>43</v>
      </c>
      <c r="H984" s="7">
        <v>372364.02919999999</v>
      </c>
      <c r="I984" s="7">
        <v>281573.17794000002</v>
      </c>
      <c r="J984" s="80">
        <v>165.73296367386499</v>
      </c>
      <c r="K984" s="80">
        <v>-21.666225852644001</v>
      </c>
      <c r="L984" s="71">
        <v>260</v>
      </c>
      <c r="M984" s="73">
        <v>1</v>
      </c>
      <c r="N984" s="73">
        <v>1</v>
      </c>
      <c r="O984" s="73">
        <v>1</v>
      </c>
      <c r="P984" s="17" t="s">
        <v>47</v>
      </c>
      <c r="Q984" t="str">
        <f>LEFT(B984,3)</f>
        <v>PTO</v>
      </c>
    </row>
    <row r="985" spans="1:17">
      <c r="A985" s="17" t="s">
        <v>3482</v>
      </c>
      <c r="B985" s="17" t="s">
        <v>1808</v>
      </c>
      <c r="C985" s="13" t="s">
        <v>3480</v>
      </c>
      <c r="D985" s="13" t="s">
        <v>1074</v>
      </c>
      <c r="E985" s="17" t="s">
        <v>614</v>
      </c>
      <c r="F985" s="17" t="s">
        <v>43</v>
      </c>
      <c r="G985" s="17" t="s">
        <v>43</v>
      </c>
      <c r="H985" s="7">
        <v>372364.02919999999</v>
      </c>
      <c r="I985" s="7">
        <v>281573.17794000002</v>
      </c>
      <c r="J985" s="80">
        <v>165.73296367386499</v>
      </c>
      <c r="K985" s="80">
        <v>-21.666225852644001</v>
      </c>
      <c r="L985" s="71">
        <v>350</v>
      </c>
      <c r="M985" s="73">
        <v>1</v>
      </c>
      <c r="N985" s="73">
        <v>1</v>
      </c>
      <c r="O985" s="73">
        <v>1</v>
      </c>
      <c r="P985" s="17" t="s">
        <v>47</v>
      </c>
      <c r="Q985" t="str">
        <f>LEFT(B985,3)</f>
        <v>PTO</v>
      </c>
    </row>
    <row r="986" spans="1:17">
      <c r="A986" s="17" t="s">
        <v>3483</v>
      </c>
      <c r="B986" s="17" t="s">
        <v>1811</v>
      </c>
      <c r="C986" s="13" t="s">
        <v>1812</v>
      </c>
      <c r="D986" s="13" t="s">
        <v>1812</v>
      </c>
      <c r="E986" s="17" t="s">
        <v>142</v>
      </c>
      <c r="F986" s="17" t="s">
        <v>43</v>
      </c>
      <c r="G986" s="17" t="s">
        <v>43</v>
      </c>
      <c r="H986" s="7">
        <v>496061.06237</v>
      </c>
      <c r="I986" s="7">
        <v>233832.47164</v>
      </c>
      <c r="J986" s="80">
        <v>166.930938539051</v>
      </c>
      <c r="K986" s="80">
        <v>-22.0950436191596</v>
      </c>
      <c r="L986" s="71">
        <v>145</v>
      </c>
      <c r="M986" s="73">
        <v>1</v>
      </c>
      <c r="N986" s="73">
        <v>1</v>
      </c>
      <c r="O986" s="73">
        <v>1</v>
      </c>
      <c r="P986" s="17" t="s">
        <v>47</v>
      </c>
      <c r="Q986" t="str">
        <f>LEFT(B986,3)</f>
        <v>PUA</v>
      </c>
    </row>
    <row r="987" spans="1:17">
      <c r="A987" s="17" t="s">
        <v>3484</v>
      </c>
      <c r="B987" s="17" t="s">
        <v>1811</v>
      </c>
      <c r="C987" s="13" t="s">
        <v>1812</v>
      </c>
      <c r="D987" s="13" t="s">
        <v>1812</v>
      </c>
      <c r="E987" s="17" t="s">
        <v>142</v>
      </c>
      <c r="F987" s="17" t="s">
        <v>43</v>
      </c>
      <c r="G987" s="17" t="s">
        <v>43</v>
      </c>
      <c r="H987" s="7">
        <v>496061.06237</v>
      </c>
      <c r="I987" s="7">
        <v>233832.47164</v>
      </c>
      <c r="J987" s="80">
        <v>166.930938539051</v>
      </c>
      <c r="K987" s="80">
        <v>-22.0950436191596</v>
      </c>
      <c r="L987" s="71">
        <v>320</v>
      </c>
      <c r="M987" s="73">
        <v>1</v>
      </c>
      <c r="N987" s="73">
        <v>1</v>
      </c>
      <c r="O987" s="73">
        <v>1</v>
      </c>
      <c r="P987" s="17" t="s">
        <v>47</v>
      </c>
      <c r="Q987" t="str">
        <f>LEFT(B987,3)</f>
        <v>PUA</v>
      </c>
    </row>
    <row r="988" spans="1:17">
      <c r="A988" s="17" t="s">
        <v>3485</v>
      </c>
      <c r="B988" s="17" t="s">
        <v>1815</v>
      </c>
      <c r="C988" s="13" t="s">
        <v>123</v>
      </c>
      <c r="D988" s="13" t="s">
        <v>123</v>
      </c>
      <c r="E988" s="17" t="s">
        <v>123</v>
      </c>
      <c r="F988" s="17" t="s">
        <v>68</v>
      </c>
      <c r="G988" s="17" t="s">
        <v>68</v>
      </c>
      <c r="H988" s="7">
        <v>194420.42431</v>
      </c>
      <c r="I988" s="7">
        <v>438508.06557999999</v>
      </c>
      <c r="J988" s="80">
        <v>164.032743245055</v>
      </c>
      <c r="K988" s="80">
        <v>-20.2372572945707</v>
      </c>
      <c r="L988" s="71">
        <v>111</v>
      </c>
      <c r="M988" s="73">
        <v>1</v>
      </c>
      <c r="N988" s="73">
        <v>2</v>
      </c>
      <c r="O988" s="73">
        <v>1</v>
      </c>
      <c r="P988" s="17" t="s">
        <v>47</v>
      </c>
      <c r="Q988" t="str">
        <f>LEFT(B988,3)</f>
        <v>PUM</v>
      </c>
    </row>
    <row r="989" spans="1:17">
      <c r="A989" s="17" t="s">
        <v>3486</v>
      </c>
      <c r="B989" s="17" t="s">
        <v>1815</v>
      </c>
      <c r="C989" s="13" t="s">
        <v>123</v>
      </c>
      <c r="D989" s="13" t="s">
        <v>123</v>
      </c>
      <c r="E989" s="17" t="s">
        <v>123</v>
      </c>
      <c r="F989" s="17" t="s">
        <v>68</v>
      </c>
      <c r="G989" s="17" t="s">
        <v>68</v>
      </c>
      <c r="H989" s="7">
        <v>194420.42431</v>
      </c>
      <c r="I989" s="7">
        <v>438508.06557999999</v>
      </c>
      <c r="J989" s="80">
        <v>164.032743245055</v>
      </c>
      <c r="K989" s="80">
        <v>-20.2372572945707</v>
      </c>
      <c r="L989" s="71">
        <v>333</v>
      </c>
      <c r="M989" s="73">
        <v>1</v>
      </c>
      <c r="N989" s="73">
        <v>2</v>
      </c>
      <c r="O989" s="73">
        <v>1</v>
      </c>
      <c r="P989" s="17" t="s">
        <v>47</v>
      </c>
      <c r="Q989" t="str">
        <f>LEFT(B989,3)</f>
        <v>PUM</v>
      </c>
    </row>
    <row r="990" spans="1:17">
      <c r="A990" s="17" t="s">
        <v>3487</v>
      </c>
      <c r="B990" s="17" t="s">
        <v>1818</v>
      </c>
      <c r="C990" s="17" t="s">
        <v>1819</v>
      </c>
      <c r="D990" s="17" t="s">
        <v>1819</v>
      </c>
      <c r="E990" s="17" t="s">
        <v>191</v>
      </c>
      <c r="F990" s="17" t="s">
        <v>43</v>
      </c>
      <c r="G990" s="17" t="s">
        <v>43</v>
      </c>
      <c r="H990" s="22">
        <v>349430</v>
      </c>
      <c r="I990" s="22">
        <v>296241</v>
      </c>
      <c r="J990" s="80">
        <v>165.51179999999999</v>
      </c>
      <c r="K990" s="83">
        <v>-21.533239999999999</v>
      </c>
      <c r="L990" s="71">
        <v>110</v>
      </c>
      <c r="M990" s="73">
        <v>1</v>
      </c>
      <c r="N990" s="73">
        <v>1</v>
      </c>
      <c r="O990" s="73">
        <v>0</v>
      </c>
      <c r="P990" s="17" t="s">
        <v>47</v>
      </c>
      <c r="Q990" t="str">
        <f>LEFT(B990,3)</f>
        <v>PUO</v>
      </c>
    </row>
    <row r="991" spans="1:17">
      <c r="A991" s="17" t="s">
        <v>3488</v>
      </c>
      <c r="B991" s="17" t="s">
        <v>1818</v>
      </c>
      <c r="C991" s="17" t="s">
        <v>1819</v>
      </c>
      <c r="D991" s="17" t="s">
        <v>1819</v>
      </c>
      <c r="E991" s="17" t="s">
        <v>191</v>
      </c>
      <c r="F991" s="17" t="s">
        <v>43</v>
      </c>
      <c r="G991" s="17" t="s">
        <v>43</v>
      </c>
      <c r="H991" s="22">
        <v>349430</v>
      </c>
      <c r="I991" s="22">
        <v>296241</v>
      </c>
      <c r="J991" s="80">
        <v>165.51179999999999</v>
      </c>
      <c r="K991" s="83">
        <v>-21.533239999999999</v>
      </c>
      <c r="L991" s="71">
        <v>252</v>
      </c>
      <c r="M991" s="73">
        <v>1</v>
      </c>
      <c r="N991" s="73">
        <v>1</v>
      </c>
      <c r="O991" s="73">
        <v>0</v>
      </c>
      <c r="P991" s="17" t="s">
        <v>47</v>
      </c>
      <c r="Q991" t="str">
        <f>LEFT(B991,3)</f>
        <v>PUO</v>
      </c>
    </row>
    <row r="992" spans="1:17">
      <c r="A992" s="17" t="s">
        <v>3489</v>
      </c>
      <c r="B992" s="17" t="s">
        <v>1818</v>
      </c>
      <c r="C992" s="17" t="s">
        <v>1819</v>
      </c>
      <c r="D992" s="17" t="s">
        <v>1819</v>
      </c>
      <c r="E992" s="17" t="s">
        <v>191</v>
      </c>
      <c r="F992" s="17" t="s">
        <v>43</v>
      </c>
      <c r="G992" s="17" t="s">
        <v>43</v>
      </c>
      <c r="H992" s="22">
        <v>349430</v>
      </c>
      <c r="I992" s="22">
        <v>296241</v>
      </c>
      <c r="J992" s="80">
        <v>165.51179999999999</v>
      </c>
      <c r="K992" s="83">
        <v>-21.533239999999999</v>
      </c>
      <c r="L992" s="71">
        <v>346</v>
      </c>
      <c r="M992" s="73">
        <v>1</v>
      </c>
      <c r="N992" s="73">
        <v>1</v>
      </c>
      <c r="O992" s="73">
        <v>0</v>
      </c>
      <c r="P992" s="17" t="s">
        <v>47</v>
      </c>
      <c r="Q992" t="str">
        <f>LEFT(B992,3)</f>
        <v>PUO</v>
      </c>
    </row>
    <row r="993" spans="1:17">
      <c r="A993" s="17" t="s">
        <v>3490</v>
      </c>
      <c r="B993" s="17" t="s">
        <v>1822</v>
      </c>
      <c r="C993" s="13" t="s">
        <v>1823</v>
      </c>
      <c r="D993" s="13" t="s">
        <v>1823</v>
      </c>
      <c r="E993" s="17" t="s">
        <v>249</v>
      </c>
      <c r="F993" s="17" t="s">
        <v>68</v>
      </c>
      <c r="G993" s="17" t="s">
        <v>68</v>
      </c>
      <c r="H993" s="7">
        <v>263999.88692999998</v>
      </c>
      <c r="I993" s="7">
        <v>360475.95474000002</v>
      </c>
      <c r="J993" s="80">
        <v>164.692290040633</v>
      </c>
      <c r="K993" s="80">
        <v>-20.9486060095374</v>
      </c>
      <c r="L993" s="71">
        <v>75</v>
      </c>
      <c r="M993" s="73">
        <v>2</v>
      </c>
      <c r="N993" s="73">
        <v>2</v>
      </c>
      <c r="O993" s="73">
        <v>1</v>
      </c>
      <c r="P993" s="17" t="s">
        <v>47</v>
      </c>
      <c r="Q993" t="str">
        <f>LEFT(B993,3)</f>
        <v>PWA</v>
      </c>
    </row>
    <row r="994" spans="1:17">
      <c r="A994" s="17" t="s">
        <v>3491</v>
      </c>
      <c r="B994" s="17" t="s">
        <v>1822</v>
      </c>
      <c r="C994" s="13" t="s">
        <v>1823</v>
      </c>
      <c r="D994" s="13" t="s">
        <v>1823</v>
      </c>
      <c r="E994" s="17" t="s">
        <v>249</v>
      </c>
      <c r="F994" s="17" t="s">
        <v>68</v>
      </c>
      <c r="G994" s="17" t="s">
        <v>68</v>
      </c>
      <c r="H994" s="7">
        <v>263999.88692999998</v>
      </c>
      <c r="I994" s="7">
        <v>360475.95474000002</v>
      </c>
      <c r="J994" s="80">
        <v>164.692290040633</v>
      </c>
      <c r="K994" s="80">
        <v>-20.9486060095374</v>
      </c>
      <c r="L994" s="71">
        <v>165</v>
      </c>
      <c r="M994" s="73">
        <v>2</v>
      </c>
      <c r="N994" s="73">
        <v>2</v>
      </c>
      <c r="O994" s="73">
        <v>1</v>
      </c>
      <c r="P994" s="17" t="s">
        <v>47</v>
      </c>
      <c r="Q994" t="str">
        <f>LEFT(B994,3)</f>
        <v>PWA</v>
      </c>
    </row>
    <row r="995" spans="1:17">
      <c r="A995" s="17" t="s">
        <v>3492</v>
      </c>
      <c r="B995" s="17" t="s">
        <v>1822</v>
      </c>
      <c r="C995" s="13" t="s">
        <v>1823</v>
      </c>
      <c r="D995" s="13" t="s">
        <v>1823</v>
      </c>
      <c r="E995" s="17" t="s">
        <v>249</v>
      </c>
      <c r="F995" s="17" t="s">
        <v>68</v>
      </c>
      <c r="G995" s="17" t="s">
        <v>68</v>
      </c>
      <c r="H995" s="7">
        <v>263999.88692999998</v>
      </c>
      <c r="I995" s="7">
        <v>360475.95474000002</v>
      </c>
      <c r="J995" s="80">
        <v>164.692290040633</v>
      </c>
      <c r="K995" s="80">
        <v>-20.9486060095374</v>
      </c>
      <c r="L995" s="71">
        <v>240</v>
      </c>
      <c r="M995" s="73">
        <v>2</v>
      </c>
      <c r="N995" s="73">
        <v>2</v>
      </c>
      <c r="O995" s="73">
        <v>1</v>
      </c>
      <c r="P995" s="17" t="s">
        <v>47</v>
      </c>
      <c r="Q995" t="str">
        <f>LEFT(B995,3)</f>
        <v>PWA</v>
      </c>
    </row>
    <row r="996" spans="1:17">
      <c r="A996" s="17" t="s">
        <v>3493</v>
      </c>
      <c r="B996" s="17" t="s">
        <v>1826</v>
      </c>
      <c r="C996" s="13" t="s">
        <v>1827</v>
      </c>
      <c r="D996" s="13" t="s">
        <v>1829</v>
      </c>
      <c r="E996" s="17" t="s">
        <v>67</v>
      </c>
      <c r="F996" s="17" t="s">
        <v>68</v>
      </c>
      <c r="G996" s="17" t="s">
        <v>68</v>
      </c>
      <c r="H996" s="7">
        <v>296901.03307</v>
      </c>
      <c r="I996" s="7">
        <v>356304.12378000002</v>
      </c>
      <c r="J996" s="80">
        <v>165.008385780998</v>
      </c>
      <c r="K996" s="80">
        <v>-20.988474681431001</v>
      </c>
      <c r="L996" s="71">
        <v>180</v>
      </c>
      <c r="M996" s="73">
        <v>2</v>
      </c>
      <c r="N996" s="73">
        <v>2</v>
      </c>
      <c r="O996" s="73">
        <v>1</v>
      </c>
      <c r="P996" s="17" t="s">
        <v>47</v>
      </c>
      <c r="Q996" t="str">
        <f>LEFT(B996,3)</f>
        <v>PWD</v>
      </c>
    </row>
    <row r="997" spans="1:17">
      <c r="A997" s="13" t="s">
        <v>3494</v>
      </c>
      <c r="B997" s="13" t="s">
        <v>1826</v>
      </c>
      <c r="C997" s="13" t="s">
        <v>1827</v>
      </c>
      <c r="D997" s="13" t="s">
        <v>1829</v>
      </c>
      <c r="E997" s="17" t="s">
        <v>67</v>
      </c>
      <c r="F997" s="17" t="s">
        <v>68</v>
      </c>
      <c r="G997" s="17" t="s">
        <v>68</v>
      </c>
      <c r="H997" s="7">
        <v>296901.03307</v>
      </c>
      <c r="I997" s="7">
        <v>356304.12378000002</v>
      </c>
      <c r="J997" s="80">
        <v>165.008385780998</v>
      </c>
      <c r="K997" s="80">
        <v>-20.988474681431001</v>
      </c>
      <c r="L997" s="71">
        <v>320</v>
      </c>
      <c r="M997" s="73">
        <v>1</v>
      </c>
      <c r="N997" s="73">
        <v>2</v>
      </c>
      <c r="O997" s="73">
        <v>1</v>
      </c>
      <c r="P997" s="17" t="s">
        <v>47</v>
      </c>
      <c r="Q997" t="str">
        <f>LEFT(B997,3)</f>
        <v>PWD</v>
      </c>
    </row>
    <row r="998" spans="1:17">
      <c r="A998" s="17" t="s">
        <v>3495</v>
      </c>
      <c r="B998" s="17" t="s">
        <v>1831</v>
      </c>
      <c r="C998" s="13" t="s">
        <v>1832</v>
      </c>
      <c r="D998" s="13" t="s">
        <v>1832</v>
      </c>
      <c r="E998" s="17" t="s">
        <v>67</v>
      </c>
      <c r="F998" s="17" t="s">
        <v>68</v>
      </c>
      <c r="G998" s="17" t="s">
        <v>68</v>
      </c>
      <c r="H998" s="7">
        <v>298639.01504999999</v>
      </c>
      <c r="I998" s="7">
        <v>359009.69880999997</v>
      </c>
      <c r="J998" s="80">
        <v>165.025263843804</v>
      </c>
      <c r="K998" s="80">
        <v>-20.9641315912687</v>
      </c>
      <c r="L998" s="71">
        <v>35</v>
      </c>
      <c r="M998" s="73">
        <v>1</v>
      </c>
      <c r="N998" s="73">
        <v>1</v>
      </c>
      <c r="O998" s="73">
        <v>1</v>
      </c>
      <c r="P998" s="17" t="s">
        <v>47</v>
      </c>
      <c r="Q998" t="str">
        <f>LEFT(B998,3)</f>
        <v>PWN</v>
      </c>
    </row>
    <row r="999" spans="1:17">
      <c r="A999" s="17" t="s">
        <v>3496</v>
      </c>
      <c r="B999" s="17" t="s">
        <v>1831</v>
      </c>
      <c r="C999" s="13" t="s">
        <v>1832</v>
      </c>
      <c r="D999" s="13" t="s">
        <v>1832</v>
      </c>
      <c r="E999" s="17" t="s">
        <v>67</v>
      </c>
      <c r="F999" s="17" t="s">
        <v>68</v>
      </c>
      <c r="G999" s="17" t="s">
        <v>68</v>
      </c>
      <c r="H999" s="7">
        <v>298639.01504999999</v>
      </c>
      <c r="I999" s="7">
        <v>359009.69880999997</v>
      </c>
      <c r="J999" s="80">
        <v>165.025263843804</v>
      </c>
      <c r="K999" s="80">
        <v>-20.9641315912687</v>
      </c>
      <c r="L999" s="71">
        <v>195</v>
      </c>
      <c r="M999" s="73">
        <v>1</v>
      </c>
      <c r="N999" s="73">
        <v>1</v>
      </c>
      <c r="O999" s="73">
        <v>1</v>
      </c>
      <c r="P999" s="17" t="s">
        <v>47</v>
      </c>
      <c r="Q999" t="str">
        <f>LEFT(B999,3)</f>
        <v>PWN</v>
      </c>
    </row>
    <row r="1000" spans="1:17">
      <c r="A1000" s="13" t="s">
        <v>3497</v>
      </c>
      <c r="B1000" s="13" t="s">
        <v>1835</v>
      </c>
      <c r="C1000" s="13" t="s">
        <v>1837</v>
      </c>
      <c r="D1000" s="13" t="s">
        <v>1836</v>
      </c>
      <c r="E1000" s="17" t="s">
        <v>104</v>
      </c>
      <c r="F1000" s="17" t="s">
        <v>68</v>
      </c>
      <c r="G1000" s="17" t="s">
        <v>68</v>
      </c>
      <c r="H1000" s="7">
        <v>312014</v>
      </c>
      <c r="I1000" s="7">
        <v>366922.90629999997</v>
      </c>
      <c r="J1000" s="80">
        <v>165.15429324154499</v>
      </c>
      <c r="K1000" s="80">
        <v>-20.8933611663319</v>
      </c>
      <c r="L1000" s="71">
        <v>78</v>
      </c>
      <c r="M1000" s="73">
        <v>1</v>
      </c>
      <c r="N1000" s="73">
        <v>1</v>
      </c>
      <c r="O1000" s="73">
        <v>1</v>
      </c>
      <c r="P1000" s="17" t="s">
        <v>47</v>
      </c>
      <c r="Q1000" t="str">
        <f>LEFT(B1000,3)</f>
        <v>PWT</v>
      </c>
    </row>
    <row r="1001" spans="1:17">
      <c r="A1001" s="13" t="s">
        <v>3498</v>
      </c>
      <c r="B1001" s="13" t="s">
        <v>1835</v>
      </c>
      <c r="C1001" s="13" t="s">
        <v>1837</v>
      </c>
      <c r="D1001" s="13" t="s">
        <v>1836</v>
      </c>
      <c r="E1001" s="17" t="s">
        <v>104</v>
      </c>
      <c r="F1001" s="17" t="s">
        <v>68</v>
      </c>
      <c r="G1001" s="17" t="s">
        <v>68</v>
      </c>
      <c r="H1001" s="7">
        <v>312014</v>
      </c>
      <c r="I1001" s="7">
        <v>366922.90629999997</v>
      </c>
      <c r="J1001" s="80">
        <v>165.15429324154499</v>
      </c>
      <c r="K1001" s="80">
        <v>-20.8933611663319</v>
      </c>
      <c r="L1001" s="71">
        <v>249</v>
      </c>
      <c r="M1001" s="73">
        <v>1</v>
      </c>
      <c r="N1001" s="73">
        <v>1</v>
      </c>
      <c r="O1001" s="73">
        <v>1</v>
      </c>
      <c r="P1001" s="17" t="s">
        <v>47</v>
      </c>
      <c r="Q1001" t="str">
        <f>LEFT(B1001,3)</f>
        <v>PWT</v>
      </c>
    </row>
    <row r="1002" spans="1:17">
      <c r="A1002" s="17" t="s">
        <v>3499</v>
      </c>
      <c r="B1002" s="17" t="s">
        <v>1839</v>
      </c>
      <c r="C1002" s="13" t="s">
        <v>1840</v>
      </c>
      <c r="D1002" s="13" t="s">
        <v>1840</v>
      </c>
      <c r="E1002" s="17" t="s">
        <v>29</v>
      </c>
      <c r="F1002" s="17" t="s">
        <v>43</v>
      </c>
      <c r="G1002" s="17" t="s">
        <v>30</v>
      </c>
      <c r="H1002" s="7">
        <v>448487.64188000001</v>
      </c>
      <c r="I1002" s="7">
        <v>215574.99414</v>
      </c>
      <c r="J1002" s="80">
        <v>166.47043954493</v>
      </c>
      <c r="K1002" s="80">
        <v>-22.261848186854699</v>
      </c>
      <c r="L1002" s="71">
        <v>40</v>
      </c>
      <c r="M1002" s="73">
        <v>2</v>
      </c>
      <c r="N1002" s="73">
        <v>1</v>
      </c>
      <c r="O1002" s="73">
        <v>1</v>
      </c>
      <c r="P1002" s="17" t="s">
        <v>37</v>
      </c>
      <c r="Q1002" t="str">
        <f>LEFT(B1002,3)</f>
        <v>RAB</v>
      </c>
    </row>
    <row r="1003" spans="1:17">
      <c r="A1003" s="17" t="s">
        <v>3500</v>
      </c>
      <c r="B1003" s="17" t="s">
        <v>1843</v>
      </c>
      <c r="C1003" s="13" t="s">
        <v>1696</v>
      </c>
      <c r="D1003" s="13" t="s">
        <v>1696</v>
      </c>
      <c r="E1003" s="17" t="s">
        <v>29</v>
      </c>
      <c r="F1003" s="17" t="s">
        <v>43</v>
      </c>
      <c r="G1003" s="17" t="s">
        <v>30</v>
      </c>
      <c r="H1003" s="7">
        <v>446768.78480999998</v>
      </c>
      <c r="I1003" s="7">
        <v>216211.03727</v>
      </c>
      <c r="J1003" s="80">
        <v>166.45374367399299</v>
      </c>
      <c r="K1003" s="80">
        <v>-22.256150492232798</v>
      </c>
      <c r="L1003" s="71">
        <v>80</v>
      </c>
      <c r="M1003" s="73">
        <v>2</v>
      </c>
      <c r="N1003" s="73">
        <v>3</v>
      </c>
      <c r="O1003" s="73">
        <v>1</v>
      </c>
      <c r="P1003" s="17" t="s">
        <v>37</v>
      </c>
      <c r="Q1003" t="str">
        <f>LEFT(B1003,3)</f>
        <v>RAV</v>
      </c>
    </row>
    <row r="1004" spans="1:17">
      <c r="A1004" s="17" t="s">
        <v>3501</v>
      </c>
      <c r="B1004" s="17" t="s">
        <v>1843</v>
      </c>
      <c r="C1004" s="13" t="s">
        <v>1696</v>
      </c>
      <c r="D1004" s="13" t="s">
        <v>1696</v>
      </c>
      <c r="E1004" s="17" t="s">
        <v>29</v>
      </c>
      <c r="F1004" s="17" t="s">
        <v>43</v>
      </c>
      <c r="G1004" s="17" t="s">
        <v>30</v>
      </c>
      <c r="H1004" s="7">
        <v>446768.78480999998</v>
      </c>
      <c r="I1004" s="7">
        <v>216211.03727</v>
      </c>
      <c r="J1004" s="80">
        <v>166.45374367399299</v>
      </c>
      <c r="K1004" s="80">
        <v>-22.256150492232798</v>
      </c>
      <c r="L1004" s="71">
        <v>180</v>
      </c>
      <c r="M1004" s="73">
        <v>2</v>
      </c>
      <c r="N1004" s="73">
        <v>3</v>
      </c>
      <c r="O1004" s="73">
        <v>1</v>
      </c>
      <c r="P1004" s="17" t="s">
        <v>37</v>
      </c>
      <c r="Q1004" t="str">
        <f>LEFT(B1004,3)</f>
        <v>RAV</v>
      </c>
    </row>
    <row r="1005" spans="1:17">
      <c r="A1005" s="17" t="s">
        <v>3502</v>
      </c>
      <c r="B1005" s="17" t="s">
        <v>1843</v>
      </c>
      <c r="C1005" s="13" t="s">
        <v>1696</v>
      </c>
      <c r="D1005" s="13" t="s">
        <v>1696</v>
      </c>
      <c r="E1005" s="17" t="s">
        <v>29</v>
      </c>
      <c r="F1005" s="17" t="s">
        <v>43</v>
      </c>
      <c r="G1005" s="17" t="s">
        <v>30</v>
      </c>
      <c r="H1005" s="7">
        <v>446768.78480999998</v>
      </c>
      <c r="I1005" s="7">
        <v>216211.03727</v>
      </c>
      <c r="J1005" s="80">
        <v>166.45374367399299</v>
      </c>
      <c r="K1005" s="80">
        <v>-22.256150492232798</v>
      </c>
      <c r="L1005" s="71">
        <v>320</v>
      </c>
      <c r="M1005" s="73">
        <v>2</v>
      </c>
      <c r="N1005" s="73">
        <v>3</v>
      </c>
      <c r="O1005" s="73">
        <v>1</v>
      </c>
      <c r="P1005" s="17" t="s">
        <v>37</v>
      </c>
      <c r="Q1005" t="str">
        <f>LEFT(B1005,3)</f>
        <v>RAV</v>
      </c>
    </row>
    <row r="1006" spans="1:17">
      <c r="A1006" s="17" t="s">
        <v>3503</v>
      </c>
      <c r="B1006" s="17" t="s">
        <v>1847</v>
      </c>
      <c r="C1006" s="13" t="s">
        <v>1848</v>
      </c>
      <c r="D1006" s="13" t="s">
        <v>1850</v>
      </c>
      <c r="E1006" s="17" t="s">
        <v>351</v>
      </c>
      <c r="F1006" s="17" t="s">
        <v>129</v>
      </c>
      <c r="G1006" s="17" t="s">
        <v>129</v>
      </c>
      <c r="H1006" s="7">
        <v>604672</v>
      </c>
      <c r="I1006" s="7">
        <v>298650</v>
      </c>
      <c r="J1006" s="80">
        <v>167.975480391079</v>
      </c>
      <c r="K1006" s="80">
        <v>-21.500512781852802</v>
      </c>
      <c r="L1006" s="71">
        <v>34</v>
      </c>
      <c r="M1006" s="73">
        <v>1</v>
      </c>
      <c r="N1006" s="73">
        <v>1</v>
      </c>
      <c r="O1006" s="73">
        <v>0</v>
      </c>
      <c r="P1006" s="17" t="s">
        <v>47</v>
      </c>
      <c r="Q1006" t="str">
        <f>LEFT(B1006,3)</f>
        <v>RAW</v>
      </c>
    </row>
    <row r="1007" spans="1:17">
      <c r="A1007" s="17" t="s">
        <v>3504</v>
      </c>
      <c r="B1007" s="17" t="s">
        <v>1847</v>
      </c>
      <c r="C1007" s="13" t="s">
        <v>1848</v>
      </c>
      <c r="D1007" s="13" t="s">
        <v>1850</v>
      </c>
      <c r="E1007" s="17" t="s">
        <v>351</v>
      </c>
      <c r="F1007" s="17" t="s">
        <v>129</v>
      </c>
      <c r="G1007" s="17" t="s">
        <v>129</v>
      </c>
      <c r="H1007" s="7">
        <v>604672</v>
      </c>
      <c r="I1007" s="7">
        <v>298650</v>
      </c>
      <c r="J1007" s="80">
        <v>167.975480391079</v>
      </c>
      <c r="K1007" s="80">
        <v>-21.500512781852802</v>
      </c>
      <c r="L1007" s="71">
        <v>205</v>
      </c>
      <c r="M1007" s="73">
        <v>1</v>
      </c>
      <c r="N1007" s="73">
        <v>1</v>
      </c>
      <c r="O1007" s="73">
        <v>0</v>
      </c>
      <c r="P1007" s="17" t="s">
        <v>47</v>
      </c>
      <c r="Q1007" t="str">
        <f>LEFT(B1007,3)</f>
        <v>RAW</v>
      </c>
    </row>
    <row r="1008" spans="1:17">
      <c r="A1008" s="17" t="s">
        <v>3505</v>
      </c>
      <c r="B1008" s="17" t="s">
        <v>1847</v>
      </c>
      <c r="C1008" s="13" t="s">
        <v>1848</v>
      </c>
      <c r="D1008" s="13" t="s">
        <v>1850</v>
      </c>
      <c r="E1008" s="17" t="s">
        <v>351</v>
      </c>
      <c r="F1008" s="17" t="s">
        <v>129</v>
      </c>
      <c r="G1008" s="17" t="s">
        <v>129</v>
      </c>
      <c r="H1008" s="7">
        <v>604672</v>
      </c>
      <c r="I1008" s="7">
        <v>298650</v>
      </c>
      <c r="J1008" s="80">
        <v>167.975480391079</v>
      </c>
      <c r="K1008" s="80">
        <v>-21.500512781852802</v>
      </c>
      <c r="L1008" s="71">
        <v>300</v>
      </c>
      <c r="M1008" s="73">
        <v>1</v>
      </c>
      <c r="N1008" s="73">
        <v>1</v>
      </c>
      <c r="O1008" s="73">
        <v>0</v>
      </c>
      <c r="P1008" s="17" t="s">
        <v>47</v>
      </c>
      <c r="Q1008" t="str">
        <f>LEFT(B1008,3)</f>
        <v>RAW</v>
      </c>
    </row>
    <row r="1009" spans="1:17">
      <c r="A1009" s="17" t="s">
        <v>3506</v>
      </c>
      <c r="B1009" s="17" t="s">
        <v>1852</v>
      </c>
      <c r="C1009" s="13" t="s">
        <v>1853</v>
      </c>
      <c r="D1009" s="13" t="s">
        <v>1853</v>
      </c>
      <c r="E1009" s="17" t="s">
        <v>207</v>
      </c>
      <c r="F1009" s="17" t="s">
        <v>43</v>
      </c>
      <c r="G1009" s="17" t="s">
        <v>43</v>
      </c>
      <c r="H1009" s="7">
        <v>399960.97853999998</v>
      </c>
      <c r="I1009" s="7">
        <v>251045.23634999999</v>
      </c>
      <c r="J1009" s="80">
        <v>165.99962244479599</v>
      </c>
      <c r="K1009" s="80">
        <v>-21.942167440056899</v>
      </c>
      <c r="L1009" s="71">
        <v>60</v>
      </c>
      <c r="M1009" s="73">
        <v>2</v>
      </c>
      <c r="N1009" s="73">
        <v>2</v>
      </c>
      <c r="O1009" s="73">
        <v>1</v>
      </c>
      <c r="P1009" s="17" t="s">
        <v>47</v>
      </c>
      <c r="Q1009" t="str">
        <f>LEFT(B1009,3)</f>
        <v>RBK</v>
      </c>
    </row>
    <row r="1010" spans="1:17">
      <c r="A1010" s="17" t="s">
        <v>3507</v>
      </c>
      <c r="B1010" s="17" t="s">
        <v>1852</v>
      </c>
      <c r="C1010" s="13" t="s">
        <v>1853</v>
      </c>
      <c r="D1010" s="13" t="s">
        <v>1853</v>
      </c>
      <c r="E1010" s="17" t="s">
        <v>207</v>
      </c>
      <c r="F1010" s="17" t="s">
        <v>43</v>
      </c>
      <c r="G1010" s="17" t="s">
        <v>43</v>
      </c>
      <c r="H1010" s="7">
        <v>399960.97853999998</v>
      </c>
      <c r="I1010" s="7">
        <v>251045.23634999999</v>
      </c>
      <c r="J1010" s="80">
        <v>165.99962244479599</v>
      </c>
      <c r="K1010" s="80">
        <v>-21.942167440056899</v>
      </c>
      <c r="L1010" s="71">
        <v>180</v>
      </c>
      <c r="M1010" s="73">
        <v>2</v>
      </c>
      <c r="N1010" s="73">
        <v>2</v>
      </c>
      <c r="O1010" s="73">
        <v>1</v>
      </c>
      <c r="P1010" s="17" t="s">
        <v>47</v>
      </c>
      <c r="Q1010" t="str">
        <f>LEFT(B1010,3)</f>
        <v>RBK</v>
      </c>
    </row>
    <row r="1011" spans="1:17">
      <c r="A1011" s="17" t="s">
        <v>3508</v>
      </c>
      <c r="B1011" s="17" t="s">
        <v>1852</v>
      </c>
      <c r="C1011" s="13" t="s">
        <v>1853</v>
      </c>
      <c r="D1011" s="13" t="s">
        <v>1853</v>
      </c>
      <c r="E1011" s="17" t="s">
        <v>207</v>
      </c>
      <c r="F1011" s="17" t="s">
        <v>43</v>
      </c>
      <c r="G1011" s="17" t="s">
        <v>43</v>
      </c>
      <c r="H1011" s="7">
        <v>399960.97853999998</v>
      </c>
      <c r="I1011" s="7">
        <v>251045.23634999999</v>
      </c>
      <c r="J1011" s="80">
        <v>165.99962244479599</v>
      </c>
      <c r="K1011" s="80">
        <v>-21.942167440056899</v>
      </c>
      <c r="L1011" s="71">
        <v>300</v>
      </c>
      <c r="M1011" s="73">
        <v>2</v>
      </c>
      <c r="N1011" s="73">
        <v>2</v>
      </c>
      <c r="O1011" s="73">
        <v>1</v>
      </c>
      <c r="P1011" s="17" t="s">
        <v>47</v>
      </c>
      <c r="Q1011" t="str">
        <f>LEFT(B1011,3)</f>
        <v>RBK</v>
      </c>
    </row>
    <row r="1012" spans="1:17">
      <c r="A1012" s="17" t="s">
        <v>3509</v>
      </c>
      <c r="B1012" s="17" t="s">
        <v>1856</v>
      </c>
      <c r="C1012" s="13" t="s">
        <v>1857</v>
      </c>
      <c r="D1012" s="13" t="s">
        <v>1857</v>
      </c>
      <c r="E1012" s="17" t="s">
        <v>56</v>
      </c>
      <c r="F1012" s="17" t="s">
        <v>43</v>
      </c>
      <c r="G1012" s="17" t="s">
        <v>50</v>
      </c>
      <c r="H1012" s="7">
        <v>428304</v>
      </c>
      <c r="I1012" s="7">
        <v>237838</v>
      </c>
      <c r="J1012" s="80">
        <v>166.27423227592499</v>
      </c>
      <c r="K1012" s="80">
        <v>-22.061222993292699</v>
      </c>
      <c r="L1012" s="71">
        <v>92</v>
      </c>
      <c r="M1012" s="73">
        <v>2</v>
      </c>
      <c r="N1012" s="73">
        <v>3</v>
      </c>
      <c r="O1012" s="73">
        <v>1</v>
      </c>
      <c r="P1012" s="17" t="s">
        <v>47</v>
      </c>
      <c r="Q1012" t="str">
        <f>LEFT(B1012,3)</f>
        <v>RBL</v>
      </c>
    </row>
    <row r="1013" spans="1:17">
      <c r="A1013" s="17" t="s">
        <v>3510</v>
      </c>
      <c r="B1013" s="17" t="s">
        <v>1856</v>
      </c>
      <c r="C1013" s="13" t="s">
        <v>1857</v>
      </c>
      <c r="D1013" s="13" t="s">
        <v>1857</v>
      </c>
      <c r="E1013" s="17" t="s">
        <v>56</v>
      </c>
      <c r="F1013" s="17" t="s">
        <v>43</v>
      </c>
      <c r="G1013" s="17" t="s">
        <v>50</v>
      </c>
      <c r="H1013" s="7">
        <v>428304</v>
      </c>
      <c r="I1013" s="7">
        <v>237838</v>
      </c>
      <c r="J1013" s="80">
        <v>166.27423227592499</v>
      </c>
      <c r="K1013" s="80">
        <v>-22.061222993292699</v>
      </c>
      <c r="L1013" s="71">
        <v>221</v>
      </c>
      <c r="M1013" s="73">
        <v>2</v>
      </c>
      <c r="N1013" s="73">
        <v>3</v>
      </c>
      <c r="O1013" s="73">
        <v>1</v>
      </c>
      <c r="P1013" s="17" t="s">
        <v>47</v>
      </c>
      <c r="Q1013" t="str">
        <f>LEFT(B1013,3)</f>
        <v>RBL</v>
      </c>
    </row>
    <row r="1014" spans="1:17">
      <c r="A1014" s="17" t="s">
        <v>3511</v>
      </c>
      <c r="B1014" s="17" t="s">
        <v>1856</v>
      </c>
      <c r="C1014" s="13" t="s">
        <v>1857</v>
      </c>
      <c r="D1014" s="13" t="s">
        <v>1857</v>
      </c>
      <c r="E1014" s="17" t="s">
        <v>56</v>
      </c>
      <c r="F1014" s="17" t="s">
        <v>43</v>
      </c>
      <c r="G1014" s="17" t="s">
        <v>50</v>
      </c>
      <c r="H1014" s="7">
        <v>428304</v>
      </c>
      <c r="I1014" s="7">
        <v>237838</v>
      </c>
      <c r="J1014" s="80">
        <v>166.27423227592499</v>
      </c>
      <c r="K1014" s="80">
        <v>-22.061222993292699</v>
      </c>
      <c r="L1014" s="71">
        <v>330</v>
      </c>
      <c r="M1014" s="73">
        <v>2</v>
      </c>
      <c r="N1014" s="73">
        <v>3</v>
      </c>
      <c r="O1014" s="73">
        <v>1</v>
      </c>
      <c r="P1014" s="17" t="s">
        <v>47</v>
      </c>
      <c r="Q1014" t="str">
        <f>LEFT(B1014,3)</f>
        <v>RBL</v>
      </c>
    </row>
    <row r="1015" spans="1:17">
      <c r="A1015" s="13" t="s">
        <v>3512</v>
      </c>
      <c r="B1015" s="13" t="s">
        <v>1860</v>
      </c>
      <c r="C1015" s="13" t="s">
        <v>1861</v>
      </c>
      <c r="D1015" s="13" t="s">
        <v>1861</v>
      </c>
      <c r="E1015" s="17" t="s">
        <v>191</v>
      </c>
      <c r="F1015" s="17" t="s">
        <v>43</v>
      </c>
      <c r="G1015" s="17" t="s">
        <v>43</v>
      </c>
      <c r="H1015" s="19">
        <v>347545</v>
      </c>
      <c r="I1015" s="19">
        <v>292273</v>
      </c>
      <c r="J1015" s="80">
        <v>165.493483242856</v>
      </c>
      <c r="K1015" s="80">
        <v>-21.569025849985401</v>
      </c>
      <c r="L1015" s="71">
        <v>26</v>
      </c>
      <c r="M1015" s="73">
        <v>2</v>
      </c>
      <c r="N1015" s="73">
        <v>3</v>
      </c>
      <c r="O1015" s="73">
        <v>1</v>
      </c>
      <c r="P1015" s="17" t="s">
        <v>37</v>
      </c>
      <c r="Q1015" t="str">
        <f>LEFT(B1015,3)</f>
        <v>RBO</v>
      </c>
    </row>
    <row r="1016" spans="1:17">
      <c r="A1016" s="13" t="s">
        <v>3513</v>
      </c>
      <c r="B1016" s="13" t="s">
        <v>1860</v>
      </c>
      <c r="C1016" s="13" t="s">
        <v>1861</v>
      </c>
      <c r="D1016" s="13" t="s">
        <v>1861</v>
      </c>
      <c r="E1016" s="17" t="s">
        <v>191</v>
      </c>
      <c r="F1016" s="17" t="s">
        <v>43</v>
      </c>
      <c r="G1016" s="17" t="s">
        <v>43</v>
      </c>
      <c r="H1016" s="19">
        <v>347545</v>
      </c>
      <c r="I1016" s="19">
        <v>292273</v>
      </c>
      <c r="J1016" s="80">
        <v>165.493483242856</v>
      </c>
      <c r="K1016" s="80">
        <v>-21.569025849985401</v>
      </c>
      <c r="L1016" s="71">
        <v>151</v>
      </c>
      <c r="M1016" s="73">
        <v>2</v>
      </c>
      <c r="N1016" s="73">
        <v>3</v>
      </c>
      <c r="O1016" s="73">
        <v>1</v>
      </c>
      <c r="P1016" s="17" t="s">
        <v>37</v>
      </c>
      <c r="Q1016" t="str">
        <f>LEFT(B1016,3)</f>
        <v>RBO</v>
      </c>
    </row>
    <row r="1017" spans="1:17">
      <c r="A1017" s="13" t="s">
        <v>3514</v>
      </c>
      <c r="B1017" s="13" t="s">
        <v>1860</v>
      </c>
      <c r="C1017" s="13" t="s">
        <v>1861</v>
      </c>
      <c r="D1017" s="13" t="s">
        <v>1861</v>
      </c>
      <c r="E1017" s="17" t="s">
        <v>191</v>
      </c>
      <c r="F1017" s="17" t="s">
        <v>43</v>
      </c>
      <c r="G1017" s="17" t="s">
        <v>43</v>
      </c>
      <c r="H1017" s="19">
        <v>347545</v>
      </c>
      <c r="I1017" s="19">
        <v>292273</v>
      </c>
      <c r="J1017" s="80">
        <v>165.493483242856</v>
      </c>
      <c r="K1017" s="80">
        <v>-21.569025849985401</v>
      </c>
      <c r="L1017" s="71">
        <v>284</v>
      </c>
      <c r="M1017" s="73">
        <v>2</v>
      </c>
      <c r="N1017" s="73">
        <v>3</v>
      </c>
      <c r="O1017" s="73">
        <v>1</v>
      </c>
      <c r="P1017" s="17" t="s">
        <v>37</v>
      </c>
      <c r="Q1017" t="str">
        <f>LEFT(B1017,3)</f>
        <v>RBO</v>
      </c>
    </row>
    <row r="1018" spans="1:17">
      <c r="A1018" s="17" t="s">
        <v>3515</v>
      </c>
      <c r="B1018" s="17" t="s">
        <v>1864</v>
      </c>
      <c r="C1018" s="13" t="s">
        <v>3516</v>
      </c>
      <c r="D1018" s="13" t="s">
        <v>1867</v>
      </c>
      <c r="E1018" s="17" t="s">
        <v>173</v>
      </c>
      <c r="F1018" s="17" t="s">
        <v>68</v>
      </c>
      <c r="G1018" s="17" t="s">
        <v>68</v>
      </c>
      <c r="H1018" s="7">
        <v>155037.00541000001</v>
      </c>
      <c r="I1018" s="7">
        <v>494341.77321999997</v>
      </c>
      <c r="J1018" s="80">
        <v>163.663910965291</v>
      </c>
      <c r="K1018" s="80">
        <v>-19.7281799039697</v>
      </c>
      <c r="L1018" s="71">
        <v>120</v>
      </c>
      <c r="M1018" s="73">
        <v>1</v>
      </c>
      <c r="N1018" s="73">
        <v>1</v>
      </c>
      <c r="O1018" s="73">
        <v>1</v>
      </c>
      <c r="P1018" s="17" t="s">
        <v>47</v>
      </c>
      <c r="Q1018" t="str">
        <f>LEFT(B1018,3)</f>
        <v>RBP</v>
      </c>
    </row>
    <row r="1019" spans="1:17">
      <c r="A1019" s="17" t="s">
        <v>3517</v>
      </c>
      <c r="B1019" s="17" t="s">
        <v>1864</v>
      </c>
      <c r="C1019" s="13" t="s">
        <v>3516</v>
      </c>
      <c r="D1019" s="13" t="s">
        <v>1867</v>
      </c>
      <c r="E1019" s="17" t="s">
        <v>173</v>
      </c>
      <c r="F1019" s="17" t="s">
        <v>68</v>
      </c>
      <c r="G1019" s="17" t="s">
        <v>68</v>
      </c>
      <c r="H1019" s="7">
        <v>155037.00541000001</v>
      </c>
      <c r="I1019" s="7">
        <v>494341.77321999997</v>
      </c>
      <c r="J1019" s="80">
        <v>163.663910965291</v>
      </c>
      <c r="K1019" s="80">
        <v>-19.7281799039697</v>
      </c>
      <c r="L1019" s="71">
        <v>240</v>
      </c>
      <c r="M1019" s="73">
        <v>1</v>
      </c>
      <c r="N1019" s="73">
        <v>1</v>
      </c>
      <c r="O1019" s="73">
        <v>1</v>
      </c>
      <c r="P1019" s="17" t="s">
        <v>47</v>
      </c>
      <c r="Q1019" t="str">
        <f>LEFT(B1019,3)</f>
        <v>RBP</v>
      </c>
    </row>
    <row r="1020" spans="1:17">
      <c r="A1020" s="13" t="s">
        <v>3518</v>
      </c>
      <c r="B1020" s="13" t="s">
        <v>1870</v>
      </c>
      <c r="C1020" s="13" t="s">
        <v>1871</v>
      </c>
      <c r="D1020" s="13" t="s">
        <v>1871</v>
      </c>
      <c r="E1020" s="17" t="s">
        <v>56</v>
      </c>
      <c r="F1020" s="17" t="s">
        <v>43</v>
      </c>
      <c r="G1020" s="17" t="s">
        <v>50</v>
      </c>
      <c r="H1020" s="7">
        <v>434975</v>
      </c>
      <c r="I1020" s="7">
        <v>231123</v>
      </c>
      <c r="J1020" s="80">
        <v>166.33900727992801</v>
      </c>
      <c r="K1020" s="80">
        <v>-22.1217500518528</v>
      </c>
      <c r="L1020" s="71">
        <v>5</v>
      </c>
      <c r="M1020" s="73">
        <v>2</v>
      </c>
      <c r="N1020" s="73">
        <v>3</v>
      </c>
      <c r="O1020" s="73">
        <v>1</v>
      </c>
      <c r="P1020" s="17" t="s">
        <v>37</v>
      </c>
      <c r="Q1020" t="str">
        <f>LEFT(B1020,3)</f>
        <v>RBV</v>
      </c>
    </row>
    <row r="1021" spans="1:17">
      <c r="A1021" s="13" t="s">
        <v>3519</v>
      </c>
      <c r="B1021" s="13" t="s">
        <v>1870</v>
      </c>
      <c r="C1021" s="13" t="s">
        <v>1871</v>
      </c>
      <c r="D1021" s="13" t="s">
        <v>1871</v>
      </c>
      <c r="E1021" s="17" t="s">
        <v>56</v>
      </c>
      <c r="F1021" s="17" t="s">
        <v>43</v>
      </c>
      <c r="G1021" s="17" t="s">
        <v>50</v>
      </c>
      <c r="H1021" s="7">
        <v>434975</v>
      </c>
      <c r="I1021" s="7">
        <v>231123</v>
      </c>
      <c r="J1021" s="80">
        <v>166.33900727992801</v>
      </c>
      <c r="K1021" s="80">
        <v>-22.1217500518528</v>
      </c>
      <c r="L1021" s="71">
        <v>165</v>
      </c>
      <c r="M1021" s="73">
        <v>2</v>
      </c>
      <c r="N1021" s="73">
        <v>3</v>
      </c>
      <c r="O1021" s="73">
        <v>1</v>
      </c>
      <c r="P1021" s="17" t="s">
        <v>37</v>
      </c>
      <c r="Q1021" t="str">
        <f>LEFT(B1021,3)</f>
        <v>RBV</v>
      </c>
    </row>
    <row r="1022" spans="1:17">
      <c r="A1022" s="17" t="s">
        <v>3520</v>
      </c>
      <c r="B1022" s="17" t="s">
        <v>1874</v>
      </c>
      <c r="C1022" s="13" t="s">
        <v>1875</v>
      </c>
      <c r="D1022" s="13" t="s">
        <v>3521</v>
      </c>
      <c r="E1022" s="17" t="s">
        <v>49</v>
      </c>
      <c r="F1022" s="17" t="s">
        <v>43</v>
      </c>
      <c r="G1022" s="17" t="s">
        <v>50</v>
      </c>
      <c r="H1022" s="7">
        <v>446419</v>
      </c>
      <c r="I1022" s="7">
        <v>222360</v>
      </c>
      <c r="J1022" s="79">
        <v>166.450118</v>
      </c>
      <c r="K1022" s="79">
        <v>-22.200621000000002</v>
      </c>
      <c r="L1022" s="71">
        <v>68</v>
      </c>
      <c r="M1022" s="73">
        <v>3</v>
      </c>
      <c r="N1022" s="73">
        <v>3</v>
      </c>
      <c r="O1022" s="73">
        <v>1</v>
      </c>
      <c r="P1022" s="17" t="s">
        <v>37</v>
      </c>
      <c r="Q1022" t="str">
        <f>LEFT(B1022,3)</f>
        <v>RDN</v>
      </c>
    </row>
    <row r="1023" spans="1:17">
      <c r="A1023" s="17" t="s">
        <v>3522</v>
      </c>
      <c r="B1023" s="17" t="s">
        <v>1874</v>
      </c>
      <c r="C1023" s="13" t="s">
        <v>1875</v>
      </c>
      <c r="D1023" s="13" t="s">
        <v>3521</v>
      </c>
      <c r="E1023" s="17" t="s">
        <v>49</v>
      </c>
      <c r="F1023" s="17" t="s">
        <v>43</v>
      </c>
      <c r="G1023" s="17" t="s">
        <v>50</v>
      </c>
      <c r="H1023" s="7">
        <v>446419</v>
      </c>
      <c r="I1023" s="7">
        <v>222360</v>
      </c>
      <c r="J1023" s="79">
        <v>166.450118</v>
      </c>
      <c r="K1023" s="79">
        <v>-22.200621000000002</v>
      </c>
      <c r="L1023" s="71">
        <v>118</v>
      </c>
      <c r="M1023" s="73">
        <v>3</v>
      </c>
      <c r="N1023" s="73">
        <v>3</v>
      </c>
      <c r="O1023" s="73">
        <v>1</v>
      </c>
      <c r="P1023" s="17" t="s">
        <v>37</v>
      </c>
      <c r="Q1023" t="str">
        <f>LEFT(B1023,3)</f>
        <v>RDN</v>
      </c>
    </row>
    <row r="1024" spans="1:17">
      <c r="A1024" s="17" t="s">
        <v>3523</v>
      </c>
      <c r="B1024" s="17" t="s">
        <v>1874</v>
      </c>
      <c r="C1024" s="13" t="s">
        <v>1875</v>
      </c>
      <c r="D1024" s="13" t="s">
        <v>3521</v>
      </c>
      <c r="E1024" s="17" t="s">
        <v>49</v>
      </c>
      <c r="F1024" s="17" t="s">
        <v>43</v>
      </c>
      <c r="G1024" s="17" t="s">
        <v>50</v>
      </c>
      <c r="H1024" s="7">
        <v>446419</v>
      </c>
      <c r="I1024" s="7">
        <v>222360</v>
      </c>
      <c r="J1024" s="79">
        <v>166.450118</v>
      </c>
      <c r="K1024" s="79">
        <v>-22.200621000000002</v>
      </c>
      <c r="L1024" s="71">
        <v>354</v>
      </c>
      <c r="M1024" s="73">
        <v>3</v>
      </c>
      <c r="N1024" s="73">
        <v>3</v>
      </c>
      <c r="O1024" s="73">
        <v>1</v>
      </c>
      <c r="P1024" s="17" t="s">
        <v>37</v>
      </c>
      <c r="Q1024" t="str">
        <f>LEFT(B1024,3)</f>
        <v>RDN</v>
      </c>
    </row>
    <row r="1025" spans="1:17">
      <c r="A1025" s="17" t="s">
        <v>3524</v>
      </c>
      <c r="B1025" s="17" t="s">
        <v>1878</v>
      </c>
      <c r="C1025" s="13" t="s">
        <v>1879</v>
      </c>
      <c r="D1025" s="13" t="s">
        <v>1880</v>
      </c>
      <c r="E1025" s="17" t="s">
        <v>49</v>
      </c>
      <c r="F1025" s="17" t="s">
        <v>43</v>
      </c>
      <c r="G1025" s="17" t="s">
        <v>50</v>
      </c>
      <c r="H1025" s="7">
        <v>446387</v>
      </c>
      <c r="I1025" s="7">
        <v>222320</v>
      </c>
      <c r="J1025" s="79">
        <v>166.44987599999999</v>
      </c>
      <c r="K1025" s="79">
        <v>-22.200983740000002</v>
      </c>
      <c r="L1025" s="71">
        <v>170</v>
      </c>
      <c r="M1025" s="73">
        <v>3</v>
      </c>
      <c r="N1025" s="73">
        <v>3</v>
      </c>
      <c r="O1025" s="73">
        <v>1</v>
      </c>
      <c r="P1025" s="17" t="s">
        <v>37</v>
      </c>
      <c r="Q1025" t="str">
        <f>LEFT(B1025,3)</f>
        <v>RDS</v>
      </c>
    </row>
    <row r="1026" spans="1:17">
      <c r="A1026" s="17" t="s">
        <v>3525</v>
      </c>
      <c r="B1026" s="17" t="s">
        <v>1878</v>
      </c>
      <c r="C1026" s="13" t="s">
        <v>1879</v>
      </c>
      <c r="D1026" s="13" t="s">
        <v>1880</v>
      </c>
      <c r="E1026" s="17" t="s">
        <v>49</v>
      </c>
      <c r="F1026" s="17" t="s">
        <v>43</v>
      </c>
      <c r="G1026" s="17" t="s">
        <v>50</v>
      </c>
      <c r="H1026" s="7">
        <v>446387</v>
      </c>
      <c r="I1026" s="7">
        <v>222320</v>
      </c>
      <c r="J1026" s="79">
        <v>166.44987599999999</v>
      </c>
      <c r="K1026" s="79">
        <v>-22.200983740000002</v>
      </c>
      <c r="L1026" s="71">
        <v>230</v>
      </c>
      <c r="M1026" s="73">
        <v>3</v>
      </c>
      <c r="N1026" s="73">
        <v>3</v>
      </c>
      <c r="O1026" s="73">
        <v>1</v>
      </c>
      <c r="P1026" s="17" t="s">
        <v>37</v>
      </c>
      <c r="Q1026" t="str">
        <f>LEFT(B1026,3)</f>
        <v>RDS</v>
      </c>
    </row>
    <row r="1027" spans="1:17">
      <c r="A1027" s="17" t="s">
        <v>3526</v>
      </c>
      <c r="B1027" s="17" t="s">
        <v>1878</v>
      </c>
      <c r="C1027" s="13" t="s">
        <v>1879</v>
      </c>
      <c r="D1027" s="13" t="s">
        <v>1880</v>
      </c>
      <c r="E1027" s="17" t="s">
        <v>49</v>
      </c>
      <c r="F1027" s="17" t="s">
        <v>43</v>
      </c>
      <c r="G1027" s="17" t="s">
        <v>50</v>
      </c>
      <c r="H1027" s="7">
        <v>446387</v>
      </c>
      <c r="I1027" s="7">
        <v>222320</v>
      </c>
      <c r="J1027" s="79">
        <v>166.44987599999999</v>
      </c>
      <c r="K1027" s="79">
        <v>-22.200983740000002</v>
      </c>
      <c r="L1027" s="71">
        <v>290</v>
      </c>
      <c r="M1027" s="73">
        <v>3</v>
      </c>
      <c r="N1027" s="73">
        <v>3</v>
      </c>
      <c r="O1027" s="73">
        <v>1</v>
      </c>
      <c r="P1027" s="17" t="s">
        <v>37</v>
      </c>
      <c r="Q1027" t="str">
        <f>LEFT(B1027,3)</f>
        <v>RDS</v>
      </c>
    </row>
    <row r="1028" spans="1:17">
      <c r="A1028" s="17" t="s">
        <v>3527</v>
      </c>
      <c r="B1028" s="17" t="s">
        <v>1882</v>
      </c>
      <c r="C1028" s="13" t="s">
        <v>1883</v>
      </c>
      <c r="D1028" s="13" t="s">
        <v>1884</v>
      </c>
      <c r="E1028" s="17" t="s">
        <v>191</v>
      </c>
      <c r="F1028" s="17" t="s">
        <v>43</v>
      </c>
      <c r="G1028" s="17" t="s">
        <v>43</v>
      </c>
      <c r="H1028" s="7">
        <v>336799</v>
      </c>
      <c r="I1028" s="7">
        <v>288960</v>
      </c>
      <c r="J1028" s="79">
        <v>165.38959360699999</v>
      </c>
      <c r="K1028" s="79">
        <v>-21.598603089000001</v>
      </c>
      <c r="L1028" s="71">
        <v>70</v>
      </c>
      <c r="M1028" s="73">
        <v>1</v>
      </c>
      <c r="N1028" s="73">
        <v>1</v>
      </c>
      <c r="O1028" s="73">
        <v>0</v>
      </c>
      <c r="P1028" s="17" t="s">
        <v>37</v>
      </c>
      <c r="Q1028" t="str">
        <f>LEFT(B1028,3)</f>
        <v>RDV</v>
      </c>
    </row>
    <row r="1029" spans="1:17">
      <c r="A1029" s="17" t="s">
        <v>3528</v>
      </c>
      <c r="B1029" s="17" t="s">
        <v>1882</v>
      </c>
      <c r="C1029" s="13" t="s">
        <v>1883</v>
      </c>
      <c r="D1029" s="13" t="s">
        <v>1884</v>
      </c>
      <c r="E1029" s="17" t="s">
        <v>191</v>
      </c>
      <c r="F1029" s="17" t="s">
        <v>43</v>
      </c>
      <c r="G1029" s="17" t="s">
        <v>43</v>
      </c>
      <c r="H1029" s="7">
        <v>336799</v>
      </c>
      <c r="I1029" s="7">
        <v>288960</v>
      </c>
      <c r="J1029" s="79">
        <v>165.38959360699999</v>
      </c>
      <c r="K1029" s="79">
        <v>-21.598603089000001</v>
      </c>
      <c r="L1029" s="71">
        <v>180</v>
      </c>
      <c r="M1029" s="73">
        <v>1</v>
      </c>
      <c r="N1029" s="73">
        <v>1</v>
      </c>
      <c r="O1029" s="73">
        <v>0</v>
      </c>
      <c r="P1029" s="17" t="s">
        <v>37</v>
      </c>
      <c r="Q1029" t="str">
        <f>LEFT(B1029,3)</f>
        <v>RDV</v>
      </c>
    </row>
    <row r="1030" spans="1:17">
      <c r="A1030" s="17" t="s">
        <v>3529</v>
      </c>
      <c r="B1030" s="17" t="s">
        <v>1882</v>
      </c>
      <c r="C1030" s="13" t="s">
        <v>1883</v>
      </c>
      <c r="D1030" s="13" t="s">
        <v>1884</v>
      </c>
      <c r="E1030" s="17" t="s">
        <v>191</v>
      </c>
      <c r="F1030" s="17" t="s">
        <v>43</v>
      </c>
      <c r="G1030" s="17" t="s">
        <v>43</v>
      </c>
      <c r="H1030" s="7">
        <v>336799</v>
      </c>
      <c r="I1030" s="7">
        <v>288960</v>
      </c>
      <c r="J1030" s="79">
        <v>165.38959360699999</v>
      </c>
      <c r="K1030" s="79">
        <v>-21.598603089000001</v>
      </c>
      <c r="L1030" s="71">
        <v>300</v>
      </c>
      <c r="M1030" s="73">
        <v>1</v>
      </c>
      <c r="N1030" s="73">
        <v>1</v>
      </c>
      <c r="O1030" s="73">
        <v>0</v>
      </c>
      <c r="P1030" s="17" t="s">
        <v>37</v>
      </c>
      <c r="Q1030" t="str">
        <f>LEFT(B1030,3)</f>
        <v>RDV</v>
      </c>
    </row>
    <row r="1031" spans="1:17">
      <c r="A1031" s="17" t="s">
        <v>3530</v>
      </c>
      <c r="B1031" s="17" t="s">
        <v>1886</v>
      </c>
      <c r="C1031" s="13" t="s">
        <v>3531</v>
      </c>
      <c r="D1031" s="13" t="s">
        <v>3531</v>
      </c>
      <c r="E1031" s="17" t="s">
        <v>29</v>
      </c>
      <c r="F1031" s="17" t="s">
        <v>43</v>
      </c>
      <c r="G1031" s="17" t="s">
        <v>30</v>
      </c>
      <c r="H1031" s="7">
        <v>445675.61654999998</v>
      </c>
      <c r="I1031" s="7">
        <v>214091.42343</v>
      </c>
      <c r="J1031" s="80">
        <v>166.443197971046</v>
      </c>
      <c r="K1031" s="80">
        <v>-22.2753240439142</v>
      </c>
      <c r="L1031" s="71">
        <v>120</v>
      </c>
      <c r="M1031" s="73">
        <v>3</v>
      </c>
      <c r="N1031" s="73">
        <v>3</v>
      </c>
      <c r="O1031" s="73">
        <v>1</v>
      </c>
      <c r="P1031" s="17" t="s">
        <v>37</v>
      </c>
      <c r="Q1031" t="str">
        <f>LEFT(B1031,3)</f>
        <v>REP</v>
      </c>
    </row>
    <row r="1032" spans="1:17">
      <c r="A1032" s="17" t="s">
        <v>3532</v>
      </c>
      <c r="B1032" s="17" t="s">
        <v>1886</v>
      </c>
      <c r="C1032" s="13" t="s">
        <v>3531</v>
      </c>
      <c r="D1032" s="13" t="s">
        <v>3531</v>
      </c>
      <c r="E1032" s="17" t="s">
        <v>29</v>
      </c>
      <c r="F1032" s="17" t="s">
        <v>43</v>
      </c>
      <c r="G1032" s="17" t="s">
        <v>30</v>
      </c>
      <c r="H1032" s="7">
        <v>445675.61654999998</v>
      </c>
      <c r="I1032" s="7">
        <v>214091.42343</v>
      </c>
      <c r="J1032" s="80">
        <v>166.443197971046</v>
      </c>
      <c r="K1032" s="80">
        <v>-22.2753240439142</v>
      </c>
      <c r="L1032" s="71">
        <v>190</v>
      </c>
      <c r="M1032" s="73">
        <v>3</v>
      </c>
      <c r="N1032" s="73">
        <v>3</v>
      </c>
      <c r="O1032" s="73">
        <v>1</v>
      </c>
      <c r="P1032" s="17" t="s">
        <v>37</v>
      </c>
      <c r="Q1032" t="str">
        <f>LEFT(B1032,3)</f>
        <v>REP</v>
      </c>
    </row>
    <row r="1033" spans="1:17">
      <c r="A1033" s="17" t="s">
        <v>3533</v>
      </c>
      <c r="B1033" s="17" t="s">
        <v>1886</v>
      </c>
      <c r="C1033" s="13" t="s">
        <v>3531</v>
      </c>
      <c r="D1033" s="13" t="s">
        <v>3531</v>
      </c>
      <c r="E1033" s="17" t="s">
        <v>29</v>
      </c>
      <c r="F1033" s="17" t="s">
        <v>43</v>
      </c>
      <c r="G1033" s="17" t="s">
        <v>30</v>
      </c>
      <c r="H1033" s="7">
        <v>445675.61654999998</v>
      </c>
      <c r="I1033" s="7">
        <v>214091.42343</v>
      </c>
      <c r="J1033" s="80">
        <v>166.443197971046</v>
      </c>
      <c r="K1033" s="80">
        <v>-22.2753240439142</v>
      </c>
      <c r="L1033" s="71">
        <v>305</v>
      </c>
      <c r="M1033" s="73">
        <v>3</v>
      </c>
      <c r="N1033" s="73">
        <v>3</v>
      </c>
      <c r="O1033" s="73">
        <v>1</v>
      </c>
      <c r="P1033" s="17" t="s">
        <v>37</v>
      </c>
      <c r="Q1033" t="str">
        <f>LEFT(B1033,3)</f>
        <v>REP</v>
      </c>
    </row>
    <row r="1034" spans="1:17">
      <c r="A1034" s="17" t="s">
        <v>3534</v>
      </c>
      <c r="B1034" s="17" t="s">
        <v>1889</v>
      </c>
      <c r="C1034" s="13" t="s">
        <v>1890</v>
      </c>
      <c r="D1034" s="13" t="s">
        <v>1890</v>
      </c>
      <c r="E1034" s="17" t="s">
        <v>67</v>
      </c>
      <c r="F1034" s="17" t="s">
        <v>68</v>
      </c>
      <c r="G1034" s="17" t="s">
        <v>68</v>
      </c>
      <c r="H1034" s="7">
        <v>282259.99375000002</v>
      </c>
      <c r="I1034" s="7">
        <v>345905.26766999997</v>
      </c>
      <c r="J1034" s="80">
        <v>164.86684713929401</v>
      </c>
      <c r="K1034" s="80">
        <v>-21.081504309232098</v>
      </c>
      <c r="L1034" s="71">
        <v>0</v>
      </c>
      <c r="M1034" s="73">
        <v>3</v>
      </c>
      <c r="N1034" s="73">
        <v>3</v>
      </c>
      <c r="O1034" s="73">
        <v>1</v>
      </c>
      <c r="P1034" s="17" t="s">
        <v>37</v>
      </c>
      <c r="Q1034" t="str">
        <f>LEFT(B1034,3)</f>
        <v>RGA</v>
      </c>
    </row>
    <row r="1035" spans="1:17">
      <c r="A1035" s="17" t="s">
        <v>3535</v>
      </c>
      <c r="B1035" s="17" t="s">
        <v>1889</v>
      </c>
      <c r="C1035" s="13" t="s">
        <v>1890</v>
      </c>
      <c r="D1035" s="13" t="s">
        <v>1890</v>
      </c>
      <c r="E1035" s="17" t="s">
        <v>67</v>
      </c>
      <c r="F1035" s="17" t="s">
        <v>68</v>
      </c>
      <c r="G1035" s="17" t="s">
        <v>68</v>
      </c>
      <c r="H1035" s="7">
        <v>282259.99375000002</v>
      </c>
      <c r="I1035" s="7">
        <v>345905.26766999997</v>
      </c>
      <c r="J1035" s="80">
        <v>164.86684713929401</v>
      </c>
      <c r="K1035" s="80">
        <v>-21.081504309232098</v>
      </c>
      <c r="L1035" s="71">
        <v>120</v>
      </c>
      <c r="M1035" s="73">
        <v>3</v>
      </c>
      <c r="N1035" s="73">
        <v>3</v>
      </c>
      <c r="O1035" s="73">
        <v>1</v>
      </c>
      <c r="P1035" s="17" t="s">
        <v>37</v>
      </c>
      <c r="Q1035" t="str">
        <f>LEFT(B1035,3)</f>
        <v>RGA</v>
      </c>
    </row>
    <row r="1036" spans="1:17">
      <c r="A1036" s="17" t="s">
        <v>3536</v>
      </c>
      <c r="B1036" s="17" t="s">
        <v>1889</v>
      </c>
      <c r="C1036" s="13" t="s">
        <v>1890</v>
      </c>
      <c r="D1036" s="13" t="s">
        <v>1890</v>
      </c>
      <c r="E1036" s="17" t="s">
        <v>67</v>
      </c>
      <c r="F1036" s="17" t="s">
        <v>68</v>
      </c>
      <c r="G1036" s="17" t="s">
        <v>68</v>
      </c>
      <c r="H1036" s="7">
        <v>282259.99375000002</v>
      </c>
      <c r="I1036" s="7">
        <v>345905.26766999997</v>
      </c>
      <c r="J1036" s="80">
        <v>164.86684713929401</v>
      </c>
      <c r="K1036" s="80">
        <v>-21.081504309232098</v>
      </c>
      <c r="L1036" s="71">
        <v>240</v>
      </c>
      <c r="M1036" s="73">
        <v>3</v>
      </c>
      <c r="N1036" s="73">
        <v>3</v>
      </c>
      <c r="O1036" s="73">
        <v>1</v>
      </c>
      <c r="P1036" s="17" t="s">
        <v>37</v>
      </c>
      <c r="Q1036" t="str">
        <f>LEFT(B1036,3)</f>
        <v>RGA</v>
      </c>
    </row>
    <row r="1037" spans="1:17">
      <c r="A1037" s="17" t="s">
        <v>3537</v>
      </c>
      <c r="B1037" s="6" t="s">
        <v>1893</v>
      </c>
      <c r="C1037" s="6" t="s">
        <v>1894</v>
      </c>
      <c r="D1037" s="6" t="s">
        <v>1895</v>
      </c>
      <c r="E1037" s="17" t="s">
        <v>148</v>
      </c>
      <c r="F1037" s="17" t="s">
        <v>68</v>
      </c>
      <c r="G1037" s="17" t="s">
        <v>68</v>
      </c>
      <c r="H1037" s="7">
        <v>324142</v>
      </c>
      <c r="I1037" s="7">
        <v>331453</v>
      </c>
      <c r="J1037" s="80">
        <v>165.26927000000001</v>
      </c>
      <c r="K1037" s="80">
        <v>-21.214296999999998</v>
      </c>
      <c r="L1037" s="71">
        <v>31</v>
      </c>
      <c r="M1037" s="73">
        <v>1</v>
      </c>
      <c r="N1037" s="73">
        <v>1</v>
      </c>
      <c r="O1037" s="73">
        <v>0</v>
      </c>
      <c r="P1037" s="17" t="s">
        <v>37</v>
      </c>
      <c r="Q1037" t="str">
        <f>LEFT(B1037,3)</f>
        <v>RGO</v>
      </c>
    </row>
    <row r="1038" spans="1:17">
      <c r="A1038" s="17" t="s">
        <v>3538</v>
      </c>
      <c r="B1038" s="6" t="s">
        <v>1893</v>
      </c>
      <c r="C1038" s="6" t="s">
        <v>1894</v>
      </c>
      <c r="D1038" s="6" t="s">
        <v>1895</v>
      </c>
      <c r="E1038" s="17" t="s">
        <v>148</v>
      </c>
      <c r="F1038" s="17" t="s">
        <v>68</v>
      </c>
      <c r="G1038" s="17" t="s">
        <v>68</v>
      </c>
      <c r="H1038" s="7">
        <v>324142</v>
      </c>
      <c r="I1038" s="7">
        <v>331453</v>
      </c>
      <c r="J1038" s="80">
        <v>165.26927000000001</v>
      </c>
      <c r="K1038" s="80">
        <v>-21.214296999999998</v>
      </c>
      <c r="L1038" s="71">
        <v>160</v>
      </c>
      <c r="M1038" s="73">
        <v>1</v>
      </c>
      <c r="N1038" s="73">
        <v>1</v>
      </c>
      <c r="O1038" s="73">
        <v>0</v>
      </c>
      <c r="P1038" s="17" t="s">
        <v>37</v>
      </c>
      <c r="Q1038" t="str">
        <f>LEFT(B1038,3)</f>
        <v>RGO</v>
      </c>
    </row>
    <row r="1039" spans="1:17">
      <c r="A1039" s="17" t="s">
        <v>3539</v>
      </c>
      <c r="B1039" s="6" t="s">
        <v>1893</v>
      </c>
      <c r="C1039" s="6" t="s">
        <v>1894</v>
      </c>
      <c r="D1039" s="6" t="s">
        <v>1895</v>
      </c>
      <c r="E1039" s="17" t="s">
        <v>148</v>
      </c>
      <c r="F1039" s="17" t="s">
        <v>68</v>
      </c>
      <c r="G1039" s="17" t="s">
        <v>68</v>
      </c>
      <c r="H1039" s="7">
        <v>324142</v>
      </c>
      <c r="I1039" s="7">
        <v>331453</v>
      </c>
      <c r="J1039" s="80">
        <v>165.26927000000001</v>
      </c>
      <c r="K1039" s="80">
        <v>-21.214296999999998</v>
      </c>
      <c r="L1039" s="71">
        <v>308</v>
      </c>
      <c r="M1039" s="73">
        <v>1</v>
      </c>
      <c r="N1039" s="73">
        <v>1</v>
      </c>
      <c r="O1039" s="73">
        <v>0</v>
      </c>
      <c r="P1039" s="17" t="s">
        <v>37</v>
      </c>
      <c r="Q1039" t="str">
        <f>LEFT(B1039,3)</f>
        <v>RGO</v>
      </c>
    </row>
    <row r="1040" spans="1:17">
      <c r="A1040" s="17" t="s">
        <v>3540</v>
      </c>
      <c r="B1040" s="17" t="s">
        <v>1897</v>
      </c>
      <c r="C1040" s="13" t="s">
        <v>1898</v>
      </c>
      <c r="D1040" s="13" t="s">
        <v>756</v>
      </c>
      <c r="E1040" s="17" t="s">
        <v>79</v>
      </c>
      <c r="F1040" s="17" t="s">
        <v>68</v>
      </c>
      <c r="G1040" s="17" t="s">
        <v>68</v>
      </c>
      <c r="H1040" s="7">
        <v>332254</v>
      </c>
      <c r="I1040" s="7">
        <v>344643</v>
      </c>
      <c r="J1040" s="79">
        <v>165.34794099999999</v>
      </c>
      <c r="K1040" s="79">
        <v>-21.095482000000001</v>
      </c>
      <c r="L1040" s="71">
        <v>53</v>
      </c>
      <c r="M1040" s="73">
        <v>1</v>
      </c>
      <c r="N1040" s="73">
        <v>1</v>
      </c>
      <c r="O1040" s="73">
        <v>0</v>
      </c>
      <c r="P1040" s="17" t="s">
        <v>47</v>
      </c>
      <c r="Q1040" t="str">
        <f>LEFT(B1040,3)</f>
        <v>RGY</v>
      </c>
    </row>
    <row r="1041" spans="1:17">
      <c r="A1041" s="17" t="s">
        <v>3541</v>
      </c>
      <c r="B1041" s="17" t="s">
        <v>1897</v>
      </c>
      <c r="C1041" s="13" t="s">
        <v>1898</v>
      </c>
      <c r="D1041" s="13" t="s">
        <v>756</v>
      </c>
      <c r="E1041" s="17" t="s">
        <v>79</v>
      </c>
      <c r="F1041" s="17" t="s">
        <v>68</v>
      </c>
      <c r="G1041" s="17" t="s">
        <v>68</v>
      </c>
      <c r="H1041" s="7">
        <v>332254</v>
      </c>
      <c r="I1041" s="7">
        <v>344643</v>
      </c>
      <c r="J1041" s="79">
        <v>165.34794099999999</v>
      </c>
      <c r="K1041" s="79">
        <v>-21.095482000000001</v>
      </c>
      <c r="L1041" s="71">
        <v>257</v>
      </c>
      <c r="M1041" s="73">
        <v>1</v>
      </c>
      <c r="N1041" s="73">
        <v>1</v>
      </c>
      <c r="O1041" s="73">
        <v>0</v>
      </c>
      <c r="P1041" s="17" t="s">
        <v>47</v>
      </c>
      <c r="Q1041" t="str">
        <f>LEFT(B1041,3)</f>
        <v>RGY</v>
      </c>
    </row>
    <row r="1042" spans="1:17">
      <c r="A1042" s="17" t="s">
        <v>3542</v>
      </c>
      <c r="B1042" s="17" t="s">
        <v>1900</v>
      </c>
      <c r="C1042" s="13" t="s">
        <v>1901</v>
      </c>
      <c r="D1042" s="13" t="s">
        <v>1902</v>
      </c>
      <c r="E1042" s="17" t="s">
        <v>142</v>
      </c>
      <c r="F1042" s="17" t="s">
        <v>43</v>
      </c>
      <c r="G1042" s="17" t="s">
        <v>43</v>
      </c>
      <c r="H1042" s="7">
        <v>476010.88548</v>
      </c>
      <c r="I1042" s="7">
        <v>229466.53997000001</v>
      </c>
      <c r="J1042" s="80">
        <v>166.736834253995</v>
      </c>
      <c r="K1042" s="80">
        <v>-22.135430421875601</v>
      </c>
      <c r="L1042" s="71">
        <v>100</v>
      </c>
      <c r="M1042" s="73">
        <v>1</v>
      </c>
      <c r="N1042" s="73">
        <v>1</v>
      </c>
      <c r="O1042" s="73">
        <v>1</v>
      </c>
      <c r="P1042" s="17" t="s">
        <v>47</v>
      </c>
      <c r="Q1042" t="str">
        <f>LEFT(B1042,3)</f>
        <v>RIV</v>
      </c>
    </row>
    <row r="1043" spans="1:17">
      <c r="A1043" s="17" t="s">
        <v>3543</v>
      </c>
      <c r="B1043" s="17" t="s">
        <v>1900</v>
      </c>
      <c r="C1043" s="13" t="s">
        <v>1901</v>
      </c>
      <c r="D1043" s="13" t="s">
        <v>1902</v>
      </c>
      <c r="E1043" s="17" t="s">
        <v>142</v>
      </c>
      <c r="F1043" s="17" t="s">
        <v>43</v>
      </c>
      <c r="G1043" s="17" t="s">
        <v>43</v>
      </c>
      <c r="H1043" s="7">
        <v>476010.88548</v>
      </c>
      <c r="I1043" s="7">
        <v>229466.53997000001</v>
      </c>
      <c r="J1043" s="80">
        <v>166.736834253995</v>
      </c>
      <c r="K1043" s="80">
        <v>-22.135430421875601</v>
      </c>
      <c r="L1043" s="71">
        <v>210</v>
      </c>
      <c r="M1043" s="73">
        <v>1</v>
      </c>
      <c r="N1043" s="73">
        <v>1</v>
      </c>
      <c r="O1043" s="73">
        <v>1</v>
      </c>
      <c r="P1043" s="17" t="s">
        <v>47</v>
      </c>
      <c r="Q1043" t="str">
        <f>LEFT(B1043,3)</f>
        <v>RIV</v>
      </c>
    </row>
    <row r="1044" spans="1:17">
      <c r="A1044" s="17" t="s">
        <v>3544</v>
      </c>
      <c r="B1044" s="17" t="s">
        <v>1900</v>
      </c>
      <c r="C1044" s="13" t="s">
        <v>1901</v>
      </c>
      <c r="D1044" s="13" t="s">
        <v>1902</v>
      </c>
      <c r="E1044" s="17" t="s">
        <v>142</v>
      </c>
      <c r="F1044" s="17" t="s">
        <v>43</v>
      </c>
      <c r="G1044" s="17" t="s">
        <v>43</v>
      </c>
      <c r="H1044" s="7">
        <v>476010.88548</v>
      </c>
      <c r="I1044" s="7">
        <v>229466.53997000001</v>
      </c>
      <c r="J1044" s="80">
        <v>166.736834253995</v>
      </c>
      <c r="K1044" s="80">
        <v>-22.135430421875601</v>
      </c>
      <c r="L1044" s="71">
        <v>317</v>
      </c>
      <c r="M1044" s="73">
        <v>1</v>
      </c>
      <c r="N1044" s="73">
        <v>1</v>
      </c>
      <c r="O1044" s="73">
        <v>1</v>
      </c>
      <c r="P1044" s="17" t="s">
        <v>47</v>
      </c>
      <c r="Q1044" t="str">
        <f>LEFT(B1044,3)</f>
        <v>RIV</v>
      </c>
    </row>
    <row r="1045" spans="1:17">
      <c r="A1045" s="17" t="s">
        <v>3545</v>
      </c>
      <c r="B1045" s="17" t="s">
        <v>1904</v>
      </c>
      <c r="C1045" s="13" t="s">
        <v>1905</v>
      </c>
      <c r="D1045" s="13" t="s">
        <v>1905</v>
      </c>
      <c r="E1045" s="17" t="s">
        <v>368</v>
      </c>
      <c r="F1045" s="17" t="s">
        <v>68</v>
      </c>
      <c r="G1045" s="17" t="s">
        <v>68</v>
      </c>
      <c r="H1045" s="7">
        <v>221295.16201</v>
      </c>
      <c r="I1045" s="7">
        <v>404158.56806000002</v>
      </c>
      <c r="J1045" s="80">
        <v>164.28629293781199</v>
      </c>
      <c r="K1045" s="80">
        <v>-20.550331587841601</v>
      </c>
      <c r="L1045" s="71">
        <v>65</v>
      </c>
      <c r="M1045" s="73">
        <v>2</v>
      </c>
      <c r="N1045" s="73">
        <v>3</v>
      </c>
      <c r="O1045" s="73">
        <v>1</v>
      </c>
      <c r="P1045" s="17" t="s">
        <v>47</v>
      </c>
      <c r="Q1045" t="str">
        <f>LEFT(B1045,3)</f>
        <v>RKC</v>
      </c>
    </row>
    <row r="1046" spans="1:17">
      <c r="A1046" s="17" t="s">
        <v>3546</v>
      </c>
      <c r="B1046" s="17" t="s">
        <v>1904</v>
      </c>
      <c r="C1046" s="13" t="s">
        <v>1905</v>
      </c>
      <c r="D1046" s="13" t="s">
        <v>1905</v>
      </c>
      <c r="E1046" s="17" t="s">
        <v>368</v>
      </c>
      <c r="F1046" s="17" t="s">
        <v>68</v>
      </c>
      <c r="G1046" s="17" t="s">
        <v>68</v>
      </c>
      <c r="H1046" s="7">
        <v>221295.16201</v>
      </c>
      <c r="I1046" s="7">
        <v>404158.56806000002</v>
      </c>
      <c r="J1046" s="80">
        <v>164.28629293781199</v>
      </c>
      <c r="K1046" s="80">
        <v>-20.550331587841601</v>
      </c>
      <c r="L1046" s="71">
        <v>180</v>
      </c>
      <c r="M1046" s="73">
        <v>2</v>
      </c>
      <c r="N1046" s="73">
        <v>3</v>
      </c>
      <c r="O1046" s="73">
        <v>1</v>
      </c>
      <c r="P1046" s="17" t="s">
        <v>47</v>
      </c>
      <c r="Q1046" t="str">
        <f>LEFT(B1046,3)</f>
        <v>RKC</v>
      </c>
    </row>
    <row r="1047" spans="1:17">
      <c r="A1047" s="17" t="s">
        <v>3547</v>
      </c>
      <c r="B1047" s="17" t="s">
        <v>1904</v>
      </c>
      <c r="C1047" s="13" t="s">
        <v>1905</v>
      </c>
      <c r="D1047" s="13" t="s">
        <v>1905</v>
      </c>
      <c r="E1047" s="17" t="s">
        <v>368</v>
      </c>
      <c r="F1047" s="17" t="s">
        <v>68</v>
      </c>
      <c r="G1047" s="17" t="s">
        <v>68</v>
      </c>
      <c r="H1047" s="7">
        <v>221295.16201</v>
      </c>
      <c r="I1047" s="7">
        <v>404158.56806000002</v>
      </c>
      <c r="J1047" s="80">
        <v>164.28629293781199</v>
      </c>
      <c r="K1047" s="80">
        <v>-20.550331587841601</v>
      </c>
      <c r="L1047" s="71">
        <v>280</v>
      </c>
      <c r="M1047" s="73">
        <v>2</v>
      </c>
      <c r="N1047" s="73">
        <v>2</v>
      </c>
      <c r="O1047" s="73">
        <v>1</v>
      </c>
      <c r="P1047" s="17" t="s">
        <v>47</v>
      </c>
      <c r="Q1047" t="str">
        <f>LEFT(B1047,3)</f>
        <v>RKC</v>
      </c>
    </row>
    <row r="1048" spans="1:17">
      <c r="A1048" s="17" t="s">
        <v>3548</v>
      </c>
      <c r="B1048" s="17" t="s">
        <v>1908</v>
      </c>
      <c r="C1048" s="13" t="s">
        <v>3549</v>
      </c>
      <c r="D1048" s="13" t="s">
        <v>1909</v>
      </c>
      <c r="E1048" s="17" t="s">
        <v>609</v>
      </c>
      <c r="F1048" s="17" t="s">
        <v>68</v>
      </c>
      <c r="G1048" s="17" t="s">
        <v>68</v>
      </c>
      <c r="H1048" s="7">
        <v>408023</v>
      </c>
      <c r="I1048" s="7">
        <v>274042</v>
      </c>
      <c r="J1048" s="79">
        <v>166.07756000000001</v>
      </c>
      <c r="K1048" s="79">
        <v>-21.734439999999999</v>
      </c>
      <c r="L1048" s="71">
        <v>65</v>
      </c>
      <c r="M1048" s="73">
        <v>1</v>
      </c>
      <c r="N1048" s="73">
        <v>1</v>
      </c>
      <c r="O1048" s="73">
        <v>1</v>
      </c>
      <c r="P1048" s="17" t="s">
        <v>47</v>
      </c>
      <c r="Q1048" t="str">
        <f>LEFT(B1048,3)</f>
        <v>RKG</v>
      </c>
    </row>
    <row r="1049" spans="1:17">
      <c r="A1049" s="17" t="s">
        <v>3550</v>
      </c>
      <c r="B1049" s="17" t="s">
        <v>1908</v>
      </c>
      <c r="C1049" s="13" t="s">
        <v>3549</v>
      </c>
      <c r="D1049" s="13" t="s">
        <v>1909</v>
      </c>
      <c r="E1049" s="17" t="s">
        <v>609</v>
      </c>
      <c r="F1049" s="17" t="s">
        <v>68</v>
      </c>
      <c r="G1049" s="17" t="s">
        <v>68</v>
      </c>
      <c r="H1049" s="7">
        <v>408023</v>
      </c>
      <c r="I1049" s="7">
        <v>274042</v>
      </c>
      <c r="J1049" s="79">
        <v>166.07756000000001</v>
      </c>
      <c r="K1049" s="79">
        <v>-21.734439999999999</v>
      </c>
      <c r="L1049" s="71">
        <v>330</v>
      </c>
      <c r="M1049" s="73">
        <v>1</v>
      </c>
      <c r="N1049" s="73">
        <v>1</v>
      </c>
      <c r="O1049" s="73">
        <v>1</v>
      </c>
      <c r="P1049" s="17" t="s">
        <v>47</v>
      </c>
      <c r="Q1049" t="str">
        <f>LEFT(B1049,3)</f>
        <v>RKG</v>
      </c>
    </row>
    <row r="1050" spans="1:17">
      <c r="A1050" s="17" t="s">
        <v>3551</v>
      </c>
      <c r="B1050" s="17" t="s">
        <v>1912</v>
      </c>
      <c r="C1050" s="13" t="s">
        <v>1913</v>
      </c>
      <c r="D1050" s="13" t="s">
        <v>1914</v>
      </c>
      <c r="E1050" s="17" t="s">
        <v>49</v>
      </c>
      <c r="F1050" s="17" t="s">
        <v>43</v>
      </c>
      <c r="G1050" s="17" t="s">
        <v>50</v>
      </c>
      <c r="H1050" s="7">
        <v>447344</v>
      </c>
      <c r="I1050" s="7">
        <v>222025</v>
      </c>
      <c r="J1050" s="80">
        <v>166.45915650499501</v>
      </c>
      <c r="K1050" s="80">
        <v>-22.203629778360401</v>
      </c>
      <c r="L1050" s="71">
        <v>60</v>
      </c>
      <c r="M1050" s="73">
        <v>3</v>
      </c>
      <c r="N1050" s="73">
        <v>3</v>
      </c>
      <c r="O1050" s="73">
        <v>1</v>
      </c>
      <c r="P1050" s="17" t="s">
        <v>37</v>
      </c>
      <c r="Q1050" t="str">
        <f>LEFT(B1050,3)</f>
        <v>RKO</v>
      </c>
    </row>
    <row r="1051" spans="1:17">
      <c r="A1051" s="17" t="s">
        <v>3552</v>
      </c>
      <c r="B1051" s="17" t="s">
        <v>1912</v>
      </c>
      <c r="C1051" s="13" t="s">
        <v>1913</v>
      </c>
      <c r="D1051" s="13" t="s">
        <v>1914</v>
      </c>
      <c r="E1051" s="17" t="s">
        <v>49</v>
      </c>
      <c r="F1051" s="17" t="s">
        <v>43</v>
      </c>
      <c r="G1051" s="17" t="s">
        <v>50</v>
      </c>
      <c r="H1051" s="7">
        <v>447344</v>
      </c>
      <c r="I1051" s="7">
        <v>222025</v>
      </c>
      <c r="J1051" s="80">
        <v>166.45915650499501</v>
      </c>
      <c r="K1051" s="80">
        <v>-22.203629778360401</v>
      </c>
      <c r="L1051" s="71">
        <v>169</v>
      </c>
      <c r="M1051" s="73">
        <v>3</v>
      </c>
      <c r="N1051" s="73">
        <v>3</v>
      </c>
      <c r="O1051" s="73">
        <v>1</v>
      </c>
      <c r="P1051" s="17" t="s">
        <v>37</v>
      </c>
      <c r="Q1051" t="str">
        <f>LEFT(B1051,3)</f>
        <v>RKO</v>
      </c>
    </row>
    <row r="1052" spans="1:17">
      <c r="A1052" s="17" t="s">
        <v>3553</v>
      </c>
      <c r="B1052" s="17" t="s">
        <v>1912</v>
      </c>
      <c r="C1052" s="13" t="s">
        <v>1913</v>
      </c>
      <c r="D1052" s="13" t="s">
        <v>1914</v>
      </c>
      <c r="E1052" s="17" t="s">
        <v>49</v>
      </c>
      <c r="F1052" s="17" t="s">
        <v>43</v>
      </c>
      <c r="G1052" s="17" t="s">
        <v>50</v>
      </c>
      <c r="H1052" s="7">
        <v>447344</v>
      </c>
      <c r="I1052" s="7">
        <v>222025</v>
      </c>
      <c r="J1052" s="80">
        <v>166.45915650499501</v>
      </c>
      <c r="K1052" s="80">
        <v>-22.203629778360401</v>
      </c>
      <c r="L1052" s="71">
        <v>300</v>
      </c>
      <c r="M1052" s="73">
        <v>3</v>
      </c>
      <c r="N1052" s="73">
        <v>3</v>
      </c>
      <c r="O1052" s="73">
        <v>1</v>
      </c>
      <c r="P1052" s="17" t="s">
        <v>37</v>
      </c>
      <c r="Q1052" t="str">
        <f>LEFT(B1052,3)</f>
        <v>RKO</v>
      </c>
    </row>
    <row r="1053" spans="1:17">
      <c r="A1053" s="17" t="s">
        <v>3554</v>
      </c>
      <c r="B1053" s="17" t="s">
        <v>1916</v>
      </c>
      <c r="C1053" s="13" t="s">
        <v>1918</v>
      </c>
      <c r="D1053" s="13" t="s">
        <v>1918</v>
      </c>
      <c r="E1053" s="17" t="s">
        <v>602</v>
      </c>
      <c r="F1053" s="17" t="s">
        <v>43</v>
      </c>
      <c r="G1053" s="17" t="s">
        <v>43</v>
      </c>
      <c r="H1053" s="7">
        <v>383329.00493</v>
      </c>
      <c r="I1053" s="7">
        <v>275965.93173000001</v>
      </c>
      <c r="J1053" s="80">
        <v>165.83885841864199</v>
      </c>
      <c r="K1053" s="80">
        <v>-21.717004936455801</v>
      </c>
      <c r="L1053" s="71">
        <v>100</v>
      </c>
      <c r="M1053" s="73">
        <v>2</v>
      </c>
      <c r="N1053" s="73">
        <v>2</v>
      </c>
      <c r="O1053" s="73">
        <v>1</v>
      </c>
      <c r="P1053" s="17" t="s">
        <v>47</v>
      </c>
      <c r="Q1053" t="str">
        <f>LEFT(B1053,3)</f>
        <v>RME</v>
      </c>
    </row>
    <row r="1054" spans="1:17">
      <c r="A1054" s="17" t="s">
        <v>3555</v>
      </c>
      <c r="B1054" s="17" t="s">
        <v>1916</v>
      </c>
      <c r="C1054" s="13" t="s">
        <v>1918</v>
      </c>
      <c r="D1054" s="13" t="s">
        <v>1918</v>
      </c>
      <c r="E1054" s="17" t="s">
        <v>602</v>
      </c>
      <c r="F1054" s="17" t="s">
        <v>43</v>
      </c>
      <c r="G1054" s="17" t="s">
        <v>43</v>
      </c>
      <c r="H1054" s="7">
        <v>383329.00493</v>
      </c>
      <c r="I1054" s="7">
        <v>275965.93173000001</v>
      </c>
      <c r="J1054" s="80">
        <v>165.83885841864199</v>
      </c>
      <c r="K1054" s="80">
        <v>-21.717004936455801</v>
      </c>
      <c r="L1054" s="71">
        <v>165</v>
      </c>
      <c r="M1054" s="73">
        <v>2</v>
      </c>
      <c r="N1054" s="73">
        <v>2</v>
      </c>
      <c r="O1054" s="73">
        <v>1</v>
      </c>
      <c r="P1054" s="17" t="s">
        <v>47</v>
      </c>
      <c r="Q1054" t="str">
        <f>LEFT(B1054,3)</f>
        <v>RME</v>
      </c>
    </row>
    <row r="1055" spans="1:17">
      <c r="A1055" s="17" t="s">
        <v>3556</v>
      </c>
      <c r="B1055" s="17" t="s">
        <v>1916</v>
      </c>
      <c r="C1055" s="13" t="s">
        <v>1918</v>
      </c>
      <c r="D1055" s="13" t="s">
        <v>1918</v>
      </c>
      <c r="E1055" s="17" t="s">
        <v>602</v>
      </c>
      <c r="F1055" s="17" t="s">
        <v>43</v>
      </c>
      <c r="G1055" s="17" t="s">
        <v>43</v>
      </c>
      <c r="H1055" s="7">
        <v>383329.00493</v>
      </c>
      <c r="I1055" s="7">
        <v>275965.93173000001</v>
      </c>
      <c r="J1055" s="80">
        <v>165.83885841864199</v>
      </c>
      <c r="K1055" s="80">
        <v>-21.717004936455801</v>
      </c>
      <c r="L1055" s="71">
        <v>295</v>
      </c>
      <c r="M1055" s="73">
        <v>2</v>
      </c>
      <c r="N1055" s="73">
        <v>2</v>
      </c>
      <c r="O1055" s="73">
        <v>1</v>
      </c>
      <c r="P1055" s="17" t="s">
        <v>47</v>
      </c>
      <c r="Q1055" t="str">
        <f>LEFT(B1055,3)</f>
        <v>RME</v>
      </c>
    </row>
    <row r="1056" spans="1:17">
      <c r="A1056" s="17" t="s">
        <v>3557</v>
      </c>
      <c r="B1056" s="17" t="s">
        <v>1922</v>
      </c>
      <c r="C1056" s="13" t="s">
        <v>1923</v>
      </c>
      <c r="D1056" s="13" t="s">
        <v>1924</v>
      </c>
      <c r="E1056" s="17" t="s">
        <v>56</v>
      </c>
      <c r="F1056" s="17" t="s">
        <v>43</v>
      </c>
      <c r="G1056" s="17" t="s">
        <v>50</v>
      </c>
      <c r="H1056" s="7">
        <v>433291</v>
      </c>
      <c r="I1056" s="7">
        <v>227823</v>
      </c>
      <c r="J1056" s="79">
        <v>166.32275100000001</v>
      </c>
      <c r="K1056" s="79">
        <v>-22.151585000000001</v>
      </c>
      <c r="L1056" s="71">
        <v>40</v>
      </c>
      <c r="M1056" s="73">
        <v>1</v>
      </c>
      <c r="N1056" s="73">
        <v>1</v>
      </c>
      <c r="O1056" s="73">
        <v>0</v>
      </c>
      <c r="P1056" s="17" t="s">
        <v>47</v>
      </c>
      <c r="Q1056" t="str">
        <f>LEFT(B1056,3)</f>
        <v>RND</v>
      </c>
    </row>
    <row r="1057" spans="1:17">
      <c r="A1057" s="17" t="s">
        <v>3558</v>
      </c>
      <c r="B1057" s="17" t="s">
        <v>1922</v>
      </c>
      <c r="C1057" s="13" t="s">
        <v>1923</v>
      </c>
      <c r="D1057" s="13" t="s">
        <v>1924</v>
      </c>
      <c r="E1057" s="17" t="s">
        <v>56</v>
      </c>
      <c r="F1057" s="17" t="s">
        <v>43</v>
      </c>
      <c r="G1057" s="17" t="s">
        <v>50</v>
      </c>
      <c r="H1057" s="7">
        <v>433291</v>
      </c>
      <c r="I1057" s="7">
        <v>227823</v>
      </c>
      <c r="J1057" s="79">
        <v>166.32275100000001</v>
      </c>
      <c r="K1057" s="79">
        <v>-22.151585000000001</v>
      </c>
      <c r="L1057" s="71">
        <v>265</v>
      </c>
      <c r="M1057" s="73">
        <v>1</v>
      </c>
      <c r="N1057" s="73">
        <v>1</v>
      </c>
      <c r="O1057" s="73">
        <v>0</v>
      </c>
      <c r="P1057" s="17" t="s">
        <v>47</v>
      </c>
      <c r="Q1057" t="str">
        <f>LEFT(B1057,3)</f>
        <v>RND</v>
      </c>
    </row>
    <row r="1058" spans="1:17">
      <c r="A1058" s="17" t="s">
        <v>3559</v>
      </c>
      <c r="B1058" s="17" t="s">
        <v>1926</v>
      </c>
      <c r="C1058" s="13" t="s">
        <v>1927</v>
      </c>
      <c r="D1058" s="13" t="s">
        <v>1928</v>
      </c>
      <c r="E1058" s="17" t="s">
        <v>104</v>
      </c>
      <c r="F1058" s="17" t="s">
        <v>68</v>
      </c>
      <c r="G1058" s="17" t="s">
        <v>68</v>
      </c>
      <c r="H1058" s="7">
        <v>334818</v>
      </c>
      <c r="I1058" s="7">
        <v>359912</v>
      </c>
      <c r="J1058" s="79">
        <v>165.373209</v>
      </c>
      <c r="K1058" s="79">
        <v>-20.957657999999999</v>
      </c>
      <c r="L1058" s="71">
        <v>180</v>
      </c>
      <c r="M1058" s="73">
        <v>1</v>
      </c>
      <c r="N1058" s="73">
        <v>1</v>
      </c>
      <c r="O1058" s="73">
        <v>0</v>
      </c>
      <c r="P1058" s="17" t="s">
        <v>47</v>
      </c>
      <c r="Q1058" t="str">
        <f>LEFT(B1058,3)</f>
        <v>RNP</v>
      </c>
    </row>
    <row r="1059" spans="1:17">
      <c r="A1059" s="17" t="s">
        <v>3560</v>
      </c>
      <c r="B1059" s="17" t="s">
        <v>1926</v>
      </c>
      <c r="C1059" s="13" t="s">
        <v>1927</v>
      </c>
      <c r="D1059" s="13" t="s">
        <v>1928</v>
      </c>
      <c r="E1059" s="17" t="s">
        <v>104</v>
      </c>
      <c r="F1059" s="17" t="s">
        <v>68</v>
      </c>
      <c r="G1059" s="17" t="s">
        <v>68</v>
      </c>
      <c r="H1059" s="7">
        <v>334818</v>
      </c>
      <c r="I1059" s="7">
        <v>359912</v>
      </c>
      <c r="J1059" s="79">
        <v>165.373209</v>
      </c>
      <c r="K1059" s="79">
        <v>-20.957657999999999</v>
      </c>
      <c r="L1059" s="71">
        <v>297</v>
      </c>
      <c r="M1059" s="73">
        <v>1</v>
      </c>
      <c r="N1059" s="73">
        <v>1</v>
      </c>
      <c r="O1059" s="73">
        <v>0</v>
      </c>
      <c r="P1059" s="17" t="s">
        <v>47</v>
      </c>
      <c r="Q1059" t="str">
        <f>LEFT(B1059,3)</f>
        <v>RNP</v>
      </c>
    </row>
    <row r="1060" spans="1:17">
      <c r="A1060" s="17" t="s">
        <v>3561</v>
      </c>
      <c r="B1060" s="17" t="s">
        <v>1930</v>
      </c>
      <c r="C1060" s="13" t="s">
        <v>213</v>
      </c>
      <c r="D1060" s="13" t="s">
        <v>213</v>
      </c>
      <c r="E1060" s="17" t="s">
        <v>93</v>
      </c>
      <c r="F1060" s="17" t="s">
        <v>43</v>
      </c>
      <c r="G1060" s="17" t="s">
        <v>50</v>
      </c>
      <c r="H1060" s="7">
        <v>452649.97584000003</v>
      </c>
      <c r="I1060" s="7">
        <v>219690.87787999999</v>
      </c>
      <c r="J1060" s="80">
        <v>166.51068930540799</v>
      </c>
      <c r="K1060" s="80">
        <v>-22.2245593194157</v>
      </c>
      <c r="L1060" s="71">
        <v>0</v>
      </c>
      <c r="M1060" s="73">
        <v>2</v>
      </c>
      <c r="N1060" s="73">
        <v>2</v>
      </c>
      <c r="O1060" s="73">
        <v>1</v>
      </c>
      <c r="P1060" s="17" t="s">
        <v>37</v>
      </c>
      <c r="Q1060" t="str">
        <f>LEFT(B1060,3)</f>
        <v>ROB</v>
      </c>
    </row>
    <row r="1061" spans="1:17">
      <c r="A1061" s="17" t="s">
        <v>3562</v>
      </c>
      <c r="B1061" s="17" t="s">
        <v>1930</v>
      </c>
      <c r="C1061" s="13" t="s">
        <v>213</v>
      </c>
      <c r="D1061" s="13" t="s">
        <v>213</v>
      </c>
      <c r="E1061" s="17" t="s">
        <v>93</v>
      </c>
      <c r="F1061" s="17" t="s">
        <v>43</v>
      </c>
      <c r="G1061" s="17" t="s">
        <v>50</v>
      </c>
      <c r="H1061" s="7">
        <v>452649.97584000003</v>
      </c>
      <c r="I1061" s="7">
        <v>219690.87787999999</v>
      </c>
      <c r="J1061" s="80">
        <v>166.51068930540799</v>
      </c>
      <c r="K1061" s="80">
        <v>-22.2245593194157</v>
      </c>
      <c r="L1061" s="71">
        <v>110</v>
      </c>
      <c r="M1061" s="73">
        <v>2</v>
      </c>
      <c r="N1061" s="73">
        <v>2</v>
      </c>
      <c r="O1061" s="73">
        <v>1</v>
      </c>
      <c r="P1061" s="17" t="s">
        <v>37</v>
      </c>
      <c r="Q1061" t="str">
        <f>LEFT(B1061,3)</f>
        <v>ROB</v>
      </c>
    </row>
    <row r="1062" spans="1:17">
      <c r="A1062" s="17" t="s">
        <v>3563</v>
      </c>
      <c r="B1062" s="17" t="s">
        <v>1930</v>
      </c>
      <c r="C1062" s="13" t="s">
        <v>213</v>
      </c>
      <c r="D1062" s="13" t="s">
        <v>213</v>
      </c>
      <c r="E1062" s="17" t="s">
        <v>93</v>
      </c>
      <c r="F1062" s="17" t="s">
        <v>43</v>
      </c>
      <c r="G1062" s="17" t="s">
        <v>50</v>
      </c>
      <c r="H1062" s="7">
        <v>452649.97584000003</v>
      </c>
      <c r="I1062" s="7">
        <v>219690.87787999999</v>
      </c>
      <c r="J1062" s="80">
        <v>166.51068930540799</v>
      </c>
      <c r="K1062" s="80">
        <v>-22.2245593194157</v>
      </c>
      <c r="L1062" s="71">
        <v>250</v>
      </c>
      <c r="M1062" s="73">
        <v>2</v>
      </c>
      <c r="N1062" s="73">
        <v>2</v>
      </c>
      <c r="O1062" s="73">
        <v>1</v>
      </c>
      <c r="P1062" s="17" t="s">
        <v>37</v>
      </c>
      <c r="Q1062" t="str">
        <f>LEFT(B1062,3)</f>
        <v>ROB</v>
      </c>
    </row>
    <row r="1063" spans="1:17">
      <c r="A1063" s="17" t="s">
        <v>3564</v>
      </c>
      <c r="B1063" s="17" t="s">
        <v>1933</v>
      </c>
      <c r="C1063" s="13" t="s">
        <v>1934</v>
      </c>
      <c r="D1063" s="13" t="s">
        <v>1934</v>
      </c>
      <c r="E1063" s="17" t="s">
        <v>351</v>
      </c>
      <c r="F1063" s="17" t="s">
        <v>129</v>
      </c>
      <c r="G1063" s="17" t="s">
        <v>129</v>
      </c>
      <c r="H1063" s="7">
        <v>610860.40885000001</v>
      </c>
      <c r="I1063" s="7">
        <v>301581.27695999999</v>
      </c>
      <c r="J1063" s="80">
        <v>168.03483168704801</v>
      </c>
      <c r="K1063" s="80">
        <v>-21.473323906254699</v>
      </c>
      <c r="L1063" s="71">
        <v>20</v>
      </c>
      <c r="M1063" s="73">
        <v>1</v>
      </c>
      <c r="N1063" s="73">
        <v>1</v>
      </c>
      <c r="O1063" s="73">
        <v>1</v>
      </c>
      <c r="P1063" s="17" t="s">
        <v>47</v>
      </c>
      <c r="Q1063" t="str">
        <f>LEFT(B1063,3)</f>
        <v>ROC</v>
      </c>
    </row>
    <row r="1064" spans="1:17">
      <c r="A1064" s="17" t="s">
        <v>3565</v>
      </c>
      <c r="B1064" s="17" t="s">
        <v>1933</v>
      </c>
      <c r="C1064" s="13" t="s">
        <v>1934</v>
      </c>
      <c r="D1064" s="13" t="s">
        <v>1934</v>
      </c>
      <c r="E1064" s="17" t="s">
        <v>351</v>
      </c>
      <c r="F1064" s="17" t="s">
        <v>129</v>
      </c>
      <c r="G1064" s="17" t="s">
        <v>129</v>
      </c>
      <c r="H1064" s="7">
        <v>610860.40885000001</v>
      </c>
      <c r="I1064" s="7">
        <v>301581.27695999999</v>
      </c>
      <c r="J1064" s="80">
        <v>168.03483168704801</v>
      </c>
      <c r="K1064" s="80">
        <v>-21.473323906254699</v>
      </c>
      <c r="L1064" s="71">
        <v>85</v>
      </c>
      <c r="M1064" s="73">
        <v>1</v>
      </c>
      <c r="N1064" s="73">
        <v>1</v>
      </c>
      <c r="O1064" s="73">
        <v>1</v>
      </c>
      <c r="P1064" s="17" t="s">
        <v>47</v>
      </c>
      <c r="Q1064" t="str">
        <f>LEFT(B1064,3)</f>
        <v>ROC</v>
      </c>
    </row>
    <row r="1065" spans="1:17">
      <c r="A1065" s="17" t="s">
        <v>3566</v>
      </c>
      <c r="B1065" s="17" t="s">
        <v>1933</v>
      </c>
      <c r="C1065" s="13" t="s">
        <v>1934</v>
      </c>
      <c r="D1065" s="13" t="s">
        <v>1934</v>
      </c>
      <c r="E1065" s="17" t="s">
        <v>351</v>
      </c>
      <c r="F1065" s="17" t="s">
        <v>129</v>
      </c>
      <c r="G1065" s="17" t="s">
        <v>129</v>
      </c>
      <c r="H1065" s="7">
        <v>610860.40885000001</v>
      </c>
      <c r="I1065" s="7">
        <v>301581.27695999999</v>
      </c>
      <c r="J1065" s="80">
        <v>168.03483168704801</v>
      </c>
      <c r="K1065" s="80">
        <v>-21.473323906254699</v>
      </c>
      <c r="L1065" s="71">
        <v>180</v>
      </c>
      <c r="M1065" s="73">
        <v>1</v>
      </c>
      <c r="N1065" s="73">
        <v>1</v>
      </c>
      <c r="O1065" s="73">
        <v>1</v>
      </c>
      <c r="P1065" s="17" t="s">
        <v>47</v>
      </c>
      <c r="Q1065" t="str">
        <f>LEFT(B1065,3)</f>
        <v>ROC</v>
      </c>
    </row>
    <row r="1066" spans="1:17">
      <c r="A1066" s="17" t="s">
        <v>3567</v>
      </c>
      <c r="B1066" s="17" t="s">
        <v>1933</v>
      </c>
      <c r="C1066" s="13" t="s">
        <v>1934</v>
      </c>
      <c r="D1066" s="13" t="s">
        <v>1934</v>
      </c>
      <c r="E1066" s="17" t="s">
        <v>351</v>
      </c>
      <c r="F1066" s="17" t="s">
        <v>129</v>
      </c>
      <c r="G1066" s="17" t="s">
        <v>129</v>
      </c>
      <c r="H1066" s="7">
        <v>610860.40885000001</v>
      </c>
      <c r="I1066" s="7">
        <v>301581.27695999999</v>
      </c>
      <c r="J1066" s="80">
        <v>168.03483168704801</v>
      </c>
      <c r="K1066" s="80">
        <v>-21.473323906254699</v>
      </c>
      <c r="L1066" s="71">
        <v>265</v>
      </c>
      <c r="M1066" s="73">
        <v>1</v>
      </c>
      <c r="N1066" s="73">
        <v>1</v>
      </c>
      <c r="O1066" s="73">
        <v>0</v>
      </c>
      <c r="P1066" s="17" t="s">
        <v>47</v>
      </c>
      <c r="Q1066" t="str">
        <f>LEFT(B1066,3)</f>
        <v>ROC</v>
      </c>
    </row>
    <row r="1067" spans="1:17">
      <c r="A1067" s="17" t="s">
        <v>3568</v>
      </c>
      <c r="B1067" s="17" t="s">
        <v>1937</v>
      </c>
      <c r="C1067" s="13" t="s">
        <v>1938</v>
      </c>
      <c r="D1067" s="13" t="s">
        <v>1938</v>
      </c>
      <c r="E1067" s="17" t="s">
        <v>56</v>
      </c>
      <c r="F1067" s="17" t="s">
        <v>43</v>
      </c>
      <c r="G1067" s="17" t="s">
        <v>50</v>
      </c>
      <c r="H1067" s="7">
        <v>438354</v>
      </c>
      <c r="I1067" s="7">
        <v>230488</v>
      </c>
      <c r="J1067" s="80">
        <v>166.37177392531001</v>
      </c>
      <c r="K1067" s="80">
        <v>-22.127415494264799</v>
      </c>
      <c r="L1067" s="71">
        <v>10</v>
      </c>
      <c r="M1067" s="73">
        <v>2</v>
      </c>
      <c r="N1067" s="73">
        <v>3</v>
      </c>
      <c r="O1067" s="73">
        <v>1</v>
      </c>
      <c r="P1067" s="17" t="s">
        <v>37</v>
      </c>
      <c r="Q1067" t="str">
        <f>LEFT(B1067,3)</f>
        <v>RPA</v>
      </c>
    </row>
    <row r="1068" spans="1:17">
      <c r="A1068" s="17" t="s">
        <v>3569</v>
      </c>
      <c r="B1068" s="17" t="s">
        <v>1937</v>
      </c>
      <c r="C1068" s="13" t="s">
        <v>1938</v>
      </c>
      <c r="D1068" s="13" t="s">
        <v>1938</v>
      </c>
      <c r="E1068" s="17" t="s">
        <v>56</v>
      </c>
      <c r="F1068" s="17" t="s">
        <v>43</v>
      </c>
      <c r="G1068" s="17" t="s">
        <v>50</v>
      </c>
      <c r="H1068" s="7">
        <v>438354</v>
      </c>
      <c r="I1068" s="7">
        <v>230488</v>
      </c>
      <c r="J1068" s="80">
        <v>166.37177392531001</v>
      </c>
      <c r="K1068" s="80">
        <v>-22.127415494264799</v>
      </c>
      <c r="L1068" s="71">
        <v>165</v>
      </c>
      <c r="M1068" s="73">
        <v>2</v>
      </c>
      <c r="N1068" s="73">
        <v>3</v>
      </c>
      <c r="O1068" s="73">
        <v>1</v>
      </c>
      <c r="P1068" s="17" t="s">
        <v>37</v>
      </c>
      <c r="Q1068" t="str">
        <f>LEFT(B1068,3)</f>
        <v>RPA</v>
      </c>
    </row>
    <row r="1069" spans="1:17">
      <c r="A1069" s="17" t="s">
        <v>3570</v>
      </c>
      <c r="B1069" s="17" t="s">
        <v>1937</v>
      </c>
      <c r="C1069" s="13" t="s">
        <v>1938</v>
      </c>
      <c r="D1069" s="13" t="s">
        <v>1938</v>
      </c>
      <c r="E1069" s="17" t="s">
        <v>56</v>
      </c>
      <c r="F1069" s="17" t="s">
        <v>43</v>
      </c>
      <c r="G1069" s="17" t="s">
        <v>50</v>
      </c>
      <c r="H1069" s="7">
        <v>438354</v>
      </c>
      <c r="I1069" s="7">
        <v>230488</v>
      </c>
      <c r="J1069" s="80">
        <v>166.37177392531001</v>
      </c>
      <c r="K1069" s="80">
        <v>-22.127415494264799</v>
      </c>
      <c r="L1069" s="71">
        <v>260</v>
      </c>
      <c r="M1069" s="73">
        <v>2</v>
      </c>
      <c r="N1069" s="73">
        <v>3</v>
      </c>
      <c r="O1069" s="73">
        <v>1</v>
      </c>
      <c r="P1069" s="17" t="s">
        <v>37</v>
      </c>
      <c r="Q1069" t="str">
        <f>LEFT(B1069,3)</f>
        <v>RPA</v>
      </c>
    </row>
    <row r="1070" spans="1:17">
      <c r="A1070" s="17" t="s">
        <v>3571</v>
      </c>
      <c r="B1070" s="17" t="s">
        <v>1941</v>
      </c>
      <c r="C1070" s="13" t="s">
        <v>1942</v>
      </c>
      <c r="D1070" s="13" t="s">
        <v>1942</v>
      </c>
      <c r="E1070" s="17" t="s">
        <v>178</v>
      </c>
      <c r="F1070" s="17" t="s">
        <v>68</v>
      </c>
      <c r="G1070" s="17" t="s">
        <v>68</v>
      </c>
      <c r="H1070" s="7">
        <v>284784.65364999999</v>
      </c>
      <c r="I1070" s="7">
        <v>343185.52704999998</v>
      </c>
      <c r="J1070" s="80">
        <v>164.89096176632799</v>
      </c>
      <c r="K1070" s="80">
        <v>-21.1062270380855</v>
      </c>
      <c r="L1070" s="71">
        <v>0</v>
      </c>
      <c r="M1070" s="73">
        <v>3</v>
      </c>
      <c r="N1070" s="73">
        <v>3</v>
      </c>
      <c r="O1070" s="73">
        <v>1</v>
      </c>
      <c r="P1070" s="17" t="s">
        <v>37</v>
      </c>
      <c r="Q1070" t="str">
        <f>LEFT(B1070,3)</f>
        <v>RPB</v>
      </c>
    </row>
    <row r="1071" spans="1:17">
      <c r="A1071" s="17" t="s">
        <v>3572</v>
      </c>
      <c r="B1071" s="17" t="s">
        <v>1941</v>
      </c>
      <c r="C1071" s="13" t="s">
        <v>1942</v>
      </c>
      <c r="D1071" s="13" t="s">
        <v>1942</v>
      </c>
      <c r="E1071" s="17" t="s">
        <v>178</v>
      </c>
      <c r="F1071" s="17" t="s">
        <v>68</v>
      </c>
      <c r="G1071" s="17" t="s">
        <v>68</v>
      </c>
      <c r="H1071" s="7">
        <v>284784.65364999999</v>
      </c>
      <c r="I1071" s="7">
        <v>343185.52704999998</v>
      </c>
      <c r="J1071" s="80">
        <v>164.89096176632799</v>
      </c>
      <c r="K1071" s="80">
        <v>-21.1062270380855</v>
      </c>
      <c r="L1071" s="71">
        <v>120</v>
      </c>
      <c r="M1071" s="73">
        <v>3</v>
      </c>
      <c r="N1071" s="73">
        <v>3</v>
      </c>
      <c r="O1071" s="73">
        <v>1</v>
      </c>
      <c r="P1071" s="17" t="s">
        <v>37</v>
      </c>
      <c r="Q1071" t="str">
        <f>LEFT(B1071,3)</f>
        <v>RPB</v>
      </c>
    </row>
    <row r="1072" spans="1:17">
      <c r="A1072" s="17" t="s">
        <v>3573</v>
      </c>
      <c r="B1072" s="17" t="s">
        <v>1941</v>
      </c>
      <c r="C1072" s="13" t="s">
        <v>1942</v>
      </c>
      <c r="D1072" s="13" t="s">
        <v>1942</v>
      </c>
      <c r="E1072" s="17" t="s">
        <v>178</v>
      </c>
      <c r="F1072" s="17" t="s">
        <v>68</v>
      </c>
      <c r="G1072" s="17" t="s">
        <v>68</v>
      </c>
      <c r="H1072" s="7">
        <v>284784.65364999999</v>
      </c>
      <c r="I1072" s="7">
        <v>343185.52704999998</v>
      </c>
      <c r="J1072" s="80">
        <v>164.89096176632799</v>
      </c>
      <c r="K1072" s="80">
        <v>-21.1062270380855</v>
      </c>
      <c r="L1072" s="71">
        <v>240</v>
      </c>
      <c r="M1072" s="73">
        <v>3</v>
      </c>
      <c r="N1072" s="73">
        <v>3</v>
      </c>
      <c r="O1072" s="73">
        <v>1</v>
      </c>
      <c r="P1072" s="17" t="s">
        <v>37</v>
      </c>
      <c r="Q1072" t="str">
        <f>LEFT(B1072,3)</f>
        <v>RPB</v>
      </c>
    </row>
    <row r="1073" spans="1:17">
      <c r="A1073" s="17" t="s">
        <v>3574</v>
      </c>
      <c r="B1073" s="3" t="s">
        <v>1945</v>
      </c>
      <c r="C1073" s="13" t="s">
        <v>1946</v>
      </c>
      <c r="D1073" s="13" t="s">
        <v>1947</v>
      </c>
      <c r="E1073" s="17" t="s">
        <v>67</v>
      </c>
      <c r="F1073" s="17" t="s">
        <v>68</v>
      </c>
      <c r="G1073" s="17" t="s">
        <v>68</v>
      </c>
      <c r="H1073" s="7">
        <v>275780</v>
      </c>
      <c r="I1073" s="7">
        <v>350216</v>
      </c>
      <c r="J1073" s="80">
        <v>164.804802</v>
      </c>
      <c r="K1073" s="80">
        <v>-21.04213</v>
      </c>
      <c r="L1073" s="71">
        <v>117</v>
      </c>
      <c r="M1073" s="73">
        <v>1</v>
      </c>
      <c r="N1073" s="73">
        <v>1</v>
      </c>
      <c r="O1073" s="73">
        <v>0</v>
      </c>
      <c r="P1073" s="17" t="s">
        <v>37</v>
      </c>
      <c r="Q1073" t="str">
        <f>LEFT(B1073,3)</f>
        <v>RPJ</v>
      </c>
    </row>
    <row r="1074" spans="1:17">
      <c r="A1074" s="17" t="s">
        <v>3575</v>
      </c>
      <c r="B1074" s="17" t="s">
        <v>1945</v>
      </c>
      <c r="C1074" s="13" t="s">
        <v>1946</v>
      </c>
      <c r="D1074" s="13" t="s">
        <v>1947</v>
      </c>
      <c r="E1074" s="17" t="s">
        <v>67</v>
      </c>
      <c r="F1074" s="17" t="s">
        <v>68</v>
      </c>
      <c r="G1074" s="17" t="s">
        <v>68</v>
      </c>
      <c r="H1074" s="7">
        <v>275780</v>
      </c>
      <c r="I1074" s="7">
        <v>350216</v>
      </c>
      <c r="J1074" s="80">
        <v>164.804802</v>
      </c>
      <c r="K1074" s="80">
        <v>-21.04213</v>
      </c>
      <c r="L1074" s="71">
        <v>180</v>
      </c>
      <c r="M1074" s="73">
        <v>1</v>
      </c>
      <c r="N1074" s="73">
        <v>1</v>
      </c>
      <c r="O1074" s="73">
        <v>0</v>
      </c>
      <c r="P1074" s="17" t="s">
        <v>37</v>
      </c>
      <c r="Q1074" t="str">
        <f>LEFT(B1074,3)</f>
        <v>RPJ</v>
      </c>
    </row>
    <row r="1075" spans="1:17">
      <c r="A1075" s="17" t="s">
        <v>3576</v>
      </c>
      <c r="B1075" s="17" t="s">
        <v>1945</v>
      </c>
      <c r="C1075" s="13" t="s">
        <v>1946</v>
      </c>
      <c r="D1075" s="13" t="s">
        <v>1947</v>
      </c>
      <c r="E1075" s="17" t="s">
        <v>67</v>
      </c>
      <c r="F1075" s="17" t="s">
        <v>68</v>
      </c>
      <c r="G1075" s="17" t="s">
        <v>68</v>
      </c>
      <c r="H1075" s="7">
        <v>275780</v>
      </c>
      <c r="I1075" s="7">
        <v>350216</v>
      </c>
      <c r="J1075" s="80">
        <v>164.804802</v>
      </c>
      <c r="K1075" s="80">
        <v>-21.04213</v>
      </c>
      <c r="L1075" s="71">
        <v>243</v>
      </c>
      <c r="M1075" s="73">
        <v>1</v>
      </c>
      <c r="N1075" s="73">
        <v>1</v>
      </c>
      <c r="O1075" s="73">
        <v>0</v>
      </c>
      <c r="P1075" s="17" t="s">
        <v>37</v>
      </c>
      <c r="Q1075" t="str">
        <f>LEFT(B1075,3)</f>
        <v>RPJ</v>
      </c>
    </row>
    <row r="1076" spans="1:17">
      <c r="A1076" s="3" t="s">
        <v>3577</v>
      </c>
      <c r="B1076" s="3" t="s">
        <v>1949</v>
      </c>
      <c r="C1076" s="3" t="s">
        <v>1950</v>
      </c>
      <c r="D1076" s="3" t="s">
        <v>1951</v>
      </c>
      <c r="E1076" s="3" t="s">
        <v>402</v>
      </c>
      <c r="F1076" s="17" t="s">
        <v>68</v>
      </c>
      <c r="G1076" s="17" t="s">
        <v>68</v>
      </c>
      <c r="H1076" s="7">
        <v>370083</v>
      </c>
      <c r="I1076" s="7">
        <v>321501</v>
      </c>
      <c r="J1076" s="79">
        <v>165.71163000000001</v>
      </c>
      <c r="K1076" s="79">
        <v>-21.305540000000001</v>
      </c>
      <c r="L1076" s="71">
        <v>330</v>
      </c>
      <c r="M1076" s="73">
        <v>1</v>
      </c>
      <c r="N1076" s="73">
        <v>1</v>
      </c>
      <c r="O1076" s="73">
        <v>0</v>
      </c>
      <c r="P1076" s="17" t="s">
        <v>47</v>
      </c>
      <c r="Q1076" t="str">
        <f>LEFT(B1076,3)</f>
        <v>RPO</v>
      </c>
    </row>
    <row r="1077" spans="1:17">
      <c r="A1077" s="17" t="s">
        <v>3578</v>
      </c>
      <c r="B1077" s="17" t="s">
        <v>1953</v>
      </c>
      <c r="C1077" s="17" t="s">
        <v>1954</v>
      </c>
      <c r="D1077" s="17" t="s">
        <v>261</v>
      </c>
      <c r="E1077" s="17" t="s">
        <v>207</v>
      </c>
      <c r="F1077" s="17" t="s">
        <v>43</v>
      </c>
      <c r="G1077" s="17" t="s">
        <v>43</v>
      </c>
      <c r="H1077" s="23">
        <v>399765</v>
      </c>
      <c r="I1077" s="22">
        <v>264526</v>
      </c>
      <c r="J1077" s="80">
        <v>165.99772999999999</v>
      </c>
      <c r="K1077" s="83">
        <v>-21.820409999999999</v>
      </c>
      <c r="L1077" s="72">
        <v>0</v>
      </c>
      <c r="M1077" s="72">
        <v>1</v>
      </c>
      <c r="N1077" s="72">
        <v>1</v>
      </c>
      <c r="O1077" s="72">
        <v>0</v>
      </c>
      <c r="P1077" s="17" t="s">
        <v>37</v>
      </c>
      <c r="Q1077" t="str">
        <f>LEFT(B1077,3)</f>
        <v>RPT</v>
      </c>
    </row>
    <row r="1078" spans="1:17">
      <c r="A1078" s="17" t="s">
        <v>3579</v>
      </c>
      <c r="B1078" s="17" t="s">
        <v>1957</v>
      </c>
      <c r="C1078" s="13" t="s">
        <v>3580</v>
      </c>
      <c r="D1078" s="13" t="s">
        <v>3580</v>
      </c>
      <c r="E1078" s="17" t="s">
        <v>249</v>
      </c>
      <c r="F1078" s="17" t="s">
        <v>68</v>
      </c>
      <c r="G1078" s="17" t="s">
        <v>68</v>
      </c>
      <c r="H1078" s="7">
        <v>263470.25328</v>
      </c>
      <c r="I1078" s="7">
        <v>366300.09944999998</v>
      </c>
      <c r="J1078" s="80">
        <v>164.68766416450501</v>
      </c>
      <c r="K1078" s="80">
        <v>-20.8959618244252</v>
      </c>
      <c r="L1078" s="71">
        <v>25</v>
      </c>
      <c r="M1078" s="73">
        <v>1</v>
      </c>
      <c r="N1078" s="73">
        <v>2</v>
      </c>
      <c r="O1078" s="73">
        <v>1</v>
      </c>
      <c r="P1078" s="17" t="s">
        <v>47</v>
      </c>
      <c r="Q1078" t="str">
        <f>LEFT(B1078,3)</f>
        <v>RTA</v>
      </c>
    </row>
    <row r="1079" spans="1:17">
      <c r="A1079" s="17" t="s">
        <v>3581</v>
      </c>
      <c r="B1079" s="17" t="s">
        <v>1957</v>
      </c>
      <c r="C1079" s="13" t="s">
        <v>3580</v>
      </c>
      <c r="D1079" s="13" t="s">
        <v>3580</v>
      </c>
      <c r="E1079" s="17" t="s">
        <v>249</v>
      </c>
      <c r="F1079" s="17" t="s">
        <v>68</v>
      </c>
      <c r="G1079" s="17" t="s">
        <v>68</v>
      </c>
      <c r="H1079" s="7">
        <v>263470.25328</v>
      </c>
      <c r="I1079" s="7">
        <v>366300.09944999998</v>
      </c>
      <c r="J1079" s="80">
        <v>164.68766416450501</v>
      </c>
      <c r="K1079" s="80">
        <v>-20.8959618244252</v>
      </c>
      <c r="L1079" s="71">
        <v>190</v>
      </c>
      <c r="M1079" s="73">
        <v>2</v>
      </c>
      <c r="N1079" s="73">
        <v>2</v>
      </c>
      <c r="O1079" s="73">
        <v>1</v>
      </c>
      <c r="P1079" s="17" t="s">
        <v>47</v>
      </c>
      <c r="Q1079" t="str">
        <f>LEFT(B1079,3)</f>
        <v>RTA</v>
      </c>
    </row>
    <row r="1080" spans="1:17">
      <c r="A1080" s="17" t="s">
        <v>3582</v>
      </c>
      <c r="B1080" s="17" t="s">
        <v>1957</v>
      </c>
      <c r="C1080" s="13" t="s">
        <v>3580</v>
      </c>
      <c r="D1080" s="13" t="s">
        <v>3580</v>
      </c>
      <c r="E1080" s="17" t="s">
        <v>249</v>
      </c>
      <c r="F1080" s="17" t="s">
        <v>68</v>
      </c>
      <c r="G1080" s="17" t="s">
        <v>68</v>
      </c>
      <c r="H1080" s="7">
        <v>263470.25328</v>
      </c>
      <c r="I1080" s="7">
        <v>366300.09944999998</v>
      </c>
      <c r="J1080" s="80">
        <v>164.68766416450501</v>
      </c>
      <c r="K1080" s="80">
        <v>-20.8959618244252</v>
      </c>
      <c r="L1080" s="71">
        <v>380</v>
      </c>
      <c r="M1080" s="73">
        <v>2</v>
      </c>
      <c r="N1080" s="73">
        <v>2</v>
      </c>
      <c r="O1080" s="73">
        <v>1</v>
      </c>
      <c r="P1080" s="17" t="s">
        <v>47</v>
      </c>
      <c r="Q1080" t="str">
        <f>LEFT(B1080,3)</f>
        <v>RTA</v>
      </c>
    </row>
    <row r="1081" spans="1:17">
      <c r="A1081" s="17" t="s">
        <v>3583</v>
      </c>
      <c r="B1081" s="17" t="s">
        <v>1962</v>
      </c>
      <c r="C1081" s="17" t="s">
        <v>1963</v>
      </c>
      <c r="D1081" s="17" t="s">
        <v>1964</v>
      </c>
      <c r="E1081" s="17" t="s">
        <v>614</v>
      </c>
      <c r="F1081" s="17" t="s">
        <v>43</v>
      </c>
      <c r="G1081" s="17" t="s">
        <v>43</v>
      </c>
      <c r="H1081" s="19">
        <v>371907</v>
      </c>
      <c r="I1081" s="19">
        <v>284564</v>
      </c>
      <c r="J1081" s="80">
        <v>165.7286</v>
      </c>
      <c r="K1081" s="80">
        <v>-21.639199999999999</v>
      </c>
      <c r="L1081" s="71">
        <v>15</v>
      </c>
      <c r="M1081" s="73">
        <v>1</v>
      </c>
      <c r="N1081" s="73">
        <v>1</v>
      </c>
      <c r="O1081" s="73">
        <v>0</v>
      </c>
      <c r="P1081" s="17" t="s">
        <v>47</v>
      </c>
      <c r="Q1081" t="str">
        <f>LEFT(B1081,3)</f>
        <v>RTE</v>
      </c>
    </row>
    <row r="1082" spans="1:17">
      <c r="A1082" s="17" t="s">
        <v>3584</v>
      </c>
      <c r="B1082" s="17" t="s">
        <v>1962</v>
      </c>
      <c r="C1082" s="17" t="s">
        <v>1963</v>
      </c>
      <c r="D1082" s="17" t="s">
        <v>1964</v>
      </c>
      <c r="E1082" s="17" t="s">
        <v>614</v>
      </c>
      <c r="F1082" s="17" t="s">
        <v>43</v>
      </c>
      <c r="G1082" s="17" t="s">
        <v>43</v>
      </c>
      <c r="H1082" s="19">
        <v>371907</v>
      </c>
      <c r="I1082" s="19">
        <v>284564</v>
      </c>
      <c r="J1082" s="80">
        <v>165.7286</v>
      </c>
      <c r="K1082" s="80">
        <v>-21.639199999999999</v>
      </c>
      <c r="L1082" s="71">
        <v>181</v>
      </c>
      <c r="M1082" s="73">
        <v>1</v>
      </c>
      <c r="N1082" s="73">
        <v>1</v>
      </c>
      <c r="O1082" s="73">
        <v>0</v>
      </c>
      <c r="P1082" s="17" t="s">
        <v>47</v>
      </c>
      <c r="Q1082" t="str">
        <f>LEFT(B1082,3)</f>
        <v>RTE</v>
      </c>
    </row>
    <row r="1083" spans="1:17">
      <c r="A1083" s="17" t="s">
        <v>3585</v>
      </c>
      <c r="B1083" s="17" t="s">
        <v>1962</v>
      </c>
      <c r="C1083" s="17" t="s">
        <v>1963</v>
      </c>
      <c r="D1083" s="17" t="s">
        <v>1964</v>
      </c>
      <c r="E1083" s="17" t="s">
        <v>614</v>
      </c>
      <c r="F1083" s="17" t="s">
        <v>43</v>
      </c>
      <c r="G1083" s="17" t="s">
        <v>43</v>
      </c>
      <c r="H1083" s="19">
        <v>371907</v>
      </c>
      <c r="I1083" s="19">
        <v>284564</v>
      </c>
      <c r="J1083" s="80">
        <v>165.7286</v>
      </c>
      <c r="K1083" s="80">
        <v>-21.639199999999999</v>
      </c>
      <c r="L1083" s="71">
        <v>289</v>
      </c>
      <c r="M1083" s="73">
        <v>1</v>
      </c>
      <c r="N1083" s="73">
        <v>1</v>
      </c>
      <c r="O1083" s="73">
        <v>0</v>
      </c>
      <c r="P1083" s="17" t="s">
        <v>47</v>
      </c>
      <c r="Q1083" t="str">
        <f>LEFT(B1083,3)</f>
        <v>RTE</v>
      </c>
    </row>
    <row r="1084" spans="1:17">
      <c r="A1084" s="17" t="s">
        <v>3586</v>
      </c>
      <c r="B1084" s="17" t="s">
        <v>1966</v>
      </c>
      <c r="C1084" s="13" t="s">
        <v>1969</v>
      </c>
      <c r="D1084" s="13" t="s">
        <v>1969</v>
      </c>
      <c r="E1084" s="17" t="s">
        <v>49</v>
      </c>
      <c r="F1084" s="17" t="s">
        <v>43</v>
      </c>
      <c r="G1084" s="17" t="s">
        <v>50</v>
      </c>
      <c r="H1084" s="7">
        <v>449694</v>
      </c>
      <c r="I1084" s="7">
        <v>223987</v>
      </c>
      <c r="J1084" s="79">
        <v>166.481891746</v>
      </c>
      <c r="K1084" s="79">
        <v>-22.185844975999998</v>
      </c>
      <c r="L1084" s="71">
        <v>160</v>
      </c>
      <c r="M1084" s="73">
        <v>2</v>
      </c>
      <c r="N1084" s="73">
        <v>2</v>
      </c>
      <c r="O1084" s="73">
        <v>1</v>
      </c>
      <c r="P1084" s="17" t="s">
        <v>37</v>
      </c>
      <c r="Q1084" t="str">
        <f>LEFT(B1084,3)</f>
        <v>RTG</v>
      </c>
    </row>
    <row r="1085" spans="1:17">
      <c r="A1085" s="17" t="s">
        <v>3587</v>
      </c>
      <c r="B1085" s="17" t="s">
        <v>1966</v>
      </c>
      <c r="C1085" s="13" t="s">
        <v>1969</v>
      </c>
      <c r="D1085" s="13" t="s">
        <v>1969</v>
      </c>
      <c r="E1085" s="17" t="s">
        <v>49</v>
      </c>
      <c r="F1085" s="17" t="s">
        <v>43</v>
      </c>
      <c r="G1085" s="17" t="s">
        <v>50</v>
      </c>
      <c r="H1085" s="7">
        <v>449694</v>
      </c>
      <c r="I1085" s="7">
        <v>223987</v>
      </c>
      <c r="J1085" s="79">
        <v>166.481891746</v>
      </c>
      <c r="K1085" s="79">
        <v>-22.185844975999998</v>
      </c>
      <c r="L1085" s="71">
        <v>305</v>
      </c>
      <c r="M1085" s="73">
        <v>2</v>
      </c>
      <c r="N1085" s="73">
        <v>2</v>
      </c>
      <c r="O1085" s="73">
        <v>1</v>
      </c>
      <c r="P1085" s="17" t="s">
        <v>37</v>
      </c>
      <c r="Q1085" t="str">
        <f>LEFT(B1085,3)</f>
        <v>RTG</v>
      </c>
    </row>
    <row r="1086" spans="1:17">
      <c r="A1086" s="17" t="s">
        <v>3588</v>
      </c>
      <c r="B1086" s="17" t="s">
        <v>1972</v>
      </c>
      <c r="C1086" s="13" t="s">
        <v>1974</v>
      </c>
      <c r="D1086" s="13" t="s">
        <v>1974</v>
      </c>
      <c r="E1086" s="17" t="s">
        <v>29</v>
      </c>
      <c r="F1086" s="17" t="s">
        <v>43</v>
      </c>
      <c r="G1086" s="17" t="s">
        <v>30</v>
      </c>
      <c r="H1086" s="7">
        <v>448719</v>
      </c>
      <c r="I1086" s="7">
        <v>219432</v>
      </c>
      <c r="J1086" s="80">
        <v>166.47256761319699</v>
      </c>
      <c r="K1086" s="80">
        <v>-22.227009965137299</v>
      </c>
      <c r="L1086" s="71">
        <v>50</v>
      </c>
      <c r="M1086" s="73">
        <v>3</v>
      </c>
      <c r="N1086" s="73">
        <v>3</v>
      </c>
      <c r="O1086" s="73">
        <v>1</v>
      </c>
      <c r="P1086" s="17" t="s">
        <v>37</v>
      </c>
      <c r="Q1086" t="str">
        <f>LEFT(B1086,3)</f>
        <v>RTR</v>
      </c>
    </row>
    <row r="1087" spans="1:17">
      <c r="A1087" s="17" t="s">
        <v>3589</v>
      </c>
      <c r="B1087" s="17" t="s">
        <v>1972</v>
      </c>
      <c r="C1087" s="13" t="s">
        <v>1974</v>
      </c>
      <c r="D1087" s="13" t="s">
        <v>1974</v>
      </c>
      <c r="E1087" s="17" t="s">
        <v>29</v>
      </c>
      <c r="F1087" s="17" t="s">
        <v>43</v>
      </c>
      <c r="G1087" s="17" t="s">
        <v>30</v>
      </c>
      <c r="H1087" s="7">
        <v>448719</v>
      </c>
      <c r="I1087" s="7">
        <v>219432</v>
      </c>
      <c r="J1087" s="80">
        <v>166.47256761319699</v>
      </c>
      <c r="K1087" s="80">
        <v>-22.227009965137299</v>
      </c>
      <c r="L1087" s="71">
        <v>210</v>
      </c>
      <c r="M1087" s="73">
        <v>3</v>
      </c>
      <c r="N1087" s="73">
        <v>3</v>
      </c>
      <c r="O1087" s="73">
        <v>1</v>
      </c>
      <c r="P1087" s="17" t="s">
        <v>37</v>
      </c>
      <c r="Q1087" t="str">
        <f>LEFT(B1087,3)</f>
        <v>RTR</v>
      </c>
    </row>
    <row r="1088" spans="1:17">
      <c r="A1088" s="17" t="s">
        <v>3590</v>
      </c>
      <c r="B1088" s="17" t="s">
        <v>1972</v>
      </c>
      <c r="C1088" s="13" t="s">
        <v>1974</v>
      </c>
      <c r="D1088" s="13" t="s">
        <v>1974</v>
      </c>
      <c r="E1088" s="17" t="s">
        <v>29</v>
      </c>
      <c r="F1088" s="17" t="s">
        <v>43</v>
      </c>
      <c r="G1088" s="17" t="s">
        <v>30</v>
      </c>
      <c r="H1088" s="7">
        <v>448719</v>
      </c>
      <c r="I1088" s="7">
        <v>219432</v>
      </c>
      <c r="J1088" s="80">
        <v>166.47256761319699</v>
      </c>
      <c r="K1088" s="80">
        <v>-22.227009965137299</v>
      </c>
      <c r="L1088" s="71">
        <v>350</v>
      </c>
      <c r="M1088" s="73">
        <v>3</v>
      </c>
      <c r="N1088" s="73">
        <v>3</v>
      </c>
      <c r="O1088" s="73">
        <v>1</v>
      </c>
      <c r="P1088" s="17" t="s">
        <v>37</v>
      </c>
      <c r="Q1088" t="str">
        <f>LEFT(B1088,3)</f>
        <v>RTR</v>
      </c>
    </row>
    <row r="1089" spans="1:17">
      <c r="A1089" s="17" t="s">
        <v>3591</v>
      </c>
      <c r="B1089" s="17" t="s">
        <v>1976</v>
      </c>
      <c r="C1089" s="13" t="s">
        <v>1977</v>
      </c>
      <c r="D1089" s="13" t="s">
        <v>1977</v>
      </c>
      <c r="E1089" s="17" t="s">
        <v>56</v>
      </c>
      <c r="F1089" s="17" t="s">
        <v>43</v>
      </c>
      <c r="G1089" s="17" t="s">
        <v>50</v>
      </c>
      <c r="H1089" s="7">
        <v>438286.76741999999</v>
      </c>
      <c r="I1089" s="7">
        <v>226862.27131000001</v>
      </c>
      <c r="J1089" s="80">
        <v>166.37120794222199</v>
      </c>
      <c r="K1089" s="80">
        <v>-22.160163893637201</v>
      </c>
      <c r="L1089" s="71">
        <v>60</v>
      </c>
      <c r="M1089" s="73">
        <v>2</v>
      </c>
      <c r="N1089" s="73">
        <v>1</v>
      </c>
      <c r="O1089" s="73">
        <v>1</v>
      </c>
      <c r="P1089" s="17" t="s">
        <v>37</v>
      </c>
      <c r="Q1089" t="str">
        <f>LEFT(B1089,3)</f>
        <v>RVL</v>
      </c>
    </row>
    <row r="1090" spans="1:17">
      <c r="A1090" s="17" t="s">
        <v>3592</v>
      </c>
      <c r="B1090" s="17" t="s">
        <v>1976</v>
      </c>
      <c r="C1090" s="13" t="s">
        <v>1977</v>
      </c>
      <c r="D1090" s="13" t="s">
        <v>1977</v>
      </c>
      <c r="E1090" s="17" t="s">
        <v>56</v>
      </c>
      <c r="F1090" s="17" t="s">
        <v>43</v>
      </c>
      <c r="G1090" s="17" t="s">
        <v>50</v>
      </c>
      <c r="H1090" s="7">
        <v>438286.76741999999</v>
      </c>
      <c r="I1090" s="7">
        <v>226862.27131000001</v>
      </c>
      <c r="J1090" s="80">
        <v>166.37120794222199</v>
      </c>
      <c r="K1090" s="80">
        <v>-22.160163893637201</v>
      </c>
      <c r="L1090" s="71">
        <v>315</v>
      </c>
      <c r="M1090" s="73">
        <v>2</v>
      </c>
      <c r="N1090" s="73">
        <v>1</v>
      </c>
      <c r="O1090" s="73">
        <v>1</v>
      </c>
      <c r="P1090" s="17" t="s">
        <v>37</v>
      </c>
      <c r="Q1090" t="str">
        <f>LEFT(B1090,3)</f>
        <v>RVL</v>
      </c>
    </row>
    <row r="1091" spans="1:17">
      <c r="A1091" s="17" t="s">
        <v>3593</v>
      </c>
      <c r="B1091" s="17" t="s">
        <v>1980</v>
      </c>
      <c r="C1091" s="13" t="s">
        <v>1981</v>
      </c>
      <c r="D1091" s="13" t="s">
        <v>1981</v>
      </c>
      <c r="E1091" s="17" t="s">
        <v>29</v>
      </c>
      <c r="F1091" s="17" t="s">
        <v>43</v>
      </c>
      <c r="G1091" s="17" t="s">
        <v>30</v>
      </c>
      <c r="H1091" s="7">
        <v>447850.79541999998</v>
      </c>
      <c r="I1091" s="7">
        <v>218634.08798000001</v>
      </c>
      <c r="J1091" s="80">
        <v>166.46417116564101</v>
      </c>
      <c r="K1091" s="80">
        <v>-22.234240092236501</v>
      </c>
      <c r="L1091" s="71">
        <v>30</v>
      </c>
      <c r="M1091" s="73">
        <v>2</v>
      </c>
      <c r="N1091" s="73">
        <v>3</v>
      </c>
      <c r="O1091" s="73">
        <v>1</v>
      </c>
      <c r="P1091" s="17" t="s">
        <v>37</v>
      </c>
      <c r="Q1091" t="str">
        <f>LEFT(B1091,3)</f>
        <v>SAL</v>
      </c>
    </row>
    <row r="1092" spans="1:17">
      <c r="A1092" s="17" t="s">
        <v>3594</v>
      </c>
      <c r="B1092" s="17" t="s">
        <v>1980</v>
      </c>
      <c r="C1092" s="13" t="s">
        <v>1981</v>
      </c>
      <c r="D1092" s="13" t="s">
        <v>1981</v>
      </c>
      <c r="E1092" s="17" t="s">
        <v>29</v>
      </c>
      <c r="F1092" s="17" t="s">
        <v>43</v>
      </c>
      <c r="G1092" s="17" t="s">
        <v>30</v>
      </c>
      <c r="H1092" s="7">
        <v>447850.79541999998</v>
      </c>
      <c r="I1092" s="7">
        <v>218634.08798000001</v>
      </c>
      <c r="J1092" s="80">
        <v>166.46417116564101</v>
      </c>
      <c r="K1092" s="80">
        <v>-22.234240092236501</v>
      </c>
      <c r="L1092" s="71">
        <v>110</v>
      </c>
      <c r="M1092" s="73">
        <v>2</v>
      </c>
      <c r="N1092" s="73">
        <v>3</v>
      </c>
      <c r="O1092" s="73">
        <v>1</v>
      </c>
      <c r="P1092" s="17" t="s">
        <v>37</v>
      </c>
      <c r="Q1092" t="str">
        <f>LEFT(B1092,3)</f>
        <v>SAL</v>
      </c>
    </row>
    <row r="1093" spans="1:17">
      <c r="A1093" s="17" t="s">
        <v>3595</v>
      </c>
      <c r="B1093" s="17" t="s">
        <v>1980</v>
      </c>
      <c r="C1093" s="13" t="s">
        <v>1981</v>
      </c>
      <c r="D1093" s="13" t="s">
        <v>1981</v>
      </c>
      <c r="E1093" s="17" t="s">
        <v>29</v>
      </c>
      <c r="F1093" s="17" t="s">
        <v>43</v>
      </c>
      <c r="G1093" s="17" t="s">
        <v>30</v>
      </c>
      <c r="H1093" s="7">
        <v>447850.79541999998</v>
      </c>
      <c r="I1093" s="7">
        <v>218634.08798000001</v>
      </c>
      <c r="J1093" s="80">
        <v>166.46417116564101</v>
      </c>
      <c r="K1093" s="80">
        <v>-22.234240092236501</v>
      </c>
      <c r="L1093" s="71">
        <v>260</v>
      </c>
      <c r="M1093" s="73">
        <v>2</v>
      </c>
      <c r="N1093" s="73">
        <v>3</v>
      </c>
      <c r="O1093" s="73">
        <v>1</v>
      </c>
      <c r="P1093" s="17" t="s">
        <v>37</v>
      </c>
      <c r="Q1093" t="str">
        <f>LEFT(B1093,3)</f>
        <v>SAL</v>
      </c>
    </row>
    <row r="1094" spans="1:17">
      <c r="A1094" s="17" t="s">
        <v>3596</v>
      </c>
      <c r="B1094" s="17" t="s">
        <v>1984</v>
      </c>
      <c r="C1094" s="13" t="s">
        <v>1985</v>
      </c>
      <c r="D1094" s="13" t="s">
        <v>1985</v>
      </c>
      <c r="E1094" s="17" t="s">
        <v>56</v>
      </c>
      <c r="F1094" s="17" t="s">
        <v>43</v>
      </c>
      <c r="G1094" s="17" t="s">
        <v>50</v>
      </c>
      <c r="H1094" s="7">
        <v>433776.79139000003</v>
      </c>
      <c r="I1094" s="7">
        <v>236538.66613999999</v>
      </c>
      <c r="J1094" s="80">
        <v>166.32728537851301</v>
      </c>
      <c r="K1094" s="80">
        <v>-22.072859651396101</v>
      </c>
      <c r="L1094" s="71">
        <v>170</v>
      </c>
      <c r="M1094" s="73">
        <v>2</v>
      </c>
      <c r="N1094" s="73">
        <v>1</v>
      </c>
      <c r="O1094" s="73">
        <v>1</v>
      </c>
      <c r="P1094" s="17" t="s">
        <v>47</v>
      </c>
      <c r="Q1094" t="str">
        <f>LEFT(B1094,3)</f>
        <v>SAN</v>
      </c>
    </row>
    <row r="1095" spans="1:17">
      <c r="A1095" s="17" t="s">
        <v>3597</v>
      </c>
      <c r="B1095" s="17" t="s">
        <v>1984</v>
      </c>
      <c r="C1095" s="13" t="s">
        <v>1985</v>
      </c>
      <c r="D1095" s="13" t="s">
        <v>1985</v>
      </c>
      <c r="E1095" s="17" t="s">
        <v>56</v>
      </c>
      <c r="F1095" s="17" t="s">
        <v>43</v>
      </c>
      <c r="G1095" s="17" t="s">
        <v>50</v>
      </c>
      <c r="H1095" s="7">
        <v>433776.79139000003</v>
      </c>
      <c r="I1095" s="7">
        <v>236538.66613999999</v>
      </c>
      <c r="J1095" s="80">
        <v>166.32728537851301</v>
      </c>
      <c r="K1095" s="80">
        <v>-22.072859651396101</v>
      </c>
      <c r="L1095" s="71">
        <v>240</v>
      </c>
      <c r="M1095" s="73">
        <v>2</v>
      </c>
      <c r="N1095" s="73">
        <v>1</v>
      </c>
      <c r="O1095" s="73">
        <v>1</v>
      </c>
      <c r="P1095" s="17" t="s">
        <v>47</v>
      </c>
      <c r="Q1095" t="str">
        <f>LEFT(B1095,3)</f>
        <v>SAN</v>
      </c>
    </row>
    <row r="1096" spans="1:17">
      <c r="A1096" s="17" t="s">
        <v>3598</v>
      </c>
      <c r="B1096" s="17" t="s">
        <v>1988</v>
      </c>
      <c r="C1096" s="13" t="s">
        <v>1989</v>
      </c>
      <c r="D1096" s="13" t="s">
        <v>1989</v>
      </c>
      <c r="E1096" s="17" t="s">
        <v>56</v>
      </c>
      <c r="F1096" s="17" t="s">
        <v>43</v>
      </c>
      <c r="G1096" s="17" t="s">
        <v>50</v>
      </c>
      <c r="H1096" s="7">
        <v>440061.16632999998</v>
      </c>
      <c r="I1096" s="7">
        <v>226894.08385</v>
      </c>
      <c r="J1096" s="80">
        <v>166.38840674927999</v>
      </c>
      <c r="K1096" s="80">
        <v>-22.159835973394699</v>
      </c>
      <c r="L1096" s="71">
        <v>116</v>
      </c>
      <c r="M1096" s="73">
        <v>3</v>
      </c>
      <c r="N1096" s="73">
        <v>3</v>
      </c>
      <c r="O1096" s="73">
        <v>1</v>
      </c>
      <c r="P1096" s="17" t="s">
        <v>37</v>
      </c>
      <c r="Q1096" t="str">
        <f>LEFT(B1096,3)</f>
        <v>SAV</v>
      </c>
    </row>
    <row r="1097" spans="1:17">
      <c r="A1097" s="17" t="s">
        <v>3599</v>
      </c>
      <c r="B1097" s="17" t="s">
        <v>1988</v>
      </c>
      <c r="C1097" s="13" t="s">
        <v>1989</v>
      </c>
      <c r="D1097" s="13" t="s">
        <v>1989</v>
      </c>
      <c r="E1097" s="17" t="s">
        <v>56</v>
      </c>
      <c r="F1097" s="17" t="s">
        <v>43</v>
      </c>
      <c r="G1097" s="17" t="s">
        <v>50</v>
      </c>
      <c r="H1097" s="7">
        <v>440061.16632999998</v>
      </c>
      <c r="I1097" s="7">
        <v>226894.08385</v>
      </c>
      <c r="J1097" s="80">
        <v>166.38840674927999</v>
      </c>
      <c r="K1097" s="80">
        <v>-22.159835973394699</v>
      </c>
      <c r="L1097" s="71">
        <v>180</v>
      </c>
      <c r="M1097" s="73">
        <v>3</v>
      </c>
      <c r="N1097" s="73">
        <v>3</v>
      </c>
      <c r="O1097" s="73">
        <v>1</v>
      </c>
      <c r="P1097" s="17" t="s">
        <v>37</v>
      </c>
      <c r="Q1097" t="str">
        <f>LEFT(B1097,3)</f>
        <v>SAV</v>
      </c>
    </row>
    <row r="1098" spans="1:17">
      <c r="A1098" s="17" t="s">
        <v>3600</v>
      </c>
      <c r="B1098" s="17" t="s">
        <v>1988</v>
      </c>
      <c r="C1098" s="13" t="s">
        <v>1989</v>
      </c>
      <c r="D1098" s="13" t="s">
        <v>1989</v>
      </c>
      <c r="E1098" s="17" t="s">
        <v>56</v>
      </c>
      <c r="F1098" s="17" t="s">
        <v>43</v>
      </c>
      <c r="G1098" s="17" t="s">
        <v>50</v>
      </c>
      <c r="H1098" s="7">
        <v>440061.16632999998</v>
      </c>
      <c r="I1098" s="7">
        <v>226894.08385</v>
      </c>
      <c r="J1098" s="80">
        <v>166.38840674927999</v>
      </c>
      <c r="K1098" s="80">
        <v>-22.159835973394699</v>
      </c>
      <c r="L1098" s="71">
        <v>237</v>
      </c>
      <c r="M1098" s="73">
        <v>3</v>
      </c>
      <c r="N1098" s="73">
        <v>3</v>
      </c>
      <c r="O1098" s="73">
        <v>0</v>
      </c>
      <c r="P1098" s="17" t="s">
        <v>37</v>
      </c>
      <c r="Q1098" t="str">
        <f>LEFT(B1098,3)</f>
        <v>SAV</v>
      </c>
    </row>
    <row r="1099" spans="1:17">
      <c r="A1099" s="13" t="s">
        <v>3601</v>
      </c>
      <c r="B1099" s="13" t="s">
        <v>1992</v>
      </c>
      <c r="C1099" s="13" t="s">
        <v>1993</v>
      </c>
      <c r="D1099" s="13" t="s">
        <v>1073</v>
      </c>
      <c r="E1099" s="17" t="s">
        <v>93</v>
      </c>
      <c r="F1099" s="17" t="s">
        <v>43</v>
      </c>
      <c r="G1099" s="17" t="s">
        <v>50</v>
      </c>
      <c r="H1099" s="7">
        <v>461934</v>
      </c>
      <c r="I1099" s="7">
        <v>220419</v>
      </c>
      <c r="J1099" s="8">
        <v>166.60071300000001</v>
      </c>
      <c r="K1099" s="8">
        <v>-22.217687000000002</v>
      </c>
      <c r="L1099" s="71">
        <v>0</v>
      </c>
      <c r="M1099" s="73">
        <v>1</v>
      </c>
      <c r="N1099" s="73">
        <v>1</v>
      </c>
      <c r="O1099" s="73">
        <v>0</v>
      </c>
      <c r="P1099" s="17" t="s">
        <v>47</v>
      </c>
      <c r="Q1099" t="str">
        <f>LEFT(B1099,3)</f>
        <v>SCH</v>
      </c>
    </row>
    <row r="1100" spans="1:17">
      <c r="A1100" s="13" t="s">
        <v>3602</v>
      </c>
      <c r="B1100" s="13" t="s">
        <v>1992</v>
      </c>
      <c r="C1100" s="13" t="s">
        <v>1993</v>
      </c>
      <c r="D1100" s="13" t="s">
        <v>1073</v>
      </c>
      <c r="E1100" s="17" t="s">
        <v>93</v>
      </c>
      <c r="F1100" s="17" t="s">
        <v>43</v>
      </c>
      <c r="G1100" s="17" t="s">
        <v>50</v>
      </c>
      <c r="H1100" s="7">
        <v>461934</v>
      </c>
      <c r="I1100" s="7">
        <v>220419</v>
      </c>
      <c r="J1100" s="8">
        <v>166.60071300000001</v>
      </c>
      <c r="K1100" s="8">
        <v>-22.217687000000002</v>
      </c>
      <c r="L1100" s="71">
        <v>120</v>
      </c>
      <c r="M1100" s="73">
        <v>1</v>
      </c>
      <c r="N1100" s="73">
        <v>1</v>
      </c>
      <c r="O1100" s="73">
        <v>0</v>
      </c>
      <c r="P1100" s="17" t="s">
        <v>47</v>
      </c>
      <c r="Q1100" t="str">
        <f>LEFT(B1100,3)</f>
        <v>SCH</v>
      </c>
    </row>
    <row r="1101" spans="1:17">
      <c r="A1101" s="13" t="s">
        <v>3603</v>
      </c>
      <c r="B1101" s="13" t="s">
        <v>1992</v>
      </c>
      <c r="C1101" s="13" t="s">
        <v>1993</v>
      </c>
      <c r="D1101" s="13" t="s">
        <v>1073</v>
      </c>
      <c r="E1101" s="17" t="s">
        <v>93</v>
      </c>
      <c r="F1101" s="17" t="s">
        <v>43</v>
      </c>
      <c r="G1101" s="17" t="s">
        <v>50</v>
      </c>
      <c r="H1101" s="7">
        <v>461934</v>
      </c>
      <c r="I1101" s="7">
        <v>220419</v>
      </c>
      <c r="J1101" s="8">
        <v>166.60071300000001</v>
      </c>
      <c r="K1101" s="8">
        <v>-22.217687000000002</v>
      </c>
      <c r="L1101" s="71">
        <v>240</v>
      </c>
      <c r="M1101" s="73">
        <v>1</v>
      </c>
      <c r="N1101" s="73">
        <v>1</v>
      </c>
      <c r="O1101" s="73">
        <v>0</v>
      </c>
      <c r="P1101" s="17" t="s">
        <v>47</v>
      </c>
      <c r="Q1101" t="str">
        <f>LEFT(B1101,3)</f>
        <v>SCH</v>
      </c>
    </row>
    <row r="1102" spans="1:17">
      <c r="A1102" s="13" t="s">
        <v>3604</v>
      </c>
      <c r="B1102" s="13" t="s">
        <v>1996</v>
      </c>
      <c r="C1102" s="13" t="s">
        <v>1997</v>
      </c>
      <c r="D1102" s="13" t="s">
        <v>1997</v>
      </c>
      <c r="E1102" s="17" t="s">
        <v>29</v>
      </c>
      <c r="F1102" s="17" t="s">
        <v>43</v>
      </c>
      <c r="G1102" s="17" t="s">
        <v>30</v>
      </c>
      <c r="H1102" s="7">
        <v>446415</v>
      </c>
      <c r="I1102" s="7">
        <v>215595</v>
      </c>
      <c r="J1102" s="80">
        <v>166.45032647025801</v>
      </c>
      <c r="K1102" s="80">
        <v>-22.261722704478</v>
      </c>
      <c r="L1102" s="71">
        <v>80</v>
      </c>
      <c r="M1102" s="73">
        <v>3</v>
      </c>
      <c r="N1102" s="73">
        <v>3</v>
      </c>
      <c r="O1102" s="73">
        <v>1</v>
      </c>
      <c r="P1102" s="17" t="s">
        <v>37</v>
      </c>
      <c r="Q1102" t="str">
        <f>LEFT(B1102,3)</f>
        <v>SCO</v>
      </c>
    </row>
    <row r="1103" spans="1:17">
      <c r="A1103" s="13" t="s">
        <v>3605</v>
      </c>
      <c r="B1103" s="13" t="s">
        <v>1996</v>
      </c>
      <c r="C1103" s="13" t="s">
        <v>1997</v>
      </c>
      <c r="D1103" s="13" t="s">
        <v>1997</v>
      </c>
      <c r="E1103" s="17" t="s">
        <v>29</v>
      </c>
      <c r="F1103" s="17" t="s">
        <v>43</v>
      </c>
      <c r="G1103" s="17" t="s">
        <v>30</v>
      </c>
      <c r="H1103" s="7">
        <v>446415</v>
      </c>
      <c r="I1103" s="7">
        <v>215595</v>
      </c>
      <c r="J1103" s="80">
        <v>166.45032647025801</v>
      </c>
      <c r="K1103" s="80">
        <v>-22.261722704478</v>
      </c>
      <c r="L1103" s="71">
        <v>245</v>
      </c>
      <c r="M1103" s="73">
        <v>3</v>
      </c>
      <c r="N1103" s="73">
        <v>3</v>
      </c>
      <c r="O1103" s="73">
        <v>1</v>
      </c>
      <c r="P1103" s="17" t="s">
        <v>37</v>
      </c>
      <c r="Q1103" t="str">
        <f>LEFT(B1103,3)</f>
        <v>SCO</v>
      </c>
    </row>
    <row r="1104" spans="1:17">
      <c r="A1104" s="13" t="s">
        <v>3606</v>
      </c>
      <c r="B1104" s="13" t="s">
        <v>1996</v>
      </c>
      <c r="C1104" s="13" t="s">
        <v>1997</v>
      </c>
      <c r="D1104" s="13" t="s">
        <v>1997</v>
      </c>
      <c r="E1104" s="17" t="s">
        <v>29</v>
      </c>
      <c r="F1104" s="17" t="s">
        <v>43</v>
      </c>
      <c r="G1104" s="17" t="s">
        <v>30</v>
      </c>
      <c r="H1104" s="7">
        <v>446415</v>
      </c>
      <c r="I1104" s="7">
        <v>215595</v>
      </c>
      <c r="J1104" s="80">
        <v>166.45032647025801</v>
      </c>
      <c r="K1104" s="80">
        <v>-22.261722704478</v>
      </c>
      <c r="L1104" s="71">
        <v>340</v>
      </c>
      <c r="M1104" s="73">
        <v>3</v>
      </c>
      <c r="N1104" s="73">
        <v>3</v>
      </c>
      <c r="O1104" s="73">
        <v>0</v>
      </c>
      <c r="P1104" s="17" t="s">
        <v>37</v>
      </c>
      <c r="Q1104" t="str">
        <f>LEFT(B1104,3)</f>
        <v>SCO</v>
      </c>
    </row>
    <row r="1105" spans="1:17">
      <c r="A1105" s="13" t="s">
        <v>3607</v>
      </c>
      <c r="B1105" s="13" t="s">
        <v>2000</v>
      </c>
      <c r="C1105" s="13" t="s">
        <v>2001</v>
      </c>
      <c r="D1105" s="13" t="s">
        <v>2001</v>
      </c>
      <c r="E1105" s="17" t="s">
        <v>49</v>
      </c>
      <c r="F1105" s="17" t="s">
        <v>43</v>
      </c>
      <c r="G1105" s="17" t="s">
        <v>50</v>
      </c>
      <c r="H1105" s="7">
        <v>448798</v>
      </c>
      <c r="I1105" s="7">
        <v>221422</v>
      </c>
      <c r="J1105" s="79">
        <v>166.473275</v>
      </c>
      <c r="K1105" s="79">
        <v>-22.209036000000001</v>
      </c>
      <c r="L1105" s="71">
        <v>10</v>
      </c>
      <c r="M1105" s="73">
        <v>1</v>
      </c>
      <c r="N1105" s="73">
        <v>1</v>
      </c>
      <c r="O1105" s="73">
        <v>0</v>
      </c>
      <c r="P1105" s="17" t="s">
        <v>37</v>
      </c>
      <c r="Q1105" t="str">
        <f>LEFT(B1105,3)</f>
        <v>SDK</v>
      </c>
    </row>
    <row r="1106" spans="1:17">
      <c r="A1106" s="13" t="s">
        <v>3608</v>
      </c>
      <c r="B1106" s="13" t="s">
        <v>2000</v>
      </c>
      <c r="C1106" s="13" t="s">
        <v>2001</v>
      </c>
      <c r="D1106" s="13" t="s">
        <v>2001</v>
      </c>
      <c r="E1106" s="17" t="s">
        <v>49</v>
      </c>
      <c r="F1106" s="17" t="s">
        <v>43</v>
      </c>
      <c r="G1106" s="17" t="s">
        <v>50</v>
      </c>
      <c r="H1106" s="7">
        <v>448798</v>
      </c>
      <c r="I1106" s="7">
        <v>221422</v>
      </c>
      <c r="J1106" s="79">
        <v>166.473275</v>
      </c>
      <c r="K1106" s="79">
        <v>-22.209036000000001</v>
      </c>
      <c r="L1106" s="71">
        <v>110</v>
      </c>
      <c r="M1106" s="73">
        <v>1</v>
      </c>
      <c r="N1106" s="73">
        <v>1</v>
      </c>
      <c r="O1106" s="73">
        <v>0</v>
      </c>
      <c r="P1106" s="17" t="s">
        <v>37</v>
      </c>
      <c r="Q1106" t="str">
        <f>LEFT(B1106,3)</f>
        <v>SDK</v>
      </c>
    </row>
    <row r="1107" spans="1:17">
      <c r="A1107" s="13" t="s">
        <v>3609</v>
      </c>
      <c r="B1107" s="13" t="s">
        <v>2000</v>
      </c>
      <c r="C1107" s="13" t="s">
        <v>2001</v>
      </c>
      <c r="D1107" s="13" t="s">
        <v>2001</v>
      </c>
      <c r="E1107" s="17" t="s">
        <v>49</v>
      </c>
      <c r="F1107" s="17" t="s">
        <v>43</v>
      </c>
      <c r="G1107" s="17" t="s">
        <v>50</v>
      </c>
      <c r="H1107" s="7">
        <v>448798</v>
      </c>
      <c r="I1107" s="7">
        <v>221422</v>
      </c>
      <c r="J1107" s="79">
        <v>166.473275</v>
      </c>
      <c r="K1107" s="79">
        <v>-22.209036000000001</v>
      </c>
      <c r="L1107" s="71">
        <v>270</v>
      </c>
      <c r="M1107" s="73">
        <v>1</v>
      </c>
      <c r="N1107" s="73">
        <v>1</v>
      </c>
      <c r="O1107" s="73">
        <v>0</v>
      </c>
      <c r="P1107" s="17" t="s">
        <v>37</v>
      </c>
      <c r="Q1107" t="str">
        <f>LEFT(B1107,3)</f>
        <v>SDK</v>
      </c>
    </row>
    <row r="1108" spans="1:17">
      <c r="A1108" s="13" t="s">
        <v>3610</v>
      </c>
      <c r="B1108" s="13" t="s">
        <v>2003</v>
      </c>
      <c r="C1108" s="6" t="s">
        <v>2005</v>
      </c>
      <c r="D1108" s="6" t="s">
        <v>2005</v>
      </c>
      <c r="E1108" s="17" t="s">
        <v>297</v>
      </c>
      <c r="F1108" s="17" t="s">
        <v>68</v>
      </c>
      <c r="G1108" s="17" t="s">
        <v>68</v>
      </c>
      <c r="H1108" s="7">
        <v>251168</v>
      </c>
      <c r="I1108" s="7">
        <v>422035</v>
      </c>
      <c r="J1108" s="8">
        <v>164.574308</v>
      </c>
      <c r="K1108" s="8">
        <v>-20.391590999999998</v>
      </c>
      <c r="L1108" s="71">
        <v>90</v>
      </c>
      <c r="M1108" s="73">
        <v>1</v>
      </c>
      <c r="N1108" s="73">
        <v>1</v>
      </c>
      <c r="O1108" s="73">
        <v>0</v>
      </c>
      <c r="P1108" s="17" t="s">
        <v>47</v>
      </c>
      <c r="Q1108" t="str">
        <f>LEFT(B1108,3)</f>
        <v>SEL</v>
      </c>
    </row>
    <row r="1109" spans="1:17">
      <c r="A1109" s="13" t="s">
        <v>3611</v>
      </c>
      <c r="B1109" s="13" t="s">
        <v>2003</v>
      </c>
      <c r="C1109" s="6" t="s">
        <v>2005</v>
      </c>
      <c r="D1109" s="6" t="s">
        <v>2005</v>
      </c>
      <c r="E1109" s="17" t="s">
        <v>297</v>
      </c>
      <c r="F1109" s="17" t="s">
        <v>68</v>
      </c>
      <c r="G1109" s="17" t="s">
        <v>68</v>
      </c>
      <c r="H1109" s="7">
        <v>251168</v>
      </c>
      <c r="I1109" s="7">
        <v>422035</v>
      </c>
      <c r="J1109" s="8">
        <v>164.574308</v>
      </c>
      <c r="K1109" s="8">
        <v>-20.391590999999998</v>
      </c>
      <c r="L1109" s="71">
        <v>250</v>
      </c>
      <c r="M1109" s="73">
        <v>1</v>
      </c>
      <c r="N1109" s="73">
        <v>1</v>
      </c>
      <c r="O1109" s="73">
        <v>0</v>
      </c>
      <c r="P1109" s="17" t="s">
        <v>47</v>
      </c>
      <c r="Q1109" t="str">
        <f>LEFT(B1109,3)</f>
        <v>SEL</v>
      </c>
    </row>
    <row r="1110" spans="1:17">
      <c r="A1110" s="13" t="s">
        <v>3612</v>
      </c>
      <c r="B1110" s="13" t="s">
        <v>2003</v>
      </c>
      <c r="C1110" s="6" t="s">
        <v>2005</v>
      </c>
      <c r="D1110" s="6" t="s">
        <v>2005</v>
      </c>
      <c r="E1110" s="17" t="s">
        <v>297</v>
      </c>
      <c r="F1110" s="17" t="s">
        <v>68</v>
      </c>
      <c r="G1110" s="17" t="s">
        <v>68</v>
      </c>
      <c r="H1110" s="7">
        <v>251168</v>
      </c>
      <c r="I1110" s="7">
        <v>422035</v>
      </c>
      <c r="J1110" s="8">
        <v>164.574308</v>
      </c>
      <c r="K1110" s="8">
        <v>-20.391590999999998</v>
      </c>
      <c r="L1110" s="71">
        <v>355</v>
      </c>
      <c r="M1110" s="73">
        <v>1</v>
      </c>
      <c r="N1110" s="73">
        <v>1</v>
      </c>
      <c r="O1110" s="73">
        <v>0</v>
      </c>
      <c r="P1110" s="17" t="s">
        <v>47</v>
      </c>
      <c r="Q1110" t="str">
        <f>LEFT(B1110,3)</f>
        <v>SEL</v>
      </c>
    </row>
    <row r="1111" spans="1:17">
      <c r="A1111" s="13" t="s">
        <v>3613</v>
      </c>
      <c r="B1111" s="13" t="s">
        <v>2007</v>
      </c>
      <c r="C1111" s="13" t="s">
        <v>2009</v>
      </c>
      <c r="D1111" s="13" t="s">
        <v>2009</v>
      </c>
      <c r="E1111" s="17" t="s">
        <v>29</v>
      </c>
      <c r="F1111" s="17" t="s">
        <v>43</v>
      </c>
      <c r="G1111" s="17" t="s">
        <v>30</v>
      </c>
      <c r="H1111" s="7">
        <v>445940</v>
      </c>
      <c r="I1111" s="7">
        <v>215015</v>
      </c>
      <c r="J1111" s="80">
        <v>166.44573399999999</v>
      </c>
      <c r="K1111" s="80">
        <v>-22.266973</v>
      </c>
      <c r="L1111" s="71">
        <v>110</v>
      </c>
      <c r="M1111" s="73">
        <v>3</v>
      </c>
      <c r="N1111" s="73">
        <v>3</v>
      </c>
      <c r="O1111" s="73">
        <v>0</v>
      </c>
      <c r="P1111" s="17" t="s">
        <v>37</v>
      </c>
      <c r="Q1111" t="str">
        <f>LEFT(B1111,3)</f>
        <v>SEM</v>
      </c>
    </row>
    <row r="1112" spans="1:17">
      <c r="A1112" s="13" t="s">
        <v>3614</v>
      </c>
      <c r="B1112" s="13" t="s">
        <v>2007</v>
      </c>
      <c r="C1112" s="13" t="s">
        <v>2009</v>
      </c>
      <c r="D1112" s="13" t="s">
        <v>2009</v>
      </c>
      <c r="E1112" s="17" t="s">
        <v>29</v>
      </c>
      <c r="F1112" s="17" t="s">
        <v>43</v>
      </c>
      <c r="G1112" s="17" t="s">
        <v>30</v>
      </c>
      <c r="H1112" s="7">
        <v>445940</v>
      </c>
      <c r="I1112" s="7">
        <v>215015</v>
      </c>
      <c r="J1112" s="80">
        <v>166.44573399999999</v>
      </c>
      <c r="K1112" s="80">
        <v>-22.266973</v>
      </c>
      <c r="L1112" s="71">
        <v>270</v>
      </c>
      <c r="M1112" s="73">
        <v>3</v>
      </c>
      <c r="N1112" s="73">
        <v>3</v>
      </c>
      <c r="O1112" s="73">
        <v>0</v>
      </c>
      <c r="P1112" s="17" t="s">
        <v>37</v>
      </c>
      <c r="Q1112" t="str">
        <f>LEFT(B1112,3)</f>
        <v>SEM</v>
      </c>
    </row>
    <row r="1113" spans="1:17">
      <c r="A1113" s="13" t="s">
        <v>3615</v>
      </c>
      <c r="B1113" s="13" t="s">
        <v>2007</v>
      </c>
      <c r="C1113" s="13" t="s">
        <v>2009</v>
      </c>
      <c r="D1113" s="13" t="s">
        <v>2009</v>
      </c>
      <c r="E1113" s="17" t="s">
        <v>29</v>
      </c>
      <c r="F1113" s="17" t="s">
        <v>43</v>
      </c>
      <c r="G1113" s="17" t="s">
        <v>30</v>
      </c>
      <c r="H1113" s="7">
        <v>445940</v>
      </c>
      <c r="I1113" s="7">
        <v>215015</v>
      </c>
      <c r="J1113" s="80">
        <v>166.44573399999999</v>
      </c>
      <c r="K1113" s="80">
        <v>-22.266973</v>
      </c>
      <c r="L1113" s="71">
        <v>350</v>
      </c>
      <c r="M1113" s="73">
        <v>3</v>
      </c>
      <c r="N1113" s="73">
        <v>3</v>
      </c>
      <c r="O1113" s="73">
        <v>0</v>
      </c>
      <c r="P1113" s="17" t="s">
        <v>37</v>
      </c>
      <c r="Q1113" t="str">
        <f>LEFT(B1113,3)</f>
        <v>SEM</v>
      </c>
    </row>
    <row r="1114" spans="1:17">
      <c r="A1114" s="17" t="s">
        <v>3616</v>
      </c>
      <c r="B1114" s="17" t="s">
        <v>2011</v>
      </c>
      <c r="C1114" s="13" t="s">
        <v>2012</v>
      </c>
      <c r="D1114" s="13" t="s">
        <v>2012</v>
      </c>
      <c r="E1114" s="17" t="s">
        <v>191</v>
      </c>
      <c r="F1114" s="17" t="s">
        <v>43</v>
      </c>
      <c r="G1114" s="17" t="s">
        <v>43</v>
      </c>
      <c r="H1114" s="7">
        <v>334450</v>
      </c>
      <c r="I1114" s="7">
        <v>288867</v>
      </c>
      <c r="J1114" s="80">
        <v>165.366903156875</v>
      </c>
      <c r="K1114" s="80">
        <v>-21.599358703331198</v>
      </c>
      <c r="L1114" s="71">
        <v>120</v>
      </c>
      <c r="M1114" s="73">
        <v>1</v>
      </c>
      <c r="N1114" s="73">
        <v>1</v>
      </c>
      <c r="O1114" s="73">
        <v>1</v>
      </c>
      <c r="P1114" s="17" t="s">
        <v>47</v>
      </c>
      <c r="Q1114" t="str">
        <f>LEFT(B1114,3)</f>
        <v>SHE</v>
      </c>
    </row>
    <row r="1115" spans="1:17">
      <c r="A1115" s="13" t="s">
        <v>3617</v>
      </c>
      <c r="B1115" s="13" t="s">
        <v>2011</v>
      </c>
      <c r="C1115" s="13" t="s">
        <v>2012</v>
      </c>
      <c r="D1115" s="13" t="s">
        <v>2012</v>
      </c>
      <c r="E1115" s="17" t="s">
        <v>191</v>
      </c>
      <c r="F1115" s="17" t="s">
        <v>43</v>
      </c>
      <c r="G1115" s="17" t="s">
        <v>43</v>
      </c>
      <c r="H1115" s="7">
        <v>334450</v>
      </c>
      <c r="I1115" s="7">
        <v>288867</v>
      </c>
      <c r="J1115" s="80">
        <v>165.366903156875</v>
      </c>
      <c r="K1115" s="80">
        <v>-21.599358703331198</v>
      </c>
      <c r="L1115" s="71">
        <v>240</v>
      </c>
      <c r="M1115" s="73">
        <v>1</v>
      </c>
      <c r="N1115" s="73">
        <v>1</v>
      </c>
      <c r="O1115" s="73">
        <v>1</v>
      </c>
      <c r="P1115" s="17" t="s">
        <v>47</v>
      </c>
      <c r="Q1115" t="str">
        <f>LEFT(B1115,3)</f>
        <v>SHE</v>
      </c>
    </row>
    <row r="1116" spans="1:17">
      <c r="A1116" s="17" t="s">
        <v>3618</v>
      </c>
      <c r="B1116" s="6" t="s">
        <v>2015</v>
      </c>
      <c r="C1116" s="13" t="s">
        <v>2016</v>
      </c>
      <c r="D1116" s="13" t="s">
        <v>2017</v>
      </c>
      <c r="E1116" s="17" t="s">
        <v>562</v>
      </c>
      <c r="F1116" s="17" t="s">
        <v>43</v>
      </c>
      <c r="G1116" s="17" t="s">
        <v>43</v>
      </c>
      <c r="H1116" s="7">
        <v>448392</v>
      </c>
      <c r="I1116" s="7">
        <v>270601</v>
      </c>
      <c r="J1116" s="80">
        <v>166.46790999999999</v>
      </c>
      <c r="K1116" s="80">
        <v>-21.764886000000001</v>
      </c>
      <c r="L1116" s="71">
        <v>30</v>
      </c>
      <c r="M1116" s="73">
        <v>1</v>
      </c>
      <c r="N1116" s="73">
        <v>1</v>
      </c>
      <c r="O1116" s="73">
        <v>1</v>
      </c>
      <c r="P1116" s="17" t="s">
        <v>37</v>
      </c>
      <c r="Q1116" t="str">
        <f>LEFT(B1116,3)</f>
        <v>SJB</v>
      </c>
    </row>
    <row r="1117" spans="1:17">
      <c r="A1117" s="17" t="s">
        <v>3619</v>
      </c>
      <c r="B1117" s="6" t="s">
        <v>2015</v>
      </c>
      <c r="C1117" s="13" t="s">
        <v>2016</v>
      </c>
      <c r="D1117" s="13" t="s">
        <v>2017</v>
      </c>
      <c r="E1117" s="17" t="s">
        <v>562</v>
      </c>
      <c r="F1117" s="17" t="s">
        <v>43</v>
      </c>
      <c r="G1117" s="17" t="s">
        <v>43</v>
      </c>
      <c r="H1117" s="7">
        <v>448392</v>
      </c>
      <c r="I1117" s="7">
        <v>270601</v>
      </c>
      <c r="J1117" s="80">
        <v>166.46790999999999</v>
      </c>
      <c r="K1117" s="80">
        <v>-21.764886000000001</v>
      </c>
      <c r="L1117" s="71">
        <v>125</v>
      </c>
      <c r="M1117" s="73">
        <v>1</v>
      </c>
      <c r="N1117" s="73">
        <v>1</v>
      </c>
      <c r="O1117" s="73">
        <v>1</v>
      </c>
      <c r="P1117" s="17" t="s">
        <v>37</v>
      </c>
      <c r="Q1117" t="str">
        <f>LEFT(B1117,3)</f>
        <v>SJB</v>
      </c>
    </row>
    <row r="1118" spans="1:17">
      <c r="A1118" s="17" t="s">
        <v>3620</v>
      </c>
      <c r="B1118" s="6" t="s">
        <v>2015</v>
      </c>
      <c r="C1118" s="13" t="s">
        <v>2016</v>
      </c>
      <c r="D1118" s="13" t="s">
        <v>2017</v>
      </c>
      <c r="E1118" s="17" t="s">
        <v>562</v>
      </c>
      <c r="F1118" s="17" t="s">
        <v>43</v>
      </c>
      <c r="G1118" s="17" t="s">
        <v>43</v>
      </c>
      <c r="H1118" s="7">
        <v>448392</v>
      </c>
      <c r="I1118" s="7">
        <v>270601</v>
      </c>
      <c r="J1118" s="80">
        <v>166.46790999999999</v>
      </c>
      <c r="K1118" s="80">
        <v>-21.764886000000001</v>
      </c>
      <c r="L1118" s="71">
        <v>220</v>
      </c>
      <c r="M1118" s="73">
        <v>1</v>
      </c>
      <c r="N1118" s="73">
        <v>1</v>
      </c>
      <c r="O1118" s="73">
        <v>1</v>
      </c>
      <c r="P1118" s="17" t="s">
        <v>37</v>
      </c>
      <c r="Q1118" t="str">
        <f>LEFT(B1118,3)</f>
        <v>SJB</v>
      </c>
    </row>
    <row r="1119" spans="1:17">
      <c r="A1119" s="17" t="s">
        <v>3621</v>
      </c>
      <c r="B1119" s="17" t="s">
        <v>2019</v>
      </c>
      <c r="C1119" s="13" t="s">
        <v>2020</v>
      </c>
      <c r="D1119" s="13" t="s">
        <v>2020</v>
      </c>
      <c r="E1119" s="17" t="s">
        <v>93</v>
      </c>
      <c r="F1119" s="17" t="s">
        <v>43</v>
      </c>
      <c r="G1119" s="17" t="s">
        <v>50</v>
      </c>
      <c r="H1119" s="7">
        <v>457130</v>
      </c>
      <c r="I1119" s="7">
        <v>219273</v>
      </c>
      <c r="J1119" s="80">
        <v>166.554157992781</v>
      </c>
      <c r="K1119" s="80">
        <v>-22.228196431615199</v>
      </c>
      <c r="L1119" s="71">
        <v>110</v>
      </c>
      <c r="M1119" s="73">
        <v>2</v>
      </c>
      <c r="N1119" s="73">
        <v>1</v>
      </c>
      <c r="O1119" s="73">
        <v>1</v>
      </c>
      <c r="P1119" s="17" t="s">
        <v>37</v>
      </c>
      <c r="Q1119" t="str">
        <f>LEFT(B1119,3)</f>
        <v>SLO</v>
      </c>
    </row>
    <row r="1120" spans="1:17">
      <c r="A1120" s="17" t="s">
        <v>3622</v>
      </c>
      <c r="B1120" s="17" t="s">
        <v>2019</v>
      </c>
      <c r="C1120" s="13" t="s">
        <v>2020</v>
      </c>
      <c r="D1120" s="13" t="s">
        <v>2020</v>
      </c>
      <c r="E1120" s="17" t="s">
        <v>93</v>
      </c>
      <c r="F1120" s="17" t="s">
        <v>43</v>
      </c>
      <c r="G1120" s="17" t="s">
        <v>50</v>
      </c>
      <c r="H1120" s="7">
        <v>457130</v>
      </c>
      <c r="I1120" s="7">
        <v>219273</v>
      </c>
      <c r="J1120" s="80">
        <v>166.554157992781</v>
      </c>
      <c r="K1120" s="80">
        <v>-22.228196431615199</v>
      </c>
      <c r="L1120" s="71">
        <v>230</v>
      </c>
      <c r="M1120" s="73">
        <v>1</v>
      </c>
      <c r="N1120" s="73">
        <v>1</v>
      </c>
      <c r="O1120" s="73">
        <v>1</v>
      </c>
      <c r="P1120" s="17" t="s">
        <v>37</v>
      </c>
      <c r="Q1120" t="str">
        <f>LEFT(B1120,3)</f>
        <v>SLO</v>
      </c>
    </row>
    <row r="1121" spans="1:17">
      <c r="A1121" s="17" t="s">
        <v>3623</v>
      </c>
      <c r="B1121" s="17" t="s">
        <v>2019</v>
      </c>
      <c r="C1121" s="13" t="s">
        <v>2020</v>
      </c>
      <c r="D1121" s="13" t="s">
        <v>2020</v>
      </c>
      <c r="E1121" s="17" t="s">
        <v>93</v>
      </c>
      <c r="F1121" s="17" t="s">
        <v>43</v>
      </c>
      <c r="G1121" s="17" t="s">
        <v>50</v>
      </c>
      <c r="H1121" s="7">
        <v>457130</v>
      </c>
      <c r="I1121" s="7">
        <v>219273</v>
      </c>
      <c r="J1121" s="80">
        <v>166.554157992781</v>
      </c>
      <c r="K1121" s="80">
        <v>-22.228196431615199</v>
      </c>
      <c r="L1121" s="71">
        <v>330</v>
      </c>
      <c r="M1121" s="73">
        <v>2</v>
      </c>
      <c r="N1121" s="73">
        <v>1</v>
      </c>
      <c r="O1121" s="73">
        <v>1</v>
      </c>
      <c r="P1121" s="17" t="s">
        <v>37</v>
      </c>
      <c r="Q1121" t="str">
        <f>LEFT(B1121,3)</f>
        <v>SLO</v>
      </c>
    </row>
    <row r="1122" spans="1:17">
      <c r="A1122" s="6" t="s">
        <v>3624</v>
      </c>
      <c r="B1122" s="6" t="s">
        <v>2023</v>
      </c>
      <c r="C1122" s="13" t="s">
        <v>2024</v>
      </c>
      <c r="D1122" s="13" t="s">
        <v>2025</v>
      </c>
      <c r="E1122" s="17" t="s">
        <v>123</v>
      </c>
      <c r="F1122" s="17" t="s">
        <v>68</v>
      </c>
      <c r="G1122" s="17" t="s">
        <v>68</v>
      </c>
      <c r="H1122" s="7">
        <v>195073</v>
      </c>
      <c r="I1122" s="7">
        <v>436038</v>
      </c>
      <c r="J1122" s="80">
        <v>164.03869499999999</v>
      </c>
      <c r="K1122" s="80">
        <v>-20.259637999999999</v>
      </c>
      <c r="L1122" s="71">
        <v>40</v>
      </c>
      <c r="M1122" s="73">
        <v>1</v>
      </c>
      <c r="N1122" s="73">
        <v>1</v>
      </c>
      <c r="O1122" s="73">
        <v>0</v>
      </c>
      <c r="P1122" s="17" t="s">
        <v>37</v>
      </c>
      <c r="Q1122" t="str">
        <f>LEFT(B1122,3)</f>
        <v>SLR</v>
      </c>
    </row>
    <row r="1123" spans="1:17">
      <c r="A1123" s="6" t="s">
        <v>3625</v>
      </c>
      <c r="B1123" s="6" t="s">
        <v>2023</v>
      </c>
      <c r="C1123" s="13" t="s">
        <v>2024</v>
      </c>
      <c r="D1123" s="13" t="s">
        <v>2025</v>
      </c>
      <c r="E1123" s="17" t="s">
        <v>123</v>
      </c>
      <c r="F1123" s="17" t="s">
        <v>68</v>
      </c>
      <c r="G1123" s="17" t="s">
        <v>68</v>
      </c>
      <c r="H1123" s="7">
        <v>195073</v>
      </c>
      <c r="I1123" s="7">
        <v>436038</v>
      </c>
      <c r="J1123" s="80">
        <v>164.03869499999999</v>
      </c>
      <c r="K1123" s="80">
        <v>-20.259637999999999</v>
      </c>
      <c r="L1123" s="71">
        <v>130</v>
      </c>
      <c r="M1123" s="73">
        <v>1</v>
      </c>
      <c r="N1123" s="73">
        <v>1</v>
      </c>
      <c r="O1123" s="73">
        <v>0</v>
      </c>
      <c r="P1123" s="17" t="s">
        <v>37</v>
      </c>
      <c r="Q1123" t="str">
        <f>LEFT(B1123,3)</f>
        <v>SLR</v>
      </c>
    </row>
    <row r="1124" spans="1:17">
      <c r="A1124" s="6" t="s">
        <v>3626</v>
      </c>
      <c r="B1124" s="6" t="s">
        <v>2023</v>
      </c>
      <c r="C1124" s="13" t="s">
        <v>2024</v>
      </c>
      <c r="D1124" s="13" t="s">
        <v>2025</v>
      </c>
      <c r="E1124" s="17" t="s">
        <v>123</v>
      </c>
      <c r="F1124" s="17" t="s">
        <v>68</v>
      </c>
      <c r="G1124" s="17" t="s">
        <v>68</v>
      </c>
      <c r="H1124" s="7">
        <v>195073</v>
      </c>
      <c r="I1124" s="7">
        <v>436038</v>
      </c>
      <c r="J1124" s="80">
        <v>164.03869499999999</v>
      </c>
      <c r="K1124" s="80">
        <v>-20.259637999999999</v>
      </c>
      <c r="L1124" s="71">
        <v>220</v>
      </c>
      <c r="M1124" s="73">
        <v>1</v>
      </c>
      <c r="N1124" s="73">
        <v>1</v>
      </c>
      <c r="O1124" s="73">
        <v>0</v>
      </c>
      <c r="P1124" s="17" t="s">
        <v>37</v>
      </c>
      <c r="Q1124" t="str">
        <f>LEFT(B1124,3)</f>
        <v>SLR</v>
      </c>
    </row>
    <row r="1125" spans="1:17">
      <c r="A1125" s="6" t="s">
        <v>3627</v>
      </c>
      <c r="B1125" s="6" t="s">
        <v>2023</v>
      </c>
      <c r="C1125" s="13" t="s">
        <v>2024</v>
      </c>
      <c r="D1125" s="13" t="s">
        <v>2025</v>
      </c>
      <c r="E1125" s="17" t="s">
        <v>123</v>
      </c>
      <c r="F1125" s="17" t="s">
        <v>68</v>
      </c>
      <c r="G1125" s="17" t="s">
        <v>68</v>
      </c>
      <c r="H1125" s="7">
        <v>195073</v>
      </c>
      <c r="I1125" s="7">
        <v>436038</v>
      </c>
      <c r="J1125" s="80">
        <v>164.03869499999999</v>
      </c>
      <c r="K1125" s="80">
        <v>-20.259637999999999</v>
      </c>
      <c r="L1125" s="71">
        <v>310</v>
      </c>
      <c r="M1125" s="73">
        <v>1</v>
      </c>
      <c r="N1125" s="73">
        <v>1</v>
      </c>
      <c r="O1125" s="73">
        <v>0</v>
      </c>
      <c r="P1125" s="17" t="s">
        <v>37</v>
      </c>
      <c r="Q1125" t="str">
        <f>LEFT(B1125,3)</f>
        <v>SLR</v>
      </c>
    </row>
    <row r="1126" spans="1:17">
      <c r="A1126" s="17" t="s">
        <v>3628</v>
      </c>
      <c r="B1126" s="17" t="s">
        <v>2027</v>
      </c>
      <c r="C1126" s="13" t="s">
        <v>2029</v>
      </c>
      <c r="D1126" s="13" t="s">
        <v>2029</v>
      </c>
      <c r="E1126" s="17" t="s">
        <v>93</v>
      </c>
      <c r="F1126" s="17" t="s">
        <v>43</v>
      </c>
      <c r="G1126" s="17" t="s">
        <v>50</v>
      </c>
      <c r="H1126" s="7">
        <v>454688</v>
      </c>
      <c r="I1126" s="7">
        <v>218985</v>
      </c>
      <c r="J1126" s="80">
        <v>166.53048038700001</v>
      </c>
      <c r="K1126" s="80">
        <v>-22.230873829</v>
      </c>
      <c r="L1126" s="71">
        <v>40</v>
      </c>
      <c r="M1126" s="73">
        <v>1</v>
      </c>
      <c r="N1126" s="73">
        <v>1</v>
      </c>
      <c r="O1126" s="73">
        <v>0</v>
      </c>
      <c r="P1126" s="17" t="s">
        <v>37</v>
      </c>
      <c r="Q1126" t="str">
        <f>LEFT(B1126,3)</f>
        <v>SMG</v>
      </c>
    </row>
    <row r="1127" spans="1:17">
      <c r="A1127" s="17" t="s">
        <v>3629</v>
      </c>
      <c r="B1127" s="17" t="s">
        <v>2027</v>
      </c>
      <c r="C1127" s="13" t="s">
        <v>2029</v>
      </c>
      <c r="D1127" s="13" t="s">
        <v>2029</v>
      </c>
      <c r="E1127" s="17" t="s">
        <v>93</v>
      </c>
      <c r="F1127" s="17" t="s">
        <v>43</v>
      </c>
      <c r="G1127" s="17" t="s">
        <v>50</v>
      </c>
      <c r="H1127" s="7">
        <v>454688</v>
      </c>
      <c r="I1127" s="7">
        <v>218985</v>
      </c>
      <c r="J1127" s="80">
        <v>166.53048038700001</v>
      </c>
      <c r="K1127" s="80">
        <v>-22.230873829</v>
      </c>
      <c r="L1127" s="71">
        <v>180</v>
      </c>
      <c r="M1127" s="73">
        <v>1</v>
      </c>
      <c r="N1127" s="73">
        <v>1</v>
      </c>
      <c r="O1127" s="73">
        <v>0</v>
      </c>
      <c r="P1127" s="17" t="s">
        <v>37</v>
      </c>
      <c r="Q1127" t="str">
        <f>LEFT(B1127,3)</f>
        <v>SMG</v>
      </c>
    </row>
    <row r="1128" spans="1:17">
      <c r="A1128" s="17" t="s">
        <v>3630</v>
      </c>
      <c r="B1128" s="17" t="s">
        <v>2027</v>
      </c>
      <c r="C1128" s="13" t="s">
        <v>2029</v>
      </c>
      <c r="D1128" s="13" t="s">
        <v>2029</v>
      </c>
      <c r="E1128" s="17" t="s">
        <v>93</v>
      </c>
      <c r="F1128" s="17" t="s">
        <v>43</v>
      </c>
      <c r="G1128" s="17" t="s">
        <v>50</v>
      </c>
      <c r="H1128" s="7">
        <v>454688</v>
      </c>
      <c r="I1128" s="7">
        <v>218985</v>
      </c>
      <c r="J1128" s="80">
        <v>166.53048038700001</v>
      </c>
      <c r="K1128" s="80">
        <v>-22.230873829</v>
      </c>
      <c r="L1128" s="71">
        <v>280</v>
      </c>
      <c r="M1128" s="73">
        <v>1</v>
      </c>
      <c r="N1128" s="73">
        <v>1</v>
      </c>
      <c r="O1128" s="73">
        <v>0</v>
      </c>
      <c r="P1128" s="17" t="s">
        <v>37</v>
      </c>
      <c r="Q1128" t="str">
        <f>LEFT(B1128,3)</f>
        <v>SMG</v>
      </c>
    </row>
    <row r="1129" spans="1:17">
      <c r="A1129" s="17" t="s">
        <v>3631</v>
      </c>
      <c r="B1129" s="17" t="s">
        <v>2031</v>
      </c>
      <c r="C1129" s="13" t="s">
        <v>2033</v>
      </c>
      <c r="D1129" s="13" t="s">
        <v>2033</v>
      </c>
      <c r="E1129" s="17" t="s">
        <v>93</v>
      </c>
      <c r="F1129" s="17" t="s">
        <v>43</v>
      </c>
      <c r="G1129" s="17" t="s">
        <v>50</v>
      </c>
      <c r="H1129" s="7">
        <v>454958.48116000002</v>
      </c>
      <c r="I1129" s="7">
        <v>219191.32311</v>
      </c>
      <c r="J1129" s="80">
        <v>166.533092586066</v>
      </c>
      <c r="K1129" s="80">
        <v>-22.229005174798601</v>
      </c>
      <c r="L1129" s="71">
        <v>90</v>
      </c>
      <c r="M1129" s="73">
        <v>2</v>
      </c>
      <c r="N1129" s="73">
        <v>1</v>
      </c>
      <c r="O1129" s="73">
        <v>1</v>
      </c>
      <c r="P1129" s="17" t="s">
        <v>37</v>
      </c>
      <c r="Q1129" t="str">
        <f>LEFT(B1129,3)</f>
        <v>SML</v>
      </c>
    </row>
    <row r="1130" spans="1:17">
      <c r="A1130" s="17" t="s">
        <v>3632</v>
      </c>
      <c r="B1130" s="17" t="s">
        <v>2031</v>
      </c>
      <c r="C1130" s="13" t="s">
        <v>2033</v>
      </c>
      <c r="D1130" s="13" t="s">
        <v>2033</v>
      </c>
      <c r="E1130" s="17" t="s">
        <v>93</v>
      </c>
      <c r="F1130" s="17" t="s">
        <v>43</v>
      </c>
      <c r="G1130" s="17" t="s">
        <v>50</v>
      </c>
      <c r="H1130" s="7">
        <v>454958.48116000002</v>
      </c>
      <c r="I1130" s="7">
        <v>219191.32311</v>
      </c>
      <c r="J1130" s="80">
        <v>166.533092586066</v>
      </c>
      <c r="K1130" s="80">
        <v>-22.229005174798601</v>
      </c>
      <c r="L1130" s="71">
        <v>221</v>
      </c>
      <c r="M1130" s="73">
        <v>2</v>
      </c>
      <c r="N1130" s="73">
        <v>1</v>
      </c>
      <c r="O1130" s="73">
        <v>1</v>
      </c>
      <c r="P1130" s="17" t="s">
        <v>37</v>
      </c>
      <c r="Q1130" t="str">
        <f>LEFT(B1130,3)</f>
        <v>SML</v>
      </c>
    </row>
    <row r="1131" spans="1:17">
      <c r="A1131" s="17" t="s">
        <v>3633</v>
      </c>
      <c r="B1131" s="17" t="s">
        <v>2031</v>
      </c>
      <c r="C1131" s="13" t="s">
        <v>2033</v>
      </c>
      <c r="D1131" s="13" t="s">
        <v>2033</v>
      </c>
      <c r="E1131" s="17" t="s">
        <v>93</v>
      </c>
      <c r="F1131" s="17" t="s">
        <v>43</v>
      </c>
      <c r="G1131" s="17" t="s">
        <v>50</v>
      </c>
      <c r="H1131" s="7">
        <v>454958.48116000002</v>
      </c>
      <c r="I1131" s="7">
        <v>219191.32311</v>
      </c>
      <c r="J1131" s="80">
        <v>166.533092586066</v>
      </c>
      <c r="K1131" s="80">
        <v>-22.229005174798601</v>
      </c>
      <c r="L1131" s="71">
        <v>321</v>
      </c>
      <c r="M1131" s="73">
        <v>2</v>
      </c>
      <c r="N1131" s="73">
        <v>1</v>
      </c>
      <c r="O1131" s="73">
        <v>1</v>
      </c>
      <c r="P1131" s="17" t="s">
        <v>37</v>
      </c>
      <c r="Q1131" t="str">
        <f>LEFT(B1131,3)</f>
        <v>SML</v>
      </c>
    </row>
    <row r="1132" spans="1:17">
      <c r="A1132" s="17" t="s">
        <v>3634</v>
      </c>
      <c r="B1132" s="17" t="s">
        <v>2036</v>
      </c>
      <c r="C1132" s="13" t="s">
        <v>2037</v>
      </c>
      <c r="D1132" s="13" t="s">
        <v>2038</v>
      </c>
      <c r="E1132" s="17" t="s">
        <v>29</v>
      </c>
      <c r="F1132" s="17" t="s">
        <v>43</v>
      </c>
      <c r="G1132" s="17" t="s">
        <v>30</v>
      </c>
      <c r="H1132" s="15">
        <v>447415</v>
      </c>
      <c r="I1132" s="15">
        <v>213765</v>
      </c>
      <c r="J1132" s="79">
        <v>166.46008</v>
      </c>
      <c r="K1132" s="79">
        <v>-22.278220000000001</v>
      </c>
      <c r="L1132" s="71">
        <v>90</v>
      </c>
      <c r="M1132" s="73">
        <v>3</v>
      </c>
      <c r="N1132" s="73">
        <v>3</v>
      </c>
      <c r="O1132" s="73">
        <v>0</v>
      </c>
      <c r="P1132" s="17" t="s">
        <v>37</v>
      </c>
      <c r="Q1132" t="str">
        <f>LEFT(B1132,3)</f>
        <v>SMN</v>
      </c>
    </row>
    <row r="1133" spans="1:17">
      <c r="A1133" s="17" t="s">
        <v>3635</v>
      </c>
      <c r="B1133" s="17" t="s">
        <v>2036</v>
      </c>
      <c r="C1133" s="13" t="s">
        <v>2037</v>
      </c>
      <c r="D1133" s="13" t="s">
        <v>2038</v>
      </c>
      <c r="E1133" s="17" t="s">
        <v>29</v>
      </c>
      <c r="F1133" s="17" t="s">
        <v>43</v>
      </c>
      <c r="G1133" s="17" t="s">
        <v>30</v>
      </c>
      <c r="H1133" s="15">
        <v>447415</v>
      </c>
      <c r="I1133" s="15">
        <v>213765</v>
      </c>
      <c r="J1133" s="79">
        <v>166.46008</v>
      </c>
      <c r="K1133" s="79">
        <v>-22.278220000000001</v>
      </c>
      <c r="L1133" s="71">
        <v>210</v>
      </c>
      <c r="M1133" s="73">
        <v>3</v>
      </c>
      <c r="N1133" s="73">
        <v>3</v>
      </c>
      <c r="O1133" s="73">
        <v>0</v>
      </c>
      <c r="P1133" s="17" t="s">
        <v>37</v>
      </c>
      <c r="Q1133" t="str">
        <f>LEFT(B1133,3)</f>
        <v>SMN</v>
      </c>
    </row>
    <row r="1134" spans="1:17">
      <c r="A1134" s="17" t="s">
        <v>3636</v>
      </c>
      <c r="B1134" s="17" t="s">
        <v>2036</v>
      </c>
      <c r="C1134" s="13" t="s">
        <v>2037</v>
      </c>
      <c r="D1134" s="13" t="s">
        <v>2038</v>
      </c>
      <c r="E1134" s="17" t="s">
        <v>29</v>
      </c>
      <c r="F1134" s="17" t="s">
        <v>43</v>
      </c>
      <c r="G1134" s="17" t="s">
        <v>30</v>
      </c>
      <c r="H1134" s="15">
        <v>447415</v>
      </c>
      <c r="I1134" s="15">
        <v>213765</v>
      </c>
      <c r="J1134" s="79">
        <v>166.46008</v>
      </c>
      <c r="K1134" s="79">
        <v>-22.278220000000001</v>
      </c>
      <c r="L1134" s="71">
        <v>330</v>
      </c>
      <c r="M1134" s="73">
        <v>3</v>
      </c>
      <c r="N1134" s="73">
        <v>3</v>
      </c>
      <c r="O1134" s="73">
        <v>0</v>
      </c>
      <c r="P1134" s="17" t="s">
        <v>37</v>
      </c>
      <c r="Q1134" t="str">
        <f>LEFT(B1134,3)</f>
        <v>SMN</v>
      </c>
    </row>
    <row r="1135" spans="1:17">
      <c r="A1135" s="17" t="s">
        <v>3637</v>
      </c>
      <c r="B1135" s="17" t="s">
        <v>2040</v>
      </c>
      <c r="C1135" s="13" t="s">
        <v>2041</v>
      </c>
      <c r="D1135" s="13" t="s">
        <v>2041</v>
      </c>
      <c r="E1135" s="17" t="s">
        <v>29</v>
      </c>
      <c r="F1135" s="17" t="s">
        <v>43</v>
      </c>
      <c r="G1135" s="17" t="s">
        <v>30</v>
      </c>
      <c r="H1135" s="7">
        <v>449959</v>
      </c>
      <c r="I1135" s="7">
        <v>211539</v>
      </c>
      <c r="J1135" s="79">
        <v>166.484832813917</v>
      </c>
      <c r="K1135" s="79">
        <v>-22.2982555831904</v>
      </c>
      <c r="L1135" s="71">
        <v>240</v>
      </c>
      <c r="M1135" s="73">
        <v>2</v>
      </c>
      <c r="N1135" s="73">
        <v>2</v>
      </c>
      <c r="O1135" s="73">
        <v>1</v>
      </c>
      <c r="P1135" s="17" t="s">
        <v>37</v>
      </c>
      <c r="Q1135" t="str">
        <f>LEFT(B1135,3)</f>
        <v>SMR</v>
      </c>
    </row>
    <row r="1136" spans="1:17">
      <c r="A1136" s="17" t="s">
        <v>3638</v>
      </c>
      <c r="B1136" s="17" t="s">
        <v>2040</v>
      </c>
      <c r="C1136" s="13" t="s">
        <v>2041</v>
      </c>
      <c r="D1136" s="13" t="s">
        <v>2041</v>
      </c>
      <c r="E1136" s="17" t="s">
        <v>29</v>
      </c>
      <c r="F1136" s="17" t="s">
        <v>43</v>
      </c>
      <c r="G1136" s="17" t="s">
        <v>30</v>
      </c>
      <c r="H1136" s="7">
        <v>449959</v>
      </c>
      <c r="I1136" s="7">
        <v>211539</v>
      </c>
      <c r="J1136" s="79">
        <v>166.484832813917</v>
      </c>
      <c r="K1136" s="79">
        <v>-22.2982555831904</v>
      </c>
      <c r="L1136" s="71">
        <v>320</v>
      </c>
      <c r="M1136" s="73">
        <v>2</v>
      </c>
      <c r="N1136" s="73">
        <v>2</v>
      </c>
      <c r="O1136" s="73">
        <v>1</v>
      </c>
      <c r="P1136" s="17" t="s">
        <v>37</v>
      </c>
      <c r="Q1136" t="str">
        <f>LEFT(B1136,3)</f>
        <v>SMR</v>
      </c>
    </row>
    <row r="1137" spans="1:17">
      <c r="A1137" s="17" t="s">
        <v>3639</v>
      </c>
      <c r="B1137" s="17" t="s">
        <v>2044</v>
      </c>
      <c r="C1137" s="13" t="s">
        <v>2045</v>
      </c>
      <c r="D1137" s="13" t="s">
        <v>2046</v>
      </c>
      <c r="E1137" s="17" t="s">
        <v>56</v>
      </c>
      <c r="F1137" s="17" t="s">
        <v>43</v>
      </c>
      <c r="G1137" s="17" t="s">
        <v>50</v>
      </c>
      <c r="H1137" s="7">
        <v>431689</v>
      </c>
      <c r="I1137" s="7">
        <v>236075</v>
      </c>
      <c r="J1137" s="79">
        <v>166.30706000000001</v>
      </c>
      <c r="K1137" s="79">
        <v>-22.077089999999998</v>
      </c>
      <c r="L1137" s="71">
        <v>151</v>
      </c>
      <c r="M1137" s="73">
        <v>1</v>
      </c>
      <c r="N1137" s="73">
        <v>1</v>
      </c>
      <c r="O1137" s="73">
        <v>0</v>
      </c>
      <c r="P1137" s="17" t="s">
        <v>47</v>
      </c>
      <c r="Q1137" t="str">
        <f>LEFT(B1137,3)</f>
        <v>SNL</v>
      </c>
    </row>
    <row r="1138" spans="1:17">
      <c r="A1138" s="17" t="s">
        <v>3640</v>
      </c>
      <c r="B1138" s="17" t="s">
        <v>2044</v>
      </c>
      <c r="C1138" s="13" t="s">
        <v>2045</v>
      </c>
      <c r="D1138" s="13" t="s">
        <v>2046</v>
      </c>
      <c r="E1138" s="17" t="s">
        <v>56</v>
      </c>
      <c r="F1138" s="17" t="s">
        <v>43</v>
      </c>
      <c r="G1138" s="17" t="s">
        <v>50</v>
      </c>
      <c r="H1138" s="7">
        <v>431689</v>
      </c>
      <c r="I1138" s="7">
        <v>236075</v>
      </c>
      <c r="J1138" s="79">
        <v>166.30706000000001</v>
      </c>
      <c r="K1138" s="79">
        <v>-22.077089999999998</v>
      </c>
      <c r="L1138" s="71">
        <v>273</v>
      </c>
      <c r="M1138" s="73">
        <v>1</v>
      </c>
      <c r="N1138" s="73">
        <v>1</v>
      </c>
      <c r="O1138" s="73">
        <v>0</v>
      </c>
      <c r="P1138" s="17" t="s">
        <v>47</v>
      </c>
      <c r="Q1138" t="str">
        <f>LEFT(B1138,3)</f>
        <v>SNL</v>
      </c>
    </row>
    <row r="1139" spans="1:17">
      <c r="A1139" s="17" t="s">
        <v>3641</v>
      </c>
      <c r="B1139" s="17" t="s">
        <v>2048</v>
      </c>
      <c r="C1139" s="17" t="s">
        <v>2049</v>
      </c>
      <c r="D1139" s="17" t="s">
        <v>2049</v>
      </c>
      <c r="E1139" s="17" t="s">
        <v>49</v>
      </c>
      <c r="F1139" s="17" t="s">
        <v>43</v>
      </c>
      <c r="G1139" s="17" t="s">
        <v>50</v>
      </c>
      <c r="H1139" s="29">
        <v>447850</v>
      </c>
      <c r="I1139" s="29">
        <v>220525</v>
      </c>
      <c r="J1139" s="80">
        <v>166.46411000000001</v>
      </c>
      <c r="K1139" s="80">
        <v>-22.21716</v>
      </c>
      <c r="L1139" s="71">
        <v>60</v>
      </c>
      <c r="M1139" s="73">
        <v>2</v>
      </c>
      <c r="N1139" s="73">
        <v>2</v>
      </c>
      <c r="O1139" s="73">
        <v>0</v>
      </c>
      <c r="P1139" s="17" t="s">
        <v>37</v>
      </c>
      <c r="Q1139" t="str">
        <f>LEFT(B1139,3)</f>
        <v>SPA</v>
      </c>
    </row>
    <row r="1140" spans="1:17">
      <c r="A1140" s="17" t="s">
        <v>3642</v>
      </c>
      <c r="B1140" s="17" t="s">
        <v>2048</v>
      </c>
      <c r="C1140" s="17" t="s">
        <v>2049</v>
      </c>
      <c r="D1140" s="17" t="s">
        <v>2049</v>
      </c>
      <c r="E1140" s="17" t="s">
        <v>49</v>
      </c>
      <c r="F1140" s="17" t="s">
        <v>43</v>
      </c>
      <c r="G1140" s="17" t="s">
        <v>50</v>
      </c>
      <c r="H1140" s="29">
        <v>447850</v>
      </c>
      <c r="I1140" s="29">
        <v>220525</v>
      </c>
      <c r="J1140" s="80">
        <v>166.46411000000001</v>
      </c>
      <c r="K1140" s="80">
        <v>-22.21716</v>
      </c>
      <c r="L1140" s="71">
        <v>200</v>
      </c>
      <c r="M1140" s="73">
        <v>2</v>
      </c>
      <c r="N1140" s="73">
        <v>2</v>
      </c>
      <c r="O1140" s="73">
        <v>0</v>
      </c>
      <c r="P1140" s="17" t="s">
        <v>37</v>
      </c>
      <c r="Q1140" t="str">
        <f>LEFT(B1140,3)</f>
        <v>SPA</v>
      </c>
    </row>
    <row r="1141" spans="1:17">
      <c r="A1141" s="17" t="s">
        <v>3643</v>
      </c>
      <c r="B1141" s="17" t="s">
        <v>2048</v>
      </c>
      <c r="C1141" s="17" t="s">
        <v>2049</v>
      </c>
      <c r="D1141" s="17" t="s">
        <v>2049</v>
      </c>
      <c r="E1141" s="17" t="s">
        <v>49</v>
      </c>
      <c r="F1141" s="17" t="s">
        <v>43</v>
      </c>
      <c r="G1141" s="17" t="s">
        <v>50</v>
      </c>
      <c r="H1141" s="29">
        <v>447850</v>
      </c>
      <c r="I1141" s="29">
        <v>220525</v>
      </c>
      <c r="J1141" s="80">
        <v>166.46411000000001</v>
      </c>
      <c r="K1141" s="80">
        <v>-22.21716</v>
      </c>
      <c r="L1141" s="71">
        <v>320</v>
      </c>
      <c r="M1141" s="73">
        <v>2</v>
      </c>
      <c r="N1141" s="73">
        <v>2</v>
      </c>
      <c r="O1141" s="73">
        <v>0</v>
      </c>
      <c r="P1141" s="17" t="s">
        <v>37</v>
      </c>
      <c r="Q1141" t="str">
        <f>LEFT(B1141,3)</f>
        <v>SPA</v>
      </c>
    </row>
    <row r="1142" spans="1:17">
      <c r="A1142" s="17" t="s">
        <v>3644</v>
      </c>
      <c r="B1142" s="17" t="s">
        <v>2052</v>
      </c>
      <c r="C1142" s="13" t="s">
        <v>3645</v>
      </c>
      <c r="D1142" s="13" t="s">
        <v>2054</v>
      </c>
      <c r="E1142" s="17" t="s">
        <v>562</v>
      </c>
      <c r="F1142" s="17" t="s">
        <v>43</v>
      </c>
      <c r="G1142" s="17" t="s">
        <v>43</v>
      </c>
      <c r="H1142" s="7">
        <v>424180</v>
      </c>
      <c r="I1142" s="7">
        <v>287760</v>
      </c>
      <c r="J1142" s="79">
        <v>166.23355000000001</v>
      </c>
      <c r="K1142" s="79">
        <v>-21.610389999999999</v>
      </c>
      <c r="L1142" s="71">
        <v>140</v>
      </c>
      <c r="M1142" s="73">
        <v>2</v>
      </c>
      <c r="N1142" s="73">
        <v>2</v>
      </c>
      <c r="O1142" s="73">
        <v>0</v>
      </c>
      <c r="P1142" s="17" t="s">
        <v>47</v>
      </c>
      <c r="Q1142" t="str">
        <f>LEFT(B1142,3)</f>
        <v>SPH</v>
      </c>
    </row>
    <row r="1143" spans="1:17">
      <c r="A1143" s="17" t="s">
        <v>3646</v>
      </c>
      <c r="B1143" s="17" t="s">
        <v>2052</v>
      </c>
      <c r="C1143" s="13" t="s">
        <v>3645</v>
      </c>
      <c r="D1143" s="13" t="s">
        <v>2054</v>
      </c>
      <c r="E1143" s="17" t="s">
        <v>562</v>
      </c>
      <c r="F1143" s="17" t="s">
        <v>43</v>
      </c>
      <c r="G1143" s="17" t="s">
        <v>43</v>
      </c>
      <c r="H1143" s="7">
        <v>424180</v>
      </c>
      <c r="I1143" s="7">
        <v>287760</v>
      </c>
      <c r="J1143" s="79">
        <v>166.23355000000001</v>
      </c>
      <c r="K1143" s="79">
        <v>-21.610389999999999</v>
      </c>
      <c r="L1143" s="71">
        <v>232</v>
      </c>
      <c r="M1143" s="73">
        <v>2</v>
      </c>
      <c r="N1143" s="73">
        <v>2</v>
      </c>
      <c r="O1143" s="73">
        <v>0</v>
      </c>
      <c r="P1143" s="17" t="s">
        <v>47</v>
      </c>
      <c r="Q1143" t="str">
        <f>LEFT(B1143,3)</f>
        <v>SPH</v>
      </c>
    </row>
    <row r="1144" spans="1:17">
      <c r="A1144" s="17" t="s">
        <v>3647</v>
      </c>
      <c r="B1144" s="17" t="s">
        <v>2052</v>
      </c>
      <c r="C1144" s="13" t="s">
        <v>3645</v>
      </c>
      <c r="D1144" s="13" t="s">
        <v>2054</v>
      </c>
      <c r="E1144" s="17" t="s">
        <v>562</v>
      </c>
      <c r="F1144" s="17" t="s">
        <v>43</v>
      </c>
      <c r="G1144" s="17" t="s">
        <v>43</v>
      </c>
      <c r="H1144" s="7">
        <v>424180</v>
      </c>
      <c r="I1144" s="7">
        <v>287760</v>
      </c>
      <c r="J1144" s="79">
        <v>166.23355000000001</v>
      </c>
      <c r="K1144" s="79">
        <v>-21.610389999999999</v>
      </c>
      <c r="L1144" s="71">
        <v>311</v>
      </c>
      <c r="M1144" s="73">
        <v>1</v>
      </c>
      <c r="N1144" s="73">
        <v>2</v>
      </c>
      <c r="O1144" s="73">
        <v>0</v>
      </c>
      <c r="P1144" s="17" t="s">
        <v>47</v>
      </c>
      <c r="Q1144" t="str">
        <f>LEFT(B1144,3)</f>
        <v>SPH</v>
      </c>
    </row>
    <row r="1145" spans="1:17">
      <c r="A1145" s="17" t="s">
        <v>3648</v>
      </c>
      <c r="B1145" s="17" t="s">
        <v>2056</v>
      </c>
      <c r="C1145" s="13" t="s">
        <v>2057</v>
      </c>
      <c r="D1145" s="13" t="s">
        <v>2057</v>
      </c>
      <c r="E1145" s="17" t="s">
        <v>29</v>
      </c>
      <c r="F1145" s="17" t="s">
        <v>43</v>
      </c>
      <c r="G1145" s="17" t="s">
        <v>30</v>
      </c>
      <c r="H1145" s="7">
        <v>448265.53139999998</v>
      </c>
      <c r="I1145" s="7">
        <v>212917.66985999999</v>
      </c>
      <c r="J1145" s="80">
        <v>166.46836290718099</v>
      </c>
      <c r="K1145" s="80">
        <v>-22.285848886478998</v>
      </c>
      <c r="L1145" s="71">
        <v>55</v>
      </c>
      <c r="M1145" s="73">
        <v>2</v>
      </c>
      <c r="N1145" s="73">
        <v>2</v>
      </c>
      <c r="O1145" s="73">
        <v>1</v>
      </c>
      <c r="P1145" s="17" t="s">
        <v>37</v>
      </c>
      <c r="Q1145" t="str">
        <f>LEFT(B1145,3)</f>
        <v>STA</v>
      </c>
    </row>
    <row r="1146" spans="1:17">
      <c r="A1146" s="17" t="s">
        <v>3649</v>
      </c>
      <c r="B1146" s="17" t="s">
        <v>2056</v>
      </c>
      <c r="C1146" s="13" t="s">
        <v>2057</v>
      </c>
      <c r="D1146" s="13" t="s">
        <v>2057</v>
      </c>
      <c r="E1146" s="17" t="s">
        <v>29</v>
      </c>
      <c r="F1146" s="17" t="s">
        <v>43</v>
      </c>
      <c r="G1146" s="17" t="s">
        <v>30</v>
      </c>
      <c r="H1146" s="7">
        <v>448265.53139999998</v>
      </c>
      <c r="I1146" s="7">
        <v>212917.66985999999</v>
      </c>
      <c r="J1146" s="80">
        <v>166.46836290718099</v>
      </c>
      <c r="K1146" s="80">
        <v>-22.285848886478998</v>
      </c>
      <c r="L1146" s="71">
        <v>235</v>
      </c>
      <c r="M1146" s="73">
        <v>2</v>
      </c>
      <c r="N1146" s="73">
        <v>2</v>
      </c>
      <c r="O1146" s="73">
        <v>1</v>
      </c>
      <c r="P1146" s="17" t="s">
        <v>37</v>
      </c>
      <c r="Q1146" t="str">
        <f>LEFT(B1146,3)</f>
        <v>STA</v>
      </c>
    </row>
    <row r="1147" spans="1:17">
      <c r="A1147" s="17" t="s">
        <v>3650</v>
      </c>
      <c r="B1147" s="17" t="s">
        <v>2060</v>
      </c>
      <c r="C1147" s="13" t="s">
        <v>2061</v>
      </c>
      <c r="D1147" s="13" t="s">
        <v>2061</v>
      </c>
      <c r="E1147" s="17" t="s">
        <v>104</v>
      </c>
      <c r="F1147" s="17" t="s">
        <v>68</v>
      </c>
      <c r="G1147" s="17" t="s">
        <v>68</v>
      </c>
      <c r="H1147" s="7">
        <v>325258.66197000002</v>
      </c>
      <c r="I1147" s="7">
        <v>366926.60441000003</v>
      </c>
      <c r="J1147" s="80">
        <v>165.281600198131</v>
      </c>
      <c r="K1147" s="80">
        <v>-20.893923540950599</v>
      </c>
      <c r="L1147" s="71">
        <v>215</v>
      </c>
      <c r="M1147" s="73">
        <v>1</v>
      </c>
      <c r="N1147" s="73">
        <v>1</v>
      </c>
      <c r="O1147" s="73">
        <v>1</v>
      </c>
      <c r="P1147" s="17" t="s">
        <v>47</v>
      </c>
      <c r="Q1147" t="str">
        <f>LEFT(B1147,3)</f>
        <v>STD</v>
      </c>
    </row>
    <row r="1148" spans="1:17">
      <c r="A1148" s="17" t="s">
        <v>3651</v>
      </c>
      <c r="B1148" s="17" t="s">
        <v>2060</v>
      </c>
      <c r="C1148" s="13" t="s">
        <v>2061</v>
      </c>
      <c r="D1148" s="13" t="s">
        <v>2061</v>
      </c>
      <c r="E1148" s="17" t="s">
        <v>104</v>
      </c>
      <c r="F1148" s="17" t="s">
        <v>68</v>
      </c>
      <c r="G1148" s="17" t="s">
        <v>68</v>
      </c>
      <c r="H1148" s="7">
        <v>325258.66197000002</v>
      </c>
      <c r="I1148" s="7">
        <v>366926.60441000003</v>
      </c>
      <c r="J1148" s="80">
        <v>165.281600198131</v>
      </c>
      <c r="K1148" s="80">
        <v>-20.893923540950599</v>
      </c>
      <c r="L1148" s="71">
        <v>330</v>
      </c>
      <c r="M1148" s="73">
        <v>1</v>
      </c>
      <c r="N1148" s="73">
        <v>1</v>
      </c>
      <c r="O1148" s="73">
        <v>1</v>
      </c>
      <c r="P1148" s="17" t="s">
        <v>47</v>
      </c>
      <c r="Q1148" t="str">
        <f>LEFT(B1148,3)</f>
        <v>STD</v>
      </c>
    </row>
    <row r="1149" spans="1:17">
      <c r="A1149" s="17" t="s">
        <v>3652</v>
      </c>
      <c r="B1149" s="17" t="s">
        <v>2064</v>
      </c>
      <c r="C1149" s="13" t="s">
        <v>2066</v>
      </c>
      <c r="D1149" s="13" t="s">
        <v>2066</v>
      </c>
      <c r="E1149" s="17" t="s">
        <v>297</v>
      </c>
      <c r="F1149" s="17" t="s">
        <v>68</v>
      </c>
      <c r="G1149" s="17" t="s">
        <v>68</v>
      </c>
      <c r="H1149" s="7">
        <v>246368.85167</v>
      </c>
      <c r="I1149" s="7">
        <v>428688.10194999998</v>
      </c>
      <c r="J1149" s="80">
        <v>164.52894028409401</v>
      </c>
      <c r="K1149" s="80">
        <v>-20.3311031482984</v>
      </c>
      <c r="L1149" s="71">
        <v>125</v>
      </c>
      <c r="M1149" s="73">
        <v>1</v>
      </c>
      <c r="N1149" s="73">
        <v>1</v>
      </c>
      <c r="O1149" s="73">
        <v>1</v>
      </c>
      <c r="P1149" s="17" t="s">
        <v>47</v>
      </c>
      <c r="Q1149" t="str">
        <f>LEFT(B1149,3)</f>
        <v>STM</v>
      </c>
    </row>
    <row r="1150" spans="1:17">
      <c r="A1150" s="17" t="s">
        <v>3653</v>
      </c>
      <c r="B1150" s="17" t="s">
        <v>2064</v>
      </c>
      <c r="C1150" s="13" t="s">
        <v>2066</v>
      </c>
      <c r="D1150" s="13" t="s">
        <v>2066</v>
      </c>
      <c r="E1150" s="17" t="s">
        <v>297</v>
      </c>
      <c r="F1150" s="17" t="s">
        <v>68</v>
      </c>
      <c r="G1150" s="17" t="s">
        <v>68</v>
      </c>
      <c r="H1150" s="7">
        <v>246368.85167</v>
      </c>
      <c r="I1150" s="7">
        <v>428688.10194999998</v>
      </c>
      <c r="J1150" s="80">
        <v>164.52894028409401</v>
      </c>
      <c r="K1150" s="80">
        <v>-20.3311031482984</v>
      </c>
      <c r="L1150" s="71">
        <v>315</v>
      </c>
      <c r="M1150" s="73">
        <v>1</v>
      </c>
      <c r="N1150" s="73">
        <v>1</v>
      </c>
      <c r="O1150" s="73">
        <v>1</v>
      </c>
      <c r="P1150" s="17" t="s">
        <v>47</v>
      </c>
      <c r="Q1150" t="str">
        <f>LEFT(B1150,3)</f>
        <v>STM</v>
      </c>
    </row>
    <row r="1151" spans="1:17">
      <c r="A1151" s="17" t="s">
        <v>3654</v>
      </c>
      <c r="B1151" s="17" t="s">
        <v>2069</v>
      </c>
      <c r="C1151" s="13" t="s">
        <v>2070</v>
      </c>
      <c r="D1151" s="13" t="s">
        <v>2070</v>
      </c>
      <c r="E1151" s="17" t="s">
        <v>373</v>
      </c>
      <c r="F1151" s="17" t="s">
        <v>129</v>
      </c>
      <c r="G1151" s="17" t="s">
        <v>129</v>
      </c>
      <c r="H1151" s="7">
        <v>530791.09161999996</v>
      </c>
      <c r="I1151" s="7">
        <v>381009.92339000001</v>
      </c>
      <c r="J1151" s="80">
        <v>167.256038562713</v>
      </c>
      <c r="K1151" s="80">
        <v>-20.7635233691901</v>
      </c>
      <c r="L1151" s="71">
        <v>27</v>
      </c>
      <c r="M1151" s="73">
        <v>1</v>
      </c>
      <c r="N1151" s="73">
        <v>1</v>
      </c>
      <c r="O1151" s="73">
        <v>1</v>
      </c>
      <c r="P1151" s="17" t="s">
        <v>47</v>
      </c>
      <c r="Q1151" t="str">
        <f>LEFT(B1151,3)</f>
        <v>STP</v>
      </c>
    </row>
    <row r="1152" spans="1:17">
      <c r="A1152" s="17" t="s">
        <v>3655</v>
      </c>
      <c r="B1152" s="17" t="s">
        <v>2069</v>
      </c>
      <c r="C1152" s="13" t="s">
        <v>2070</v>
      </c>
      <c r="D1152" s="13" t="s">
        <v>2070</v>
      </c>
      <c r="E1152" s="17" t="s">
        <v>373</v>
      </c>
      <c r="F1152" s="17" t="s">
        <v>129</v>
      </c>
      <c r="G1152" s="17" t="s">
        <v>129</v>
      </c>
      <c r="H1152" s="7">
        <v>530791.09161999996</v>
      </c>
      <c r="I1152" s="7">
        <v>381009.92339000001</v>
      </c>
      <c r="J1152" s="80">
        <v>167.256038562713</v>
      </c>
      <c r="K1152" s="80">
        <v>-20.7635233691901</v>
      </c>
      <c r="L1152" s="71">
        <v>210</v>
      </c>
      <c r="M1152" s="73">
        <v>1</v>
      </c>
      <c r="N1152" s="73">
        <v>1</v>
      </c>
      <c r="O1152" s="73">
        <v>1</v>
      </c>
      <c r="P1152" s="17" t="s">
        <v>47</v>
      </c>
      <c r="Q1152" t="str">
        <f>LEFT(B1152,3)</f>
        <v>STP</v>
      </c>
    </row>
    <row r="1153" spans="1:17">
      <c r="A1153" s="17" t="s">
        <v>3656</v>
      </c>
      <c r="B1153" s="17" t="s">
        <v>2073</v>
      </c>
      <c r="C1153" s="13" t="s">
        <v>2074</v>
      </c>
      <c r="D1153" s="13" t="s">
        <v>2074</v>
      </c>
      <c r="E1153" s="17" t="s">
        <v>49</v>
      </c>
      <c r="F1153" s="17" t="s">
        <v>43</v>
      </c>
      <c r="G1153" s="17" t="s">
        <v>50</v>
      </c>
      <c r="H1153" s="7">
        <v>449815</v>
      </c>
      <c r="I1153" s="7">
        <v>220390</v>
      </c>
      <c r="J1153" s="80">
        <v>166.48317</v>
      </c>
      <c r="K1153" s="80">
        <v>-22.218330000000002</v>
      </c>
      <c r="L1153" s="71">
        <v>84</v>
      </c>
      <c r="M1153" s="73">
        <v>3</v>
      </c>
      <c r="N1153" s="73">
        <v>3</v>
      </c>
      <c r="O1153" s="73">
        <v>1</v>
      </c>
      <c r="P1153" s="17" t="s">
        <v>37</v>
      </c>
      <c r="Q1153" t="str">
        <f>LEFT(B1153,3)</f>
        <v>STQ</v>
      </c>
    </row>
    <row r="1154" spans="1:17">
      <c r="A1154" s="17" t="s">
        <v>3657</v>
      </c>
      <c r="B1154" s="17" t="s">
        <v>2073</v>
      </c>
      <c r="C1154" s="13" t="s">
        <v>2074</v>
      </c>
      <c r="D1154" s="13" t="s">
        <v>2074</v>
      </c>
      <c r="E1154" s="17" t="s">
        <v>49</v>
      </c>
      <c r="F1154" s="17" t="s">
        <v>43</v>
      </c>
      <c r="G1154" s="17" t="s">
        <v>50</v>
      </c>
      <c r="H1154" s="7">
        <v>449815</v>
      </c>
      <c r="I1154" s="7">
        <v>220390</v>
      </c>
      <c r="J1154" s="80">
        <v>166.48317</v>
      </c>
      <c r="K1154" s="80">
        <v>-22.218330000000002</v>
      </c>
      <c r="L1154" s="71">
        <v>174</v>
      </c>
      <c r="M1154" s="73">
        <v>3</v>
      </c>
      <c r="N1154" s="73">
        <v>3</v>
      </c>
      <c r="O1154" s="73">
        <v>1</v>
      </c>
      <c r="P1154" s="17" t="s">
        <v>37</v>
      </c>
      <c r="Q1154" t="str">
        <f>LEFT(B1154,3)</f>
        <v>STQ</v>
      </c>
    </row>
    <row r="1155" spans="1:17">
      <c r="A1155" s="17" t="s">
        <v>3658</v>
      </c>
      <c r="B1155" s="17" t="s">
        <v>2073</v>
      </c>
      <c r="C1155" s="13" t="s">
        <v>2074</v>
      </c>
      <c r="D1155" s="13" t="s">
        <v>2074</v>
      </c>
      <c r="E1155" s="17" t="s">
        <v>49</v>
      </c>
      <c r="F1155" s="17" t="s">
        <v>43</v>
      </c>
      <c r="G1155" s="17" t="s">
        <v>50</v>
      </c>
      <c r="H1155" s="7">
        <v>449815</v>
      </c>
      <c r="I1155" s="7">
        <v>220390</v>
      </c>
      <c r="J1155" s="80">
        <v>166.48317</v>
      </c>
      <c r="K1155" s="80">
        <v>-22.218330000000002</v>
      </c>
      <c r="L1155" s="71">
        <v>319</v>
      </c>
      <c r="M1155" s="73">
        <v>3</v>
      </c>
      <c r="N1155" s="73">
        <v>3</v>
      </c>
      <c r="O1155" s="73">
        <v>1</v>
      </c>
      <c r="P1155" s="17" t="s">
        <v>37</v>
      </c>
      <c r="Q1155" t="str">
        <f>LEFT(B1155,3)</f>
        <v>STQ</v>
      </c>
    </row>
    <row r="1156" spans="1:17">
      <c r="A1156" s="26" t="s">
        <v>3659</v>
      </c>
      <c r="B1156" s="26" t="s">
        <v>2077</v>
      </c>
      <c r="C1156" s="26" t="s">
        <v>2078</v>
      </c>
      <c r="D1156" s="26" t="s">
        <v>2078</v>
      </c>
      <c r="E1156" s="25" t="s">
        <v>29</v>
      </c>
      <c r="F1156" s="25" t="s">
        <v>43</v>
      </c>
      <c r="G1156" s="25" t="s">
        <v>30</v>
      </c>
      <c r="H1156" s="27">
        <v>445002.94273000001</v>
      </c>
      <c r="I1156" s="27">
        <v>211033.47643000001</v>
      </c>
      <c r="J1156" s="81">
        <v>166.436750729907</v>
      </c>
      <c r="K1156" s="81">
        <v>-22.302957019246001</v>
      </c>
      <c r="L1156" s="75">
        <v>60</v>
      </c>
      <c r="M1156" s="76">
        <v>3</v>
      </c>
      <c r="N1156" s="76">
        <v>0</v>
      </c>
      <c r="O1156" s="76">
        <v>1</v>
      </c>
      <c r="P1156" s="25" t="s">
        <v>37</v>
      </c>
      <c r="Q1156" t="str">
        <f>LEFT(B1156,3)</f>
        <v>SUR</v>
      </c>
    </row>
    <row r="1157" spans="1:17">
      <c r="A1157" s="26" t="s">
        <v>3660</v>
      </c>
      <c r="B1157" s="26" t="s">
        <v>2077</v>
      </c>
      <c r="C1157" s="26" t="s">
        <v>2078</v>
      </c>
      <c r="D1157" s="26" t="s">
        <v>2078</v>
      </c>
      <c r="E1157" s="25" t="s">
        <v>29</v>
      </c>
      <c r="F1157" s="25" t="s">
        <v>43</v>
      </c>
      <c r="G1157" s="25" t="s">
        <v>30</v>
      </c>
      <c r="H1157" s="27">
        <v>445002.94273000001</v>
      </c>
      <c r="I1157" s="27">
        <v>211033.47643000001</v>
      </c>
      <c r="J1157" s="81">
        <v>166.436750729907</v>
      </c>
      <c r="K1157" s="81">
        <v>-22.302957019246001</v>
      </c>
      <c r="L1157" s="75">
        <v>200</v>
      </c>
      <c r="M1157" s="76">
        <v>3</v>
      </c>
      <c r="N1157" s="76">
        <v>0</v>
      </c>
      <c r="O1157" s="76">
        <v>1</v>
      </c>
      <c r="P1157" s="25" t="s">
        <v>37</v>
      </c>
      <c r="Q1157" t="str">
        <f>LEFT(B1157,3)</f>
        <v>SUR</v>
      </c>
    </row>
    <row r="1158" spans="1:17">
      <c r="A1158" s="17" t="s">
        <v>3661</v>
      </c>
      <c r="B1158" s="17" t="s">
        <v>2081</v>
      </c>
      <c r="C1158" s="13" t="s">
        <v>2082</v>
      </c>
      <c r="D1158" s="13" t="s">
        <v>2084</v>
      </c>
      <c r="E1158" s="17" t="s">
        <v>49</v>
      </c>
      <c r="F1158" s="17" t="s">
        <v>43</v>
      </c>
      <c r="G1158" s="17" t="s">
        <v>50</v>
      </c>
      <c r="H1158" s="7">
        <v>443870</v>
      </c>
      <c r="I1158" s="7">
        <v>232024</v>
      </c>
      <c r="J1158" s="80">
        <v>166.425201006625</v>
      </c>
      <c r="K1158" s="80">
        <v>-22.1134165610591</v>
      </c>
      <c r="L1158" s="71">
        <v>220</v>
      </c>
      <c r="M1158" s="73">
        <v>1</v>
      </c>
      <c r="N1158" s="73">
        <v>1</v>
      </c>
      <c r="O1158" s="73">
        <v>1</v>
      </c>
      <c r="P1158" s="17" t="s">
        <v>47</v>
      </c>
      <c r="Q1158" t="str">
        <f>LEFT(B1158,3)</f>
        <v>SUZ</v>
      </c>
    </row>
    <row r="1159" spans="1:17">
      <c r="A1159" s="17" t="s">
        <v>3662</v>
      </c>
      <c r="B1159" s="17" t="s">
        <v>2081</v>
      </c>
      <c r="C1159" s="13" t="s">
        <v>2082</v>
      </c>
      <c r="D1159" s="13" t="s">
        <v>2084</v>
      </c>
      <c r="E1159" s="17" t="s">
        <v>49</v>
      </c>
      <c r="F1159" s="17" t="s">
        <v>43</v>
      </c>
      <c r="G1159" s="17" t="s">
        <v>50</v>
      </c>
      <c r="H1159" s="7">
        <v>443870</v>
      </c>
      <c r="I1159" s="7">
        <v>232024</v>
      </c>
      <c r="J1159" s="80">
        <v>166.425201006625</v>
      </c>
      <c r="K1159" s="80">
        <v>-22.1134165610591</v>
      </c>
      <c r="L1159" s="71">
        <v>310</v>
      </c>
      <c r="M1159" s="73">
        <v>1</v>
      </c>
      <c r="N1159" s="73">
        <v>1</v>
      </c>
      <c r="O1159" s="73">
        <v>1</v>
      </c>
      <c r="P1159" s="17" t="s">
        <v>47</v>
      </c>
      <c r="Q1159" t="str">
        <f>LEFT(B1159,3)</f>
        <v>SUZ</v>
      </c>
    </row>
    <row r="1160" spans="1:17">
      <c r="A1160" s="3" t="s">
        <v>3663</v>
      </c>
      <c r="B1160" s="3" t="s">
        <v>2086</v>
      </c>
      <c r="C1160" s="3" t="s">
        <v>2087</v>
      </c>
      <c r="D1160" s="3" t="s">
        <v>2088</v>
      </c>
      <c r="E1160" s="3" t="s">
        <v>373</v>
      </c>
      <c r="F1160" s="3" t="s">
        <v>129</v>
      </c>
      <c r="G1160" s="3" t="s">
        <v>129</v>
      </c>
      <c r="H1160" s="7">
        <v>531545</v>
      </c>
      <c r="I1160" s="7">
        <v>363917</v>
      </c>
      <c r="J1160" s="79">
        <v>167.26461</v>
      </c>
      <c r="K1160" s="79">
        <v>-20.917860000000001</v>
      </c>
      <c r="L1160" s="71">
        <v>103</v>
      </c>
      <c r="M1160" s="73">
        <v>1</v>
      </c>
      <c r="N1160" s="73">
        <v>1</v>
      </c>
      <c r="O1160" s="73">
        <v>0</v>
      </c>
      <c r="P1160" s="17" t="s">
        <v>47</v>
      </c>
      <c r="Q1160" t="str">
        <f>LEFT(B1160,3)</f>
        <v>SWE</v>
      </c>
    </row>
    <row r="1161" spans="1:17">
      <c r="A1161" s="3" t="s">
        <v>3664</v>
      </c>
      <c r="B1161" s="3" t="s">
        <v>2086</v>
      </c>
      <c r="C1161" s="3" t="s">
        <v>2087</v>
      </c>
      <c r="D1161" s="3" t="s">
        <v>2088</v>
      </c>
      <c r="E1161" s="3" t="s">
        <v>373</v>
      </c>
      <c r="F1161" s="3" t="s">
        <v>129</v>
      </c>
      <c r="G1161" s="3" t="s">
        <v>129</v>
      </c>
      <c r="H1161" s="7">
        <v>531545</v>
      </c>
      <c r="I1161" s="7">
        <v>363917</v>
      </c>
      <c r="J1161" s="79">
        <v>167.26461</v>
      </c>
      <c r="K1161" s="79">
        <v>-20.917860000000001</v>
      </c>
      <c r="L1161" s="71">
        <v>310</v>
      </c>
      <c r="M1161" s="73">
        <v>1</v>
      </c>
      <c r="N1161" s="73">
        <v>1</v>
      </c>
      <c r="O1161" s="73">
        <v>0</v>
      </c>
      <c r="P1161" s="17" t="s">
        <v>47</v>
      </c>
      <c r="Q1161" t="str">
        <f>LEFT(B1161,3)</f>
        <v>SWE</v>
      </c>
    </row>
    <row r="1162" spans="1:17">
      <c r="A1162" s="17" t="s">
        <v>3665</v>
      </c>
      <c r="B1162" s="17" t="s">
        <v>2090</v>
      </c>
      <c r="C1162" s="13" t="s">
        <v>2091</v>
      </c>
      <c r="D1162" s="13" t="s">
        <v>2092</v>
      </c>
      <c r="E1162" s="17" t="s">
        <v>123</v>
      </c>
      <c r="F1162" s="17" t="s">
        <v>68</v>
      </c>
      <c r="G1162" s="17" t="s">
        <v>68</v>
      </c>
      <c r="H1162" s="7">
        <v>198613</v>
      </c>
      <c r="I1162" s="7">
        <v>449354</v>
      </c>
      <c r="J1162" s="80">
        <v>164.07414199999999</v>
      </c>
      <c r="K1162" s="80">
        <v>-20.139780999999999</v>
      </c>
      <c r="L1162" s="71">
        <v>60</v>
      </c>
      <c r="M1162" s="73">
        <v>1</v>
      </c>
      <c r="N1162" s="73">
        <v>1</v>
      </c>
      <c r="O1162" s="73">
        <v>0</v>
      </c>
      <c r="P1162" s="17" t="s">
        <v>47</v>
      </c>
      <c r="Q1162" t="str">
        <f>LEFT(B1162,3)</f>
        <v>TAA</v>
      </c>
    </row>
    <row r="1163" spans="1:17">
      <c r="A1163" s="17" t="s">
        <v>3666</v>
      </c>
      <c r="B1163" s="17" t="s">
        <v>2090</v>
      </c>
      <c r="C1163" s="13" t="s">
        <v>2091</v>
      </c>
      <c r="D1163" s="13" t="s">
        <v>2092</v>
      </c>
      <c r="E1163" s="17" t="s">
        <v>123</v>
      </c>
      <c r="F1163" s="17" t="s">
        <v>68</v>
      </c>
      <c r="G1163" s="17" t="s">
        <v>68</v>
      </c>
      <c r="H1163" s="7">
        <v>198613</v>
      </c>
      <c r="I1163" s="7">
        <v>449354</v>
      </c>
      <c r="J1163" s="80">
        <v>164.07414199999999</v>
      </c>
      <c r="K1163" s="80">
        <v>-20.139780999999999</v>
      </c>
      <c r="L1163" s="71">
        <v>135</v>
      </c>
      <c r="M1163" s="73">
        <v>1</v>
      </c>
      <c r="N1163" s="73">
        <v>1</v>
      </c>
      <c r="O1163" s="73">
        <v>0</v>
      </c>
      <c r="P1163" s="17" t="s">
        <v>47</v>
      </c>
      <c r="Q1163" t="str">
        <f>LEFT(B1163,3)</f>
        <v>TAA</v>
      </c>
    </row>
    <row r="1164" spans="1:17">
      <c r="A1164" s="17" t="s">
        <v>3667</v>
      </c>
      <c r="B1164" s="17" t="s">
        <v>2090</v>
      </c>
      <c r="C1164" s="13" t="s">
        <v>2091</v>
      </c>
      <c r="D1164" s="13" t="s">
        <v>2092</v>
      </c>
      <c r="E1164" s="17" t="s">
        <v>123</v>
      </c>
      <c r="F1164" s="17" t="s">
        <v>68</v>
      </c>
      <c r="G1164" s="17" t="s">
        <v>68</v>
      </c>
      <c r="H1164" s="7">
        <v>198613</v>
      </c>
      <c r="I1164" s="7">
        <v>449354</v>
      </c>
      <c r="J1164" s="80">
        <v>164.07414199999999</v>
      </c>
      <c r="K1164" s="80">
        <v>-20.139780999999999</v>
      </c>
      <c r="L1164" s="71">
        <v>330</v>
      </c>
      <c r="M1164" s="73">
        <v>1</v>
      </c>
      <c r="N1164" s="73">
        <v>1</v>
      </c>
      <c r="O1164" s="73">
        <v>0</v>
      </c>
      <c r="P1164" s="17" t="s">
        <v>47</v>
      </c>
      <c r="Q1164" t="str">
        <f>LEFT(B1164,3)</f>
        <v>TAA</v>
      </c>
    </row>
    <row r="1165" spans="1:17">
      <c r="A1165" s="17" t="s">
        <v>3668</v>
      </c>
      <c r="B1165" s="17" t="s">
        <v>2094</v>
      </c>
      <c r="C1165" s="13" t="s">
        <v>1056</v>
      </c>
      <c r="D1165" s="13" t="s">
        <v>1056</v>
      </c>
      <c r="E1165" s="17" t="s">
        <v>351</v>
      </c>
      <c r="F1165" s="17" t="s">
        <v>129</v>
      </c>
      <c r="G1165" s="17" t="s">
        <v>129</v>
      </c>
      <c r="H1165" s="7">
        <v>595774.92232999997</v>
      </c>
      <c r="I1165" s="7">
        <v>294183.16819</v>
      </c>
      <c r="J1165" s="80">
        <v>167.89013698148401</v>
      </c>
      <c r="K1165" s="80">
        <v>-21.541851104023699</v>
      </c>
      <c r="L1165" s="71">
        <v>80</v>
      </c>
      <c r="M1165" s="73">
        <v>1</v>
      </c>
      <c r="N1165" s="73">
        <v>1</v>
      </c>
      <c r="O1165" s="73">
        <v>1</v>
      </c>
      <c r="P1165" s="17" t="s">
        <v>47</v>
      </c>
      <c r="Q1165" t="str">
        <f>LEFT(B1165,3)</f>
        <v>TAD</v>
      </c>
    </row>
    <row r="1166" spans="1:17">
      <c r="A1166" s="17" t="s">
        <v>3669</v>
      </c>
      <c r="B1166" s="17" t="s">
        <v>2094</v>
      </c>
      <c r="C1166" s="13" t="s">
        <v>1056</v>
      </c>
      <c r="D1166" s="13" t="s">
        <v>1056</v>
      </c>
      <c r="E1166" s="17" t="s">
        <v>351</v>
      </c>
      <c r="F1166" s="17" t="s">
        <v>129</v>
      </c>
      <c r="G1166" s="17" t="s">
        <v>129</v>
      </c>
      <c r="H1166" s="7">
        <v>595774.92232999997</v>
      </c>
      <c r="I1166" s="7">
        <v>294183.16819</v>
      </c>
      <c r="J1166" s="80">
        <v>167.89013698148401</v>
      </c>
      <c r="K1166" s="80">
        <v>-21.541851104023699</v>
      </c>
      <c r="L1166" s="71">
        <v>220</v>
      </c>
      <c r="M1166" s="73">
        <v>1</v>
      </c>
      <c r="N1166" s="73">
        <v>1</v>
      </c>
      <c r="O1166" s="73">
        <v>1</v>
      </c>
      <c r="P1166" s="17" t="s">
        <v>47</v>
      </c>
      <c r="Q1166" t="str">
        <f>LEFT(B1166,3)</f>
        <v>TAD</v>
      </c>
    </row>
    <row r="1167" spans="1:17">
      <c r="A1167" s="17" t="s">
        <v>3670</v>
      </c>
      <c r="B1167" s="17" t="s">
        <v>2097</v>
      </c>
      <c r="C1167" s="13" t="s">
        <v>2098</v>
      </c>
      <c r="D1167" s="13" t="s">
        <v>2098</v>
      </c>
      <c r="E1167" s="17" t="s">
        <v>128</v>
      </c>
      <c r="F1167" s="17" t="s">
        <v>129</v>
      </c>
      <c r="G1167" s="17" t="s">
        <v>129</v>
      </c>
      <c r="H1167" s="7">
        <v>462125.05697999999</v>
      </c>
      <c r="I1167" s="7">
        <v>414414.99793000001</v>
      </c>
      <c r="J1167" s="80">
        <v>166.59539944481401</v>
      </c>
      <c r="K1167" s="80">
        <v>-20.465476466640499</v>
      </c>
      <c r="L1167" s="71">
        <v>60</v>
      </c>
      <c r="M1167" s="73">
        <v>1</v>
      </c>
      <c r="N1167" s="73">
        <v>1</v>
      </c>
      <c r="O1167" s="73">
        <v>1</v>
      </c>
      <c r="P1167" s="17" t="s">
        <v>47</v>
      </c>
      <c r="Q1167" t="str">
        <f>LEFT(B1167,3)</f>
        <v>TAK</v>
      </c>
    </row>
    <row r="1168" spans="1:17">
      <c r="A1168" s="17" t="s">
        <v>3671</v>
      </c>
      <c r="B1168" s="17" t="s">
        <v>2097</v>
      </c>
      <c r="C1168" s="13" t="s">
        <v>2098</v>
      </c>
      <c r="D1168" s="13" t="s">
        <v>2098</v>
      </c>
      <c r="E1168" s="17" t="s">
        <v>128</v>
      </c>
      <c r="F1168" s="17" t="s">
        <v>129</v>
      </c>
      <c r="G1168" s="17" t="s">
        <v>129</v>
      </c>
      <c r="H1168" s="7">
        <v>462125.05697999999</v>
      </c>
      <c r="I1168" s="7">
        <v>414414.99793000001</v>
      </c>
      <c r="J1168" s="80">
        <v>166.59539944481401</v>
      </c>
      <c r="K1168" s="80">
        <v>-20.465476466640499</v>
      </c>
      <c r="L1168" s="71">
        <v>180</v>
      </c>
      <c r="M1168" s="73">
        <v>1</v>
      </c>
      <c r="N1168" s="73">
        <v>1</v>
      </c>
      <c r="O1168" s="73">
        <v>1</v>
      </c>
      <c r="P1168" s="17" t="s">
        <v>47</v>
      </c>
      <c r="Q1168" t="str">
        <f>LEFT(B1168,3)</f>
        <v>TAK</v>
      </c>
    </row>
    <row r="1169" spans="1:17">
      <c r="A1169" s="17" t="s">
        <v>3672</v>
      </c>
      <c r="B1169" s="17" t="s">
        <v>2097</v>
      </c>
      <c r="C1169" s="13" t="s">
        <v>2098</v>
      </c>
      <c r="D1169" s="13" t="s">
        <v>2098</v>
      </c>
      <c r="E1169" s="17" t="s">
        <v>128</v>
      </c>
      <c r="F1169" s="17" t="s">
        <v>129</v>
      </c>
      <c r="G1169" s="17" t="s">
        <v>129</v>
      </c>
      <c r="H1169" s="7">
        <v>462125.05697999999</v>
      </c>
      <c r="I1169" s="7">
        <v>414414.99793000001</v>
      </c>
      <c r="J1169" s="80">
        <v>166.59539944481401</v>
      </c>
      <c r="K1169" s="80">
        <v>-20.465476466640499</v>
      </c>
      <c r="L1169" s="71">
        <v>300</v>
      </c>
      <c r="M1169" s="73">
        <v>1</v>
      </c>
      <c r="N1169" s="73">
        <v>1</v>
      </c>
      <c r="O1169" s="73">
        <v>1</v>
      </c>
      <c r="P1169" s="17" t="s">
        <v>47</v>
      </c>
      <c r="Q1169" t="str">
        <f>LEFT(B1169,3)</f>
        <v>TAK</v>
      </c>
    </row>
    <row r="1170" spans="1:17">
      <c r="A1170" s="17" t="s">
        <v>3673</v>
      </c>
      <c r="B1170" s="17" t="s">
        <v>2101</v>
      </c>
      <c r="C1170" s="13" t="s">
        <v>2102</v>
      </c>
      <c r="D1170" s="13" t="s">
        <v>2102</v>
      </c>
      <c r="E1170" s="17" t="s">
        <v>56</v>
      </c>
      <c r="F1170" s="17" t="s">
        <v>43</v>
      </c>
      <c r="G1170" s="17" t="s">
        <v>50</v>
      </c>
      <c r="H1170" s="7">
        <v>429004.48106999998</v>
      </c>
      <c r="I1170" s="7">
        <v>236861.17739</v>
      </c>
      <c r="J1170" s="80">
        <v>166.28103145058401</v>
      </c>
      <c r="K1170" s="80">
        <v>-22.070035424142599</v>
      </c>
      <c r="L1170" s="71">
        <v>95</v>
      </c>
      <c r="M1170" s="73">
        <v>2</v>
      </c>
      <c r="N1170" s="73">
        <v>2</v>
      </c>
      <c r="O1170" s="73">
        <v>1</v>
      </c>
      <c r="P1170" s="17" t="s">
        <v>47</v>
      </c>
      <c r="Q1170" t="str">
        <f>LEFT(B1170,3)</f>
        <v>TAM</v>
      </c>
    </row>
    <row r="1171" spans="1:17">
      <c r="A1171" s="17" t="s">
        <v>3674</v>
      </c>
      <c r="B1171" s="17" t="s">
        <v>2101</v>
      </c>
      <c r="C1171" s="13" t="s">
        <v>2102</v>
      </c>
      <c r="D1171" s="13" t="s">
        <v>2102</v>
      </c>
      <c r="E1171" s="17" t="s">
        <v>56</v>
      </c>
      <c r="F1171" s="17" t="s">
        <v>43</v>
      </c>
      <c r="G1171" s="17" t="s">
        <v>50</v>
      </c>
      <c r="H1171" s="7">
        <v>429004.48106999998</v>
      </c>
      <c r="I1171" s="7">
        <v>236861.17739</v>
      </c>
      <c r="J1171" s="80">
        <v>166.28103145058401</v>
      </c>
      <c r="K1171" s="80">
        <v>-22.070035424142599</v>
      </c>
      <c r="L1171" s="71">
        <v>305</v>
      </c>
      <c r="M1171" s="73">
        <v>2</v>
      </c>
      <c r="N1171" s="73">
        <v>2</v>
      </c>
      <c r="O1171" s="73">
        <v>1</v>
      </c>
      <c r="P1171" s="17" t="s">
        <v>47</v>
      </c>
      <c r="Q1171" t="str">
        <f>LEFT(B1171,3)</f>
        <v>TAM</v>
      </c>
    </row>
    <row r="1172" spans="1:17">
      <c r="A1172" s="17" t="s">
        <v>3675</v>
      </c>
      <c r="B1172" s="17" t="s">
        <v>2105</v>
      </c>
      <c r="C1172" s="17" t="s">
        <v>2106</v>
      </c>
      <c r="D1172" s="17" t="s">
        <v>2107</v>
      </c>
      <c r="E1172" s="17" t="s">
        <v>684</v>
      </c>
      <c r="F1172" s="17" t="s">
        <v>68</v>
      </c>
      <c r="G1172" s="17" t="s">
        <v>68</v>
      </c>
      <c r="H1172" s="19">
        <v>283716</v>
      </c>
      <c r="I1172" s="19">
        <v>389697</v>
      </c>
      <c r="J1172" s="80">
        <v>164.88387</v>
      </c>
      <c r="K1172" s="80">
        <v>-20.686050000000002</v>
      </c>
      <c r="L1172" s="71">
        <v>36</v>
      </c>
      <c r="M1172" s="73">
        <v>1</v>
      </c>
      <c r="N1172" s="73">
        <v>1</v>
      </c>
      <c r="O1172" s="73">
        <v>0</v>
      </c>
      <c r="P1172" s="17" t="s">
        <v>47</v>
      </c>
      <c r="Q1172" t="str">
        <f>LEFT(B1172,3)</f>
        <v>TAN</v>
      </c>
    </row>
    <row r="1173" spans="1:17">
      <c r="A1173" s="17" t="s">
        <v>3676</v>
      </c>
      <c r="B1173" s="17" t="s">
        <v>2105</v>
      </c>
      <c r="C1173" s="17" t="s">
        <v>2106</v>
      </c>
      <c r="D1173" s="17" t="s">
        <v>2107</v>
      </c>
      <c r="E1173" s="17" t="s">
        <v>684</v>
      </c>
      <c r="F1173" s="17" t="s">
        <v>68</v>
      </c>
      <c r="G1173" s="17" t="s">
        <v>68</v>
      </c>
      <c r="H1173" s="19">
        <v>283716</v>
      </c>
      <c r="I1173" s="19">
        <v>389697</v>
      </c>
      <c r="J1173" s="80">
        <v>164.88387</v>
      </c>
      <c r="K1173" s="80">
        <v>-20.686050000000002</v>
      </c>
      <c r="L1173" s="71">
        <v>291</v>
      </c>
      <c r="M1173" s="73">
        <v>1</v>
      </c>
      <c r="N1173" s="73">
        <v>1</v>
      </c>
      <c r="O1173" s="73">
        <v>0</v>
      </c>
      <c r="P1173" s="17" t="s">
        <v>47</v>
      </c>
      <c r="Q1173" t="str">
        <f>LEFT(B1173,3)</f>
        <v>TAN</v>
      </c>
    </row>
    <row r="1174" spans="1:17">
      <c r="A1174" s="2" t="s">
        <v>3677</v>
      </c>
      <c r="B1174" s="2" t="s">
        <v>2109</v>
      </c>
      <c r="C1174" s="2" t="s">
        <v>2110</v>
      </c>
      <c r="D1174" s="2" t="s">
        <v>2111</v>
      </c>
      <c r="E1174" s="17" t="s">
        <v>351</v>
      </c>
      <c r="F1174" s="17" t="s">
        <v>129</v>
      </c>
      <c r="G1174" s="17" t="s">
        <v>129</v>
      </c>
      <c r="H1174" s="19">
        <v>615390</v>
      </c>
      <c r="I1174" s="19">
        <v>298536</v>
      </c>
      <c r="J1174" s="80">
        <v>168.07893300000001</v>
      </c>
      <c r="K1174" s="80">
        <v>-21.500287</v>
      </c>
      <c r="L1174" s="71">
        <v>0</v>
      </c>
      <c r="M1174" s="73">
        <v>1</v>
      </c>
      <c r="N1174" s="73">
        <v>1</v>
      </c>
      <c r="O1174" s="73">
        <v>0</v>
      </c>
      <c r="P1174" s="17" t="s">
        <v>47</v>
      </c>
      <c r="Q1174" t="str">
        <f>LEFT(B1174,3)</f>
        <v>TAW</v>
      </c>
    </row>
    <row r="1175" spans="1:17">
      <c r="A1175" s="2" t="s">
        <v>3678</v>
      </c>
      <c r="B1175" s="2" t="s">
        <v>2109</v>
      </c>
      <c r="C1175" s="2" t="s">
        <v>2110</v>
      </c>
      <c r="D1175" s="2" t="s">
        <v>2111</v>
      </c>
      <c r="E1175" s="17" t="s">
        <v>351</v>
      </c>
      <c r="F1175" s="17" t="s">
        <v>129</v>
      </c>
      <c r="G1175" s="17" t="s">
        <v>129</v>
      </c>
      <c r="H1175" s="19">
        <v>615390</v>
      </c>
      <c r="I1175" s="19">
        <v>298536</v>
      </c>
      <c r="J1175" s="80">
        <v>168.07893300000001</v>
      </c>
      <c r="K1175" s="80">
        <v>-21.500287</v>
      </c>
      <c r="L1175" s="71">
        <v>120</v>
      </c>
      <c r="M1175" s="73">
        <v>1</v>
      </c>
      <c r="N1175" s="73">
        <v>1</v>
      </c>
      <c r="O1175" s="73">
        <v>0</v>
      </c>
      <c r="P1175" s="17" t="s">
        <v>47</v>
      </c>
      <c r="Q1175" t="str">
        <f>LEFT(B1175,3)</f>
        <v>TAW</v>
      </c>
    </row>
    <row r="1176" spans="1:17">
      <c r="A1176" s="2" t="s">
        <v>3679</v>
      </c>
      <c r="B1176" s="2" t="s">
        <v>2109</v>
      </c>
      <c r="C1176" s="2" t="s">
        <v>2110</v>
      </c>
      <c r="D1176" s="2" t="s">
        <v>2111</v>
      </c>
      <c r="E1176" s="17" t="s">
        <v>351</v>
      </c>
      <c r="F1176" s="17" t="s">
        <v>129</v>
      </c>
      <c r="G1176" s="17" t="s">
        <v>129</v>
      </c>
      <c r="H1176" s="19">
        <v>615390</v>
      </c>
      <c r="I1176" s="19">
        <v>298536</v>
      </c>
      <c r="J1176" s="80">
        <v>168.07893300000001</v>
      </c>
      <c r="K1176" s="80">
        <v>-21.500287</v>
      </c>
      <c r="L1176" s="71">
        <v>240</v>
      </c>
      <c r="M1176" s="73">
        <v>1</v>
      </c>
      <c r="N1176" s="73">
        <v>1</v>
      </c>
      <c r="O1176" s="73">
        <v>0</v>
      </c>
      <c r="P1176" s="17" t="s">
        <v>47</v>
      </c>
      <c r="Q1176" t="str">
        <f>LEFT(B1176,3)</f>
        <v>TAW</v>
      </c>
    </row>
    <row r="1177" spans="1:17">
      <c r="A1177" s="17" t="s">
        <v>3680</v>
      </c>
      <c r="B1177" s="17" t="s">
        <v>2113</v>
      </c>
      <c r="C1177" s="13" t="s">
        <v>2114</v>
      </c>
      <c r="D1177" s="13" t="s">
        <v>2114</v>
      </c>
      <c r="E1177" s="17" t="s">
        <v>123</v>
      </c>
      <c r="F1177" s="17" t="s">
        <v>68</v>
      </c>
      <c r="G1177" s="17" t="s">
        <v>68</v>
      </c>
      <c r="H1177" s="7">
        <v>193248.03065</v>
      </c>
      <c r="I1177" s="7">
        <v>450750.18631000002</v>
      </c>
      <c r="J1177" s="80">
        <v>164.02301065196701</v>
      </c>
      <c r="K1177" s="80">
        <v>-20.1265693782724</v>
      </c>
      <c r="L1177" s="71">
        <v>60</v>
      </c>
      <c r="M1177" s="73">
        <v>1</v>
      </c>
      <c r="N1177" s="73">
        <v>2</v>
      </c>
      <c r="O1177" s="73">
        <v>1</v>
      </c>
      <c r="P1177" s="17" t="s">
        <v>47</v>
      </c>
      <c r="Q1177" t="str">
        <f>LEFT(B1177,3)</f>
        <v>TBT</v>
      </c>
    </row>
    <row r="1178" spans="1:17">
      <c r="A1178" s="17" t="s">
        <v>3681</v>
      </c>
      <c r="B1178" s="17" t="s">
        <v>2113</v>
      </c>
      <c r="C1178" s="13" t="s">
        <v>2114</v>
      </c>
      <c r="D1178" s="13" t="s">
        <v>2114</v>
      </c>
      <c r="E1178" s="17" t="s">
        <v>123</v>
      </c>
      <c r="F1178" s="17" t="s">
        <v>68</v>
      </c>
      <c r="G1178" s="17" t="s">
        <v>68</v>
      </c>
      <c r="H1178" s="7">
        <v>193248.03065</v>
      </c>
      <c r="I1178" s="7">
        <v>450750.18631000002</v>
      </c>
      <c r="J1178" s="80">
        <v>164.02301065196701</v>
      </c>
      <c r="K1178" s="80">
        <v>-20.1265693782724</v>
      </c>
      <c r="L1178" s="71">
        <v>180</v>
      </c>
      <c r="M1178" s="73">
        <v>1</v>
      </c>
      <c r="N1178" s="73">
        <v>2</v>
      </c>
      <c r="O1178" s="73">
        <v>1</v>
      </c>
      <c r="P1178" s="17" t="s">
        <v>47</v>
      </c>
      <c r="Q1178" t="str">
        <f>LEFT(B1178,3)</f>
        <v>TBT</v>
      </c>
    </row>
    <row r="1179" spans="1:17">
      <c r="A1179" s="17" t="s">
        <v>3682</v>
      </c>
      <c r="B1179" s="17" t="s">
        <v>2113</v>
      </c>
      <c r="C1179" s="13" t="s">
        <v>2114</v>
      </c>
      <c r="D1179" s="13" t="s">
        <v>2114</v>
      </c>
      <c r="E1179" s="17" t="s">
        <v>123</v>
      </c>
      <c r="F1179" s="17" t="s">
        <v>68</v>
      </c>
      <c r="G1179" s="17" t="s">
        <v>68</v>
      </c>
      <c r="H1179" s="7">
        <v>193248.03065</v>
      </c>
      <c r="I1179" s="7">
        <v>450750.18631000002</v>
      </c>
      <c r="J1179" s="80">
        <v>164.02301065196701</v>
      </c>
      <c r="K1179" s="80">
        <v>-20.1265693782724</v>
      </c>
      <c r="L1179" s="71">
        <v>300</v>
      </c>
      <c r="M1179" s="73">
        <v>1</v>
      </c>
      <c r="N1179" s="73">
        <v>2</v>
      </c>
      <c r="O1179" s="73">
        <v>1</v>
      </c>
      <c r="P1179" s="17" t="s">
        <v>47</v>
      </c>
      <c r="Q1179" t="str">
        <f>LEFT(B1179,3)</f>
        <v>TBT</v>
      </c>
    </row>
    <row r="1180" spans="1:17">
      <c r="A1180" s="17" t="s">
        <v>3683</v>
      </c>
      <c r="B1180" s="17" t="s">
        <v>2117</v>
      </c>
      <c r="C1180" s="17" t="s">
        <v>2118</v>
      </c>
      <c r="D1180" s="17" t="s">
        <v>2118</v>
      </c>
      <c r="E1180" s="17" t="s">
        <v>79</v>
      </c>
      <c r="F1180" s="17" t="s">
        <v>68</v>
      </c>
      <c r="G1180" s="17" t="s">
        <v>68</v>
      </c>
      <c r="H1180" s="17">
        <v>337181</v>
      </c>
      <c r="I1180" s="17">
        <v>353991</v>
      </c>
      <c r="J1180" s="80">
        <v>165.39571000000001</v>
      </c>
      <c r="K1180" s="80">
        <v>-21.011220000000002</v>
      </c>
      <c r="L1180" s="71">
        <v>60</v>
      </c>
      <c r="M1180" s="73">
        <v>1</v>
      </c>
      <c r="N1180" s="73">
        <v>1</v>
      </c>
      <c r="O1180" s="73">
        <v>0</v>
      </c>
      <c r="P1180" s="17" t="s">
        <v>47</v>
      </c>
      <c r="Q1180" t="str">
        <f>LEFT(B1180,3)</f>
        <v>TCB</v>
      </c>
    </row>
    <row r="1181" spans="1:17">
      <c r="A1181" s="17" t="s">
        <v>3684</v>
      </c>
      <c r="B1181" s="17" t="s">
        <v>2117</v>
      </c>
      <c r="C1181" s="17" t="s">
        <v>2118</v>
      </c>
      <c r="D1181" s="17" t="s">
        <v>2118</v>
      </c>
      <c r="E1181" s="17" t="s">
        <v>79</v>
      </c>
      <c r="F1181" s="17" t="s">
        <v>68</v>
      </c>
      <c r="G1181" s="17" t="s">
        <v>68</v>
      </c>
      <c r="H1181" s="17">
        <v>337181</v>
      </c>
      <c r="I1181" s="17">
        <v>353991</v>
      </c>
      <c r="J1181" s="80">
        <v>165.39571000000001</v>
      </c>
      <c r="K1181" s="80">
        <v>-21.011220000000002</v>
      </c>
      <c r="L1181" s="71">
        <v>180</v>
      </c>
      <c r="M1181" s="73">
        <v>1</v>
      </c>
      <c r="N1181" s="73">
        <v>1</v>
      </c>
      <c r="O1181" s="73">
        <v>0</v>
      </c>
      <c r="P1181" s="17" t="s">
        <v>47</v>
      </c>
      <c r="Q1181" t="str">
        <f>LEFT(B1181,3)</f>
        <v>TCB</v>
      </c>
    </row>
    <row r="1182" spans="1:17">
      <c r="A1182" s="17" t="s">
        <v>3685</v>
      </c>
      <c r="B1182" s="17" t="s">
        <v>2117</v>
      </c>
      <c r="C1182" s="17" t="s">
        <v>2118</v>
      </c>
      <c r="D1182" s="17" t="s">
        <v>2118</v>
      </c>
      <c r="E1182" s="17" t="s">
        <v>79</v>
      </c>
      <c r="F1182" s="17" t="s">
        <v>68</v>
      </c>
      <c r="G1182" s="17" t="s">
        <v>68</v>
      </c>
      <c r="H1182" s="17">
        <v>337181</v>
      </c>
      <c r="I1182" s="17">
        <v>353991</v>
      </c>
      <c r="J1182" s="80">
        <v>165.39571000000001</v>
      </c>
      <c r="K1182" s="80">
        <v>-21.011220000000002</v>
      </c>
      <c r="L1182" s="71">
        <v>300</v>
      </c>
      <c r="M1182" s="73">
        <v>1</v>
      </c>
      <c r="N1182" s="73">
        <v>1</v>
      </c>
      <c r="O1182" s="73">
        <v>0</v>
      </c>
      <c r="P1182" s="17" t="s">
        <v>47</v>
      </c>
      <c r="Q1182" t="str">
        <f>LEFT(B1182,3)</f>
        <v>TCB</v>
      </c>
    </row>
    <row r="1183" spans="1:17">
      <c r="A1183" s="17" t="s">
        <v>3686</v>
      </c>
      <c r="B1183" s="17" t="s">
        <v>2121</v>
      </c>
      <c r="C1183" s="13" t="s">
        <v>2122</v>
      </c>
      <c r="D1183" s="13" t="s">
        <v>2122</v>
      </c>
      <c r="E1183" s="17" t="s">
        <v>79</v>
      </c>
      <c r="F1183" s="17" t="s">
        <v>68</v>
      </c>
      <c r="G1183" s="17" t="s">
        <v>68</v>
      </c>
      <c r="H1183" s="7">
        <v>326853.02321999997</v>
      </c>
      <c r="I1183" s="7">
        <v>350680.08947000001</v>
      </c>
      <c r="J1183" s="80">
        <v>165.29621824262</v>
      </c>
      <c r="K1183" s="80">
        <v>-21.0407406162367</v>
      </c>
      <c r="L1183" s="71">
        <v>0</v>
      </c>
      <c r="M1183" s="73">
        <v>1</v>
      </c>
      <c r="N1183" s="73">
        <v>1</v>
      </c>
      <c r="O1183" s="73">
        <v>1</v>
      </c>
      <c r="P1183" s="17" t="s">
        <v>47</v>
      </c>
      <c r="Q1183" t="str">
        <f>LEFT(B1183,3)</f>
        <v>TCH</v>
      </c>
    </row>
    <row r="1184" spans="1:17">
      <c r="A1184" s="17" t="s">
        <v>3687</v>
      </c>
      <c r="B1184" s="17" t="s">
        <v>2121</v>
      </c>
      <c r="C1184" s="13" t="s">
        <v>2122</v>
      </c>
      <c r="D1184" s="13" t="s">
        <v>2122</v>
      </c>
      <c r="E1184" s="17" t="s">
        <v>79</v>
      </c>
      <c r="F1184" s="17" t="s">
        <v>68</v>
      </c>
      <c r="G1184" s="17" t="s">
        <v>68</v>
      </c>
      <c r="H1184" s="7">
        <v>326853.02321999997</v>
      </c>
      <c r="I1184" s="7">
        <v>350680.08947000001</v>
      </c>
      <c r="J1184" s="80">
        <v>165.29621824262</v>
      </c>
      <c r="K1184" s="80">
        <v>-21.0407406162367</v>
      </c>
      <c r="L1184" s="71">
        <v>90</v>
      </c>
      <c r="M1184" s="73">
        <v>1</v>
      </c>
      <c r="N1184" s="73">
        <v>1</v>
      </c>
      <c r="O1184" s="73">
        <v>1</v>
      </c>
      <c r="P1184" s="17" t="s">
        <v>47</v>
      </c>
      <c r="Q1184" t="str">
        <f>LEFT(B1184,3)</f>
        <v>TCH</v>
      </c>
    </row>
    <row r="1185" spans="1:17">
      <c r="A1185" s="17" t="s">
        <v>3688</v>
      </c>
      <c r="B1185" s="17" t="s">
        <v>2121</v>
      </c>
      <c r="C1185" s="13" t="s">
        <v>2122</v>
      </c>
      <c r="D1185" s="13" t="s">
        <v>2122</v>
      </c>
      <c r="E1185" s="17" t="s">
        <v>79</v>
      </c>
      <c r="F1185" s="17" t="s">
        <v>68</v>
      </c>
      <c r="G1185" s="17" t="s">
        <v>68</v>
      </c>
      <c r="H1185" s="7">
        <v>326853.02321999997</v>
      </c>
      <c r="I1185" s="7">
        <v>350680.08947000001</v>
      </c>
      <c r="J1185" s="80">
        <v>165.29621824262</v>
      </c>
      <c r="K1185" s="80">
        <v>-21.0407406162367</v>
      </c>
      <c r="L1185" s="71">
        <v>300</v>
      </c>
      <c r="M1185" s="73">
        <v>1</v>
      </c>
      <c r="N1185" s="73">
        <v>1</v>
      </c>
      <c r="O1185" s="73">
        <v>1</v>
      </c>
      <c r="P1185" s="17" t="s">
        <v>47</v>
      </c>
      <c r="Q1185" t="str">
        <f>LEFT(B1185,3)</f>
        <v>TCH</v>
      </c>
    </row>
    <row r="1186" spans="1:17">
      <c r="A1186" s="17" t="s">
        <v>3689</v>
      </c>
      <c r="B1186" s="17" t="s">
        <v>2125</v>
      </c>
      <c r="C1186" s="13" t="s">
        <v>2126</v>
      </c>
      <c r="D1186" s="13" t="s">
        <v>2126</v>
      </c>
      <c r="E1186" s="17" t="s">
        <v>684</v>
      </c>
      <c r="F1186" s="17" t="s">
        <v>68</v>
      </c>
      <c r="G1186" s="17" t="s">
        <v>43</v>
      </c>
      <c r="H1186" s="7">
        <v>285425.98282999999</v>
      </c>
      <c r="I1186" s="7">
        <v>381593.12929999997</v>
      </c>
      <c r="J1186" s="80">
        <v>164.89973370675199</v>
      </c>
      <c r="K1186" s="80">
        <v>-20.759361512635301</v>
      </c>
      <c r="L1186" s="71">
        <v>313</v>
      </c>
      <c r="M1186" s="73">
        <v>0</v>
      </c>
      <c r="N1186" s="73">
        <v>0</v>
      </c>
      <c r="O1186" s="73">
        <v>1</v>
      </c>
      <c r="P1186" s="17" t="s">
        <v>47</v>
      </c>
      <c r="Q1186" t="str">
        <f>LEFT(B1186,3)</f>
        <v>TDN</v>
      </c>
    </row>
    <row r="1187" spans="1:17">
      <c r="A1187" s="17" t="s">
        <v>3690</v>
      </c>
      <c r="B1187" s="17" t="s">
        <v>2128</v>
      </c>
      <c r="C1187" s="13" t="s">
        <v>2129</v>
      </c>
      <c r="D1187" s="13" t="s">
        <v>2129</v>
      </c>
      <c r="E1187" s="17" t="s">
        <v>684</v>
      </c>
      <c r="F1187" s="17" t="s">
        <v>68</v>
      </c>
      <c r="G1187" s="17" t="s">
        <v>68</v>
      </c>
      <c r="H1187" s="7">
        <v>276712.87702000001</v>
      </c>
      <c r="I1187" s="7">
        <v>386678.18461</v>
      </c>
      <c r="J1187" s="80">
        <v>164.81643463242099</v>
      </c>
      <c r="K1187" s="80">
        <v>-20.712857783410499</v>
      </c>
      <c r="L1187" s="71">
        <v>110</v>
      </c>
      <c r="M1187" s="73">
        <v>1</v>
      </c>
      <c r="N1187" s="73">
        <v>1</v>
      </c>
      <c r="O1187" s="73">
        <v>1</v>
      </c>
      <c r="P1187" s="17" t="s">
        <v>47</v>
      </c>
      <c r="Q1187" t="str">
        <f>LEFT(B1187,3)</f>
        <v>TDO</v>
      </c>
    </row>
    <row r="1188" spans="1:17">
      <c r="A1188" s="17" t="s">
        <v>3691</v>
      </c>
      <c r="B1188" s="17" t="s">
        <v>2128</v>
      </c>
      <c r="C1188" s="13" t="s">
        <v>2129</v>
      </c>
      <c r="D1188" s="13" t="s">
        <v>2129</v>
      </c>
      <c r="E1188" s="17" t="s">
        <v>684</v>
      </c>
      <c r="F1188" s="17" t="s">
        <v>68</v>
      </c>
      <c r="G1188" s="17" t="s">
        <v>68</v>
      </c>
      <c r="H1188" s="7">
        <v>276712.87702000001</v>
      </c>
      <c r="I1188" s="7">
        <v>386678.18461</v>
      </c>
      <c r="J1188" s="80">
        <v>164.81643463242099</v>
      </c>
      <c r="K1188" s="80">
        <v>-20.712857783410499</v>
      </c>
      <c r="L1188" s="71">
        <v>265</v>
      </c>
      <c r="M1188" s="73">
        <v>1</v>
      </c>
      <c r="N1188" s="73">
        <v>1</v>
      </c>
      <c r="O1188" s="73">
        <v>1</v>
      </c>
      <c r="P1188" s="17" t="s">
        <v>47</v>
      </c>
      <c r="Q1188" t="str">
        <f>LEFT(B1188,3)</f>
        <v>TDO</v>
      </c>
    </row>
    <row r="1189" spans="1:17">
      <c r="A1189" s="17" t="s">
        <v>3692</v>
      </c>
      <c r="B1189" s="17" t="s">
        <v>2132</v>
      </c>
      <c r="C1189" s="13" t="s">
        <v>2133</v>
      </c>
      <c r="D1189" s="13" t="s">
        <v>2134</v>
      </c>
      <c r="E1189" s="17" t="s">
        <v>978</v>
      </c>
      <c r="F1189" s="17" t="s">
        <v>68</v>
      </c>
      <c r="G1189" s="17" t="s">
        <v>68</v>
      </c>
      <c r="H1189" s="17">
        <v>326762</v>
      </c>
      <c r="I1189" s="7">
        <v>365497</v>
      </c>
      <c r="J1189" s="79">
        <v>165.29597999999999</v>
      </c>
      <c r="K1189" s="79">
        <v>-20.9069</v>
      </c>
      <c r="L1189" s="71">
        <v>40</v>
      </c>
      <c r="M1189" s="73">
        <v>1</v>
      </c>
      <c r="N1189" s="73">
        <v>2</v>
      </c>
      <c r="O1189" s="73">
        <v>1</v>
      </c>
      <c r="P1189" s="17" t="s">
        <v>47</v>
      </c>
      <c r="Q1189" t="str">
        <f>LEFT(B1189,3)</f>
        <v>TDU</v>
      </c>
    </row>
    <row r="1190" spans="1:17">
      <c r="A1190" s="17" t="s">
        <v>3693</v>
      </c>
      <c r="B1190" s="17" t="s">
        <v>2132</v>
      </c>
      <c r="C1190" s="13" t="s">
        <v>2133</v>
      </c>
      <c r="D1190" s="13" t="s">
        <v>2134</v>
      </c>
      <c r="E1190" s="17" t="s">
        <v>978</v>
      </c>
      <c r="F1190" s="17" t="s">
        <v>68</v>
      </c>
      <c r="G1190" s="17" t="s">
        <v>68</v>
      </c>
      <c r="H1190" s="17">
        <v>326762</v>
      </c>
      <c r="I1190" s="7">
        <v>365497</v>
      </c>
      <c r="J1190" s="79">
        <v>165.29597999999999</v>
      </c>
      <c r="K1190" s="79">
        <v>-20.9069</v>
      </c>
      <c r="L1190" s="71">
        <v>160</v>
      </c>
      <c r="M1190" s="73">
        <v>1</v>
      </c>
      <c r="N1190" s="73">
        <v>2</v>
      </c>
      <c r="O1190" s="73">
        <v>1</v>
      </c>
      <c r="P1190" s="17" t="s">
        <v>47</v>
      </c>
      <c r="Q1190" t="str">
        <f>LEFT(B1190,3)</f>
        <v>TDU</v>
      </c>
    </row>
    <row r="1191" spans="1:17">
      <c r="A1191" s="17" t="s">
        <v>3694</v>
      </c>
      <c r="B1191" s="17" t="s">
        <v>2132</v>
      </c>
      <c r="C1191" s="13" t="s">
        <v>2133</v>
      </c>
      <c r="D1191" s="13" t="s">
        <v>2134</v>
      </c>
      <c r="E1191" s="17" t="s">
        <v>978</v>
      </c>
      <c r="F1191" s="17" t="s">
        <v>68</v>
      </c>
      <c r="G1191" s="17" t="s">
        <v>68</v>
      </c>
      <c r="H1191" s="17">
        <v>326762</v>
      </c>
      <c r="I1191" s="7">
        <v>365497</v>
      </c>
      <c r="J1191" s="79">
        <v>165.29597999999999</v>
      </c>
      <c r="K1191" s="79">
        <v>-20.9069</v>
      </c>
      <c r="L1191" s="71">
        <v>247</v>
      </c>
      <c r="M1191" s="73">
        <v>1</v>
      </c>
      <c r="N1191" s="73">
        <v>2</v>
      </c>
      <c r="O1191" s="73">
        <v>1</v>
      </c>
      <c r="P1191" s="17" t="s">
        <v>47</v>
      </c>
      <c r="Q1191" t="str">
        <f>LEFT(B1191,3)</f>
        <v>TDU</v>
      </c>
    </row>
    <row r="1192" spans="1:17">
      <c r="A1192" s="17" t="s">
        <v>3695</v>
      </c>
      <c r="B1192" s="17" t="s">
        <v>2136</v>
      </c>
      <c r="C1192" s="13" t="s">
        <v>3696</v>
      </c>
      <c r="D1192" s="13" t="s">
        <v>3696</v>
      </c>
      <c r="E1192" s="17" t="s">
        <v>249</v>
      </c>
      <c r="F1192" s="17" t="s">
        <v>68</v>
      </c>
      <c r="G1192" s="17" t="s">
        <v>68</v>
      </c>
      <c r="H1192" s="7">
        <v>262927</v>
      </c>
      <c r="I1192" s="7">
        <v>366989</v>
      </c>
      <c r="J1192" s="80">
        <v>164.682501</v>
      </c>
      <c r="K1192" s="80">
        <v>-20.889697000000002</v>
      </c>
      <c r="L1192" s="71">
        <v>0</v>
      </c>
      <c r="M1192" s="73">
        <v>1</v>
      </c>
      <c r="N1192" s="73">
        <v>1</v>
      </c>
      <c r="O1192" s="73">
        <v>0</v>
      </c>
      <c r="P1192" s="17" t="s">
        <v>47</v>
      </c>
      <c r="Q1192" t="str">
        <f>LEFT(B1192,3)</f>
        <v>TEM</v>
      </c>
    </row>
    <row r="1193" spans="1:17">
      <c r="A1193" s="17" t="s">
        <v>3697</v>
      </c>
      <c r="B1193" s="17" t="s">
        <v>2136</v>
      </c>
      <c r="C1193" s="13" t="s">
        <v>3696</v>
      </c>
      <c r="D1193" s="13" t="s">
        <v>3696</v>
      </c>
      <c r="E1193" s="17" t="s">
        <v>249</v>
      </c>
      <c r="F1193" s="17" t="s">
        <v>68</v>
      </c>
      <c r="G1193" s="17" t="s">
        <v>68</v>
      </c>
      <c r="H1193" s="7">
        <v>262927</v>
      </c>
      <c r="I1193" s="7">
        <v>366989</v>
      </c>
      <c r="J1193" s="80">
        <v>164.682501</v>
      </c>
      <c r="K1193" s="80">
        <v>-20.889697000000002</v>
      </c>
      <c r="L1193" s="71">
        <v>72</v>
      </c>
      <c r="M1193" s="73">
        <v>1</v>
      </c>
      <c r="N1193" s="73">
        <v>1</v>
      </c>
      <c r="O1193" s="73">
        <v>0</v>
      </c>
      <c r="P1193" s="17" t="s">
        <v>47</v>
      </c>
      <c r="Q1193" t="str">
        <f>LEFT(B1193,3)</f>
        <v>TEM</v>
      </c>
    </row>
    <row r="1194" spans="1:17">
      <c r="A1194" s="17" t="s">
        <v>3698</v>
      </c>
      <c r="B1194" s="17" t="s">
        <v>2136</v>
      </c>
      <c r="C1194" s="13" t="s">
        <v>3696</v>
      </c>
      <c r="D1194" s="13" t="s">
        <v>3696</v>
      </c>
      <c r="E1194" s="17" t="s">
        <v>249</v>
      </c>
      <c r="F1194" s="17" t="s">
        <v>68</v>
      </c>
      <c r="G1194" s="17" t="s">
        <v>68</v>
      </c>
      <c r="H1194" s="7">
        <v>262927</v>
      </c>
      <c r="I1194" s="7">
        <v>366989</v>
      </c>
      <c r="J1194" s="80">
        <v>164.682501</v>
      </c>
      <c r="K1194" s="80">
        <v>-20.889697000000002</v>
      </c>
      <c r="L1194" s="71">
        <v>230</v>
      </c>
      <c r="M1194" s="73">
        <v>1</v>
      </c>
      <c r="N1194" s="73">
        <v>1</v>
      </c>
      <c r="O1194" s="73">
        <v>0</v>
      </c>
      <c r="P1194" s="17" t="s">
        <v>47</v>
      </c>
      <c r="Q1194" t="str">
        <f>LEFT(B1194,3)</f>
        <v>TEM</v>
      </c>
    </row>
    <row r="1195" spans="1:17">
      <c r="A1195" s="17" t="s">
        <v>3699</v>
      </c>
      <c r="B1195" s="17" t="s">
        <v>2139</v>
      </c>
      <c r="C1195" s="13" t="s">
        <v>339</v>
      </c>
      <c r="D1195" s="13" t="s">
        <v>339</v>
      </c>
      <c r="E1195" s="17" t="s">
        <v>191</v>
      </c>
      <c r="F1195" s="17" t="s">
        <v>43</v>
      </c>
      <c r="G1195" s="17" t="s">
        <v>43</v>
      </c>
      <c r="H1195" s="7">
        <v>353346.30231</v>
      </c>
      <c r="I1195" s="7">
        <v>290020.32942999998</v>
      </c>
      <c r="J1195" s="80">
        <v>165.54943591301199</v>
      </c>
      <c r="K1195" s="80">
        <v>-21.589536045079601</v>
      </c>
      <c r="L1195" s="71">
        <v>0</v>
      </c>
      <c r="M1195" s="73">
        <v>2</v>
      </c>
      <c r="N1195" s="73">
        <v>2</v>
      </c>
      <c r="O1195" s="73">
        <v>1</v>
      </c>
      <c r="P1195" s="17" t="s">
        <v>47</v>
      </c>
      <c r="Q1195" t="str">
        <f>LEFT(B1195,3)</f>
        <v>TEN</v>
      </c>
    </row>
    <row r="1196" spans="1:17">
      <c r="A1196" s="17" t="s">
        <v>3700</v>
      </c>
      <c r="B1196" s="17" t="s">
        <v>2139</v>
      </c>
      <c r="C1196" s="13" t="s">
        <v>339</v>
      </c>
      <c r="D1196" s="13" t="s">
        <v>339</v>
      </c>
      <c r="E1196" s="17" t="s">
        <v>191</v>
      </c>
      <c r="F1196" s="17" t="s">
        <v>43</v>
      </c>
      <c r="G1196" s="17" t="s">
        <v>43</v>
      </c>
      <c r="H1196" s="7">
        <v>353346.30231</v>
      </c>
      <c r="I1196" s="7">
        <v>290020.32942999998</v>
      </c>
      <c r="J1196" s="80">
        <v>165.54943591301199</v>
      </c>
      <c r="K1196" s="80">
        <v>-21.589536045079601</v>
      </c>
      <c r="L1196" s="71">
        <v>95</v>
      </c>
      <c r="M1196" s="73">
        <v>2</v>
      </c>
      <c r="N1196" s="73">
        <v>2</v>
      </c>
      <c r="O1196" s="73">
        <v>1</v>
      </c>
      <c r="P1196" s="17" t="s">
        <v>47</v>
      </c>
      <c r="Q1196" t="str">
        <f>LEFT(B1196,3)</f>
        <v>TEN</v>
      </c>
    </row>
    <row r="1197" spans="1:17">
      <c r="A1197" s="17" t="s">
        <v>3701</v>
      </c>
      <c r="B1197" s="17" t="s">
        <v>2139</v>
      </c>
      <c r="C1197" s="13" t="s">
        <v>339</v>
      </c>
      <c r="D1197" s="13" t="s">
        <v>339</v>
      </c>
      <c r="E1197" s="17" t="s">
        <v>191</v>
      </c>
      <c r="F1197" s="17" t="s">
        <v>43</v>
      </c>
      <c r="G1197" s="17" t="s">
        <v>43</v>
      </c>
      <c r="H1197" s="7">
        <v>353346.30231</v>
      </c>
      <c r="I1197" s="7">
        <v>290020.32942999998</v>
      </c>
      <c r="J1197" s="80">
        <v>165.54943591301199</v>
      </c>
      <c r="K1197" s="80">
        <v>-21.589536045079601</v>
      </c>
      <c r="L1197" s="71">
        <v>295</v>
      </c>
      <c r="M1197" s="73">
        <v>2</v>
      </c>
      <c r="N1197" s="73">
        <v>2</v>
      </c>
      <c r="O1197" s="73">
        <v>1</v>
      </c>
      <c r="P1197" s="17" t="s">
        <v>47</v>
      </c>
      <c r="Q1197" t="str">
        <f>LEFT(B1197,3)</f>
        <v>TEN</v>
      </c>
    </row>
    <row r="1198" spans="1:17">
      <c r="A1198" s="17" t="s">
        <v>3702</v>
      </c>
      <c r="B1198" s="17" t="s">
        <v>2142</v>
      </c>
      <c r="C1198" s="13" t="s">
        <v>2143</v>
      </c>
      <c r="D1198" s="13" t="s">
        <v>2143</v>
      </c>
      <c r="E1198" s="17" t="s">
        <v>128</v>
      </c>
      <c r="F1198" s="17" t="s">
        <v>129</v>
      </c>
      <c r="G1198" s="17" t="s">
        <v>129</v>
      </c>
      <c r="H1198" s="7">
        <v>463335.89861999999</v>
      </c>
      <c r="I1198" s="7">
        <v>420663.02374999999</v>
      </c>
      <c r="J1198" s="80">
        <v>166.60677300442001</v>
      </c>
      <c r="K1198" s="80">
        <v>-20.409002700560698</v>
      </c>
      <c r="L1198" s="71">
        <v>180</v>
      </c>
      <c r="M1198" s="73">
        <v>1</v>
      </c>
      <c r="N1198" s="73">
        <v>1</v>
      </c>
      <c r="O1198" s="73">
        <v>1</v>
      </c>
      <c r="P1198" s="17" t="s">
        <v>47</v>
      </c>
      <c r="Q1198" t="str">
        <f>LEFT(B1198,3)</f>
        <v>TEU</v>
      </c>
    </row>
    <row r="1199" spans="1:17">
      <c r="A1199" s="17" t="s">
        <v>3703</v>
      </c>
      <c r="B1199" s="17" t="s">
        <v>2142</v>
      </c>
      <c r="C1199" s="13" t="s">
        <v>2143</v>
      </c>
      <c r="D1199" s="13" t="s">
        <v>2143</v>
      </c>
      <c r="E1199" s="17" t="s">
        <v>128</v>
      </c>
      <c r="F1199" s="17" t="s">
        <v>129</v>
      </c>
      <c r="G1199" s="17" t="s">
        <v>129</v>
      </c>
      <c r="H1199" s="7">
        <v>463335.89861999999</v>
      </c>
      <c r="I1199" s="7">
        <v>420663.02374999999</v>
      </c>
      <c r="J1199" s="80">
        <v>166.60677300442001</v>
      </c>
      <c r="K1199" s="80">
        <v>-20.409002700560698</v>
      </c>
      <c r="L1199" s="71">
        <v>300</v>
      </c>
      <c r="M1199" s="73">
        <v>1</v>
      </c>
      <c r="N1199" s="73">
        <v>1</v>
      </c>
      <c r="O1199" s="73">
        <v>1</v>
      </c>
      <c r="P1199" s="17" t="s">
        <v>47</v>
      </c>
      <c r="Q1199" t="str">
        <f>LEFT(B1199,3)</f>
        <v>TEU</v>
      </c>
    </row>
    <row r="1200" spans="1:17">
      <c r="A1200" s="17" t="s">
        <v>3704</v>
      </c>
      <c r="B1200" s="17" t="s">
        <v>2146</v>
      </c>
      <c r="C1200" s="13" t="s">
        <v>2147</v>
      </c>
      <c r="D1200" s="13" t="s">
        <v>2147</v>
      </c>
      <c r="E1200" s="17" t="s">
        <v>49</v>
      </c>
      <c r="F1200" s="17" t="s">
        <v>43</v>
      </c>
      <c r="G1200" s="17" t="s">
        <v>50</v>
      </c>
      <c r="H1200" s="7">
        <v>449586.57279000001</v>
      </c>
      <c r="I1200" s="7">
        <v>222298.61697999999</v>
      </c>
      <c r="J1200" s="80">
        <v>166.48090149209</v>
      </c>
      <c r="K1200" s="80">
        <v>-22.201094388207999</v>
      </c>
      <c r="L1200" s="71">
        <v>345</v>
      </c>
      <c r="M1200" s="73">
        <v>2</v>
      </c>
      <c r="N1200" s="73">
        <v>1</v>
      </c>
      <c r="O1200" s="73">
        <v>1</v>
      </c>
      <c r="P1200" s="17" t="s">
        <v>37</v>
      </c>
      <c r="Q1200" t="str">
        <f>LEFT(B1200,3)</f>
        <v>TGH</v>
      </c>
    </row>
    <row r="1201" spans="1:17">
      <c r="A1201" s="17" t="s">
        <v>3705</v>
      </c>
      <c r="B1201" s="17" t="s">
        <v>2150</v>
      </c>
      <c r="C1201" s="13" t="s">
        <v>2151</v>
      </c>
      <c r="D1201" s="13" t="s">
        <v>2151</v>
      </c>
      <c r="E1201" s="17" t="s">
        <v>29</v>
      </c>
      <c r="F1201" s="17" t="s">
        <v>43</v>
      </c>
      <c r="G1201" s="17" t="s">
        <v>30</v>
      </c>
      <c r="H1201" s="7">
        <v>445540.83429999999</v>
      </c>
      <c r="I1201" s="7">
        <v>214410.06169</v>
      </c>
      <c r="J1201" s="80">
        <v>166.44187931271</v>
      </c>
      <c r="K1201" s="80">
        <v>-22.272446687267799</v>
      </c>
      <c r="L1201" s="71">
        <v>177</v>
      </c>
      <c r="M1201" s="73">
        <v>2</v>
      </c>
      <c r="N1201" s="73">
        <v>1</v>
      </c>
      <c r="O1201" s="73">
        <v>1</v>
      </c>
      <c r="P1201" s="17" t="s">
        <v>37</v>
      </c>
      <c r="Q1201" t="str">
        <f>LEFT(B1201,3)</f>
        <v>TGR</v>
      </c>
    </row>
    <row r="1202" spans="1:17">
      <c r="A1202" s="17" t="s">
        <v>3706</v>
      </c>
      <c r="B1202" s="17" t="s">
        <v>2150</v>
      </c>
      <c r="C1202" s="13" t="s">
        <v>2151</v>
      </c>
      <c r="D1202" s="13" t="s">
        <v>2151</v>
      </c>
      <c r="E1202" s="17" t="s">
        <v>29</v>
      </c>
      <c r="F1202" s="17" t="s">
        <v>43</v>
      </c>
      <c r="G1202" s="17" t="s">
        <v>30</v>
      </c>
      <c r="H1202" s="7">
        <v>445540.83429999999</v>
      </c>
      <c r="I1202" s="7">
        <v>214410.06169</v>
      </c>
      <c r="J1202" s="80">
        <v>166.44187931271</v>
      </c>
      <c r="K1202" s="80">
        <v>-22.272446687267799</v>
      </c>
      <c r="L1202" s="71">
        <v>271</v>
      </c>
      <c r="M1202" s="73">
        <v>2</v>
      </c>
      <c r="N1202" s="73">
        <v>1</v>
      </c>
      <c r="O1202" s="73">
        <v>1</v>
      </c>
      <c r="P1202" s="17" t="s">
        <v>37</v>
      </c>
      <c r="Q1202" t="str">
        <f>LEFT(B1202,3)</f>
        <v>TGR</v>
      </c>
    </row>
    <row r="1203" spans="1:17">
      <c r="A1203" s="17" t="s">
        <v>3707</v>
      </c>
      <c r="B1203" s="17" t="s">
        <v>2154</v>
      </c>
      <c r="C1203" s="13" t="s">
        <v>2155</v>
      </c>
      <c r="D1203" s="13" t="s">
        <v>2155</v>
      </c>
      <c r="E1203" s="17" t="s">
        <v>421</v>
      </c>
      <c r="F1203" s="17" t="s">
        <v>43</v>
      </c>
      <c r="G1203" s="17" t="s">
        <v>43</v>
      </c>
      <c r="H1203" s="7">
        <v>369594</v>
      </c>
      <c r="I1203" s="7">
        <v>271846</v>
      </c>
      <c r="J1203" s="79">
        <v>165.70602099999999</v>
      </c>
      <c r="K1203" s="79">
        <v>-21.754037</v>
      </c>
      <c r="L1203" s="71">
        <v>110</v>
      </c>
      <c r="M1203" s="73">
        <v>1</v>
      </c>
      <c r="N1203" s="73">
        <v>1</v>
      </c>
      <c r="O1203" s="73">
        <v>0</v>
      </c>
      <c r="P1203" s="17" t="s">
        <v>47</v>
      </c>
      <c r="Q1203" t="str">
        <f>LEFT(B1203,3)</f>
        <v>TGY</v>
      </c>
    </row>
    <row r="1204" spans="1:17">
      <c r="A1204" s="17" t="s">
        <v>3708</v>
      </c>
      <c r="B1204" s="17" t="s">
        <v>2154</v>
      </c>
      <c r="C1204" s="13" t="s">
        <v>2155</v>
      </c>
      <c r="D1204" s="13" t="s">
        <v>2155</v>
      </c>
      <c r="E1204" s="17" t="s">
        <v>421</v>
      </c>
      <c r="F1204" s="17" t="s">
        <v>43</v>
      </c>
      <c r="G1204" s="17" t="s">
        <v>43</v>
      </c>
      <c r="H1204" s="7">
        <v>369594</v>
      </c>
      <c r="I1204" s="7">
        <v>271846</v>
      </c>
      <c r="J1204" s="79">
        <v>165.70602099999999</v>
      </c>
      <c r="K1204" s="79">
        <v>-21.754037</v>
      </c>
      <c r="L1204" s="71">
        <v>240</v>
      </c>
      <c r="M1204" s="73">
        <v>1</v>
      </c>
      <c r="N1204" s="73">
        <v>1</v>
      </c>
      <c r="O1204" s="73">
        <v>0</v>
      </c>
      <c r="P1204" s="17" t="s">
        <v>47</v>
      </c>
      <c r="Q1204" t="str">
        <f>LEFT(B1204,3)</f>
        <v>TGY</v>
      </c>
    </row>
    <row r="1205" spans="1:17">
      <c r="A1205" s="17" t="s">
        <v>3709</v>
      </c>
      <c r="B1205" s="17" t="s">
        <v>2154</v>
      </c>
      <c r="C1205" s="13" t="s">
        <v>2155</v>
      </c>
      <c r="D1205" s="13" t="s">
        <v>2155</v>
      </c>
      <c r="E1205" s="17" t="s">
        <v>421</v>
      </c>
      <c r="F1205" s="17" t="s">
        <v>43</v>
      </c>
      <c r="G1205" s="17" t="s">
        <v>43</v>
      </c>
      <c r="H1205" s="7">
        <v>369594</v>
      </c>
      <c r="I1205" s="7">
        <v>271846</v>
      </c>
      <c r="J1205" s="79">
        <v>165.70602099999999</v>
      </c>
      <c r="K1205" s="79">
        <v>-21.754037</v>
      </c>
      <c r="L1205" s="71">
        <v>320</v>
      </c>
      <c r="M1205" s="73">
        <v>1</v>
      </c>
      <c r="N1205" s="73">
        <v>1</v>
      </c>
      <c r="O1205" s="73">
        <v>0</v>
      </c>
      <c r="P1205" s="17" t="s">
        <v>47</v>
      </c>
      <c r="Q1205" t="str">
        <f>LEFT(B1205,3)</f>
        <v>TGY</v>
      </c>
    </row>
    <row r="1206" spans="1:17">
      <c r="A1206" s="17" t="s">
        <v>3710</v>
      </c>
      <c r="B1206" s="17" t="s">
        <v>2157</v>
      </c>
      <c r="C1206" s="13" t="s">
        <v>3711</v>
      </c>
      <c r="D1206" s="13" t="s">
        <v>3711</v>
      </c>
      <c r="E1206" s="17" t="s">
        <v>978</v>
      </c>
      <c r="F1206" s="17" t="s">
        <v>68</v>
      </c>
      <c r="G1206" s="17" t="s">
        <v>68</v>
      </c>
      <c r="H1206" s="7">
        <v>320346</v>
      </c>
      <c r="I1206" s="7">
        <v>379451</v>
      </c>
      <c r="J1206" s="80">
        <v>165.23496700000001</v>
      </c>
      <c r="K1206" s="80">
        <v>-20.780591000000001</v>
      </c>
      <c r="L1206" s="71">
        <v>53</v>
      </c>
      <c r="M1206" s="73">
        <v>1</v>
      </c>
      <c r="N1206" s="73">
        <v>1</v>
      </c>
      <c r="O1206" s="73">
        <v>0</v>
      </c>
      <c r="P1206" s="17" t="s">
        <v>47</v>
      </c>
      <c r="Q1206" t="str">
        <f>LEFT(B1206,3)</f>
        <v>THA</v>
      </c>
    </row>
    <row r="1207" spans="1:17">
      <c r="A1207" s="17" t="s">
        <v>3712</v>
      </c>
      <c r="B1207" s="17" t="s">
        <v>2157</v>
      </c>
      <c r="C1207" s="13" t="s">
        <v>3711</v>
      </c>
      <c r="D1207" s="13" t="s">
        <v>3711</v>
      </c>
      <c r="E1207" s="17" t="s">
        <v>978</v>
      </c>
      <c r="F1207" s="17" t="s">
        <v>68</v>
      </c>
      <c r="G1207" s="17" t="s">
        <v>68</v>
      </c>
      <c r="H1207" s="7">
        <v>320346</v>
      </c>
      <c r="I1207" s="7">
        <v>379451</v>
      </c>
      <c r="J1207" s="80">
        <v>165.23496700000001</v>
      </c>
      <c r="K1207" s="80">
        <v>-20.780591000000001</v>
      </c>
      <c r="L1207" s="71">
        <v>275</v>
      </c>
      <c r="M1207" s="73">
        <v>1</v>
      </c>
      <c r="N1207" s="73">
        <v>1</v>
      </c>
      <c r="O1207" s="73">
        <v>0</v>
      </c>
      <c r="P1207" s="17" t="s">
        <v>47</v>
      </c>
      <c r="Q1207" t="str">
        <f>LEFT(B1207,3)</f>
        <v>THA</v>
      </c>
    </row>
    <row r="1208" spans="1:17">
      <c r="A1208" s="17" t="s">
        <v>3713</v>
      </c>
      <c r="B1208" s="17" t="s">
        <v>2160</v>
      </c>
      <c r="C1208" s="13" t="s">
        <v>2161</v>
      </c>
      <c r="D1208" s="13" t="s">
        <v>2161</v>
      </c>
      <c r="E1208" s="17" t="s">
        <v>351</v>
      </c>
      <c r="F1208" s="17" t="s">
        <v>129</v>
      </c>
      <c r="G1208" s="17" t="s">
        <v>129</v>
      </c>
      <c r="H1208" s="7">
        <v>597214.09109999996</v>
      </c>
      <c r="I1208" s="7">
        <v>310134.14056000003</v>
      </c>
      <c r="J1208" s="80">
        <v>167.902154867181</v>
      </c>
      <c r="K1208" s="80">
        <v>-21.3976269945023</v>
      </c>
      <c r="L1208" s="71">
        <v>90</v>
      </c>
      <c r="M1208" s="73">
        <v>1</v>
      </c>
      <c r="N1208" s="73">
        <v>1</v>
      </c>
      <c r="O1208" s="73">
        <v>1</v>
      </c>
      <c r="P1208" s="17" t="s">
        <v>47</v>
      </c>
      <c r="Q1208" t="str">
        <f>LEFT(B1208,3)</f>
        <v>THG</v>
      </c>
    </row>
    <row r="1209" spans="1:17">
      <c r="A1209" s="17" t="s">
        <v>3714</v>
      </c>
      <c r="B1209" s="17" t="s">
        <v>2160</v>
      </c>
      <c r="C1209" s="13" t="s">
        <v>2161</v>
      </c>
      <c r="D1209" s="13" t="s">
        <v>2161</v>
      </c>
      <c r="E1209" s="17" t="s">
        <v>351</v>
      </c>
      <c r="F1209" s="17" t="s">
        <v>129</v>
      </c>
      <c r="G1209" s="17" t="s">
        <v>129</v>
      </c>
      <c r="H1209" s="7">
        <v>597214.09109999996</v>
      </c>
      <c r="I1209" s="7">
        <v>310134.14056000003</v>
      </c>
      <c r="J1209" s="80">
        <v>167.902154867181</v>
      </c>
      <c r="K1209" s="80">
        <v>-21.3976269945023</v>
      </c>
      <c r="L1209" s="71">
        <v>240</v>
      </c>
      <c r="M1209" s="73">
        <v>1</v>
      </c>
      <c r="N1209" s="73">
        <v>1</v>
      </c>
      <c r="O1209" s="73">
        <v>1</v>
      </c>
      <c r="P1209" s="17" t="s">
        <v>47</v>
      </c>
      <c r="Q1209" t="str">
        <f>LEFT(B1209,3)</f>
        <v>THG</v>
      </c>
    </row>
    <row r="1210" spans="1:17">
      <c r="A1210" s="17" t="s">
        <v>3715</v>
      </c>
      <c r="B1210" s="17" t="s">
        <v>2164</v>
      </c>
      <c r="C1210" s="13" t="s">
        <v>2165</v>
      </c>
      <c r="D1210" s="13" t="s">
        <v>2166</v>
      </c>
      <c r="E1210" s="17" t="s">
        <v>562</v>
      </c>
      <c r="F1210" s="17" t="s">
        <v>43</v>
      </c>
      <c r="G1210" s="17" t="s">
        <v>43</v>
      </c>
      <c r="H1210" s="7">
        <v>422298.79345</v>
      </c>
      <c r="I1210" s="7">
        <v>287691.61017</v>
      </c>
      <c r="J1210" s="80">
        <v>166.215385502456</v>
      </c>
      <c r="K1210" s="80">
        <v>-21.611031822693299</v>
      </c>
      <c r="L1210" s="71">
        <v>100</v>
      </c>
      <c r="M1210" s="73">
        <v>1</v>
      </c>
      <c r="N1210" s="73">
        <v>1</v>
      </c>
      <c r="O1210" s="73">
        <v>1</v>
      </c>
      <c r="P1210" s="17" t="s">
        <v>47</v>
      </c>
      <c r="Q1210" t="str">
        <f>LEFT(B1210,3)</f>
        <v>THI</v>
      </c>
    </row>
    <row r="1211" spans="1:17">
      <c r="A1211" s="17" t="s">
        <v>3716</v>
      </c>
      <c r="B1211" s="17" t="s">
        <v>2164</v>
      </c>
      <c r="C1211" s="13" t="s">
        <v>2165</v>
      </c>
      <c r="D1211" s="13" t="s">
        <v>2166</v>
      </c>
      <c r="E1211" s="17" t="s">
        <v>562</v>
      </c>
      <c r="F1211" s="17" t="s">
        <v>43</v>
      </c>
      <c r="G1211" s="17" t="s">
        <v>43</v>
      </c>
      <c r="H1211" s="7">
        <v>422298.79345</v>
      </c>
      <c r="I1211" s="7">
        <v>287691.61017</v>
      </c>
      <c r="J1211" s="80">
        <v>166.215385502456</v>
      </c>
      <c r="K1211" s="80">
        <v>-21.611031822693299</v>
      </c>
      <c r="L1211" s="71">
        <v>190</v>
      </c>
      <c r="M1211" s="73">
        <v>1</v>
      </c>
      <c r="N1211" s="73">
        <v>1</v>
      </c>
      <c r="O1211" s="73">
        <v>1</v>
      </c>
      <c r="P1211" s="17" t="s">
        <v>47</v>
      </c>
      <c r="Q1211" t="str">
        <f>LEFT(B1211,3)</f>
        <v>THI</v>
      </c>
    </row>
    <row r="1212" spans="1:17">
      <c r="A1212" s="17" t="s">
        <v>3717</v>
      </c>
      <c r="B1212" s="17" t="s">
        <v>2164</v>
      </c>
      <c r="C1212" s="13" t="s">
        <v>2165</v>
      </c>
      <c r="D1212" s="13" t="s">
        <v>2166</v>
      </c>
      <c r="E1212" s="17" t="s">
        <v>562</v>
      </c>
      <c r="F1212" s="17" t="s">
        <v>43</v>
      </c>
      <c r="G1212" s="17" t="s">
        <v>43</v>
      </c>
      <c r="H1212" s="7">
        <v>422298.79345</v>
      </c>
      <c r="I1212" s="7">
        <v>287691.61017</v>
      </c>
      <c r="J1212" s="80">
        <v>166.215385502456</v>
      </c>
      <c r="K1212" s="80">
        <v>-21.611031822693299</v>
      </c>
      <c r="L1212" s="71">
        <v>345</v>
      </c>
      <c r="M1212" s="73">
        <v>1</v>
      </c>
      <c r="N1212" s="73">
        <v>1</v>
      </c>
      <c r="O1212" s="73">
        <v>1</v>
      </c>
      <c r="P1212" s="17" t="s">
        <v>47</v>
      </c>
      <c r="Q1212" t="str">
        <f>LEFT(B1212,3)</f>
        <v>THI</v>
      </c>
    </row>
    <row r="1213" spans="1:17">
      <c r="A1213" s="17" t="s">
        <v>3718</v>
      </c>
      <c r="B1213" s="17" t="s">
        <v>2169</v>
      </c>
      <c r="C1213" s="13" t="s">
        <v>2170</v>
      </c>
      <c r="D1213" s="13" t="s">
        <v>2171</v>
      </c>
      <c r="E1213" s="17" t="s">
        <v>978</v>
      </c>
      <c r="F1213" s="17" t="s">
        <v>68</v>
      </c>
      <c r="G1213" s="17" t="s">
        <v>68</v>
      </c>
      <c r="H1213" s="7">
        <v>318335</v>
      </c>
      <c r="I1213" s="7">
        <v>379660</v>
      </c>
      <c r="J1213" s="79">
        <v>165.21566000000001</v>
      </c>
      <c r="K1213" s="79">
        <v>-20.77861</v>
      </c>
      <c r="L1213" s="71">
        <v>100</v>
      </c>
      <c r="M1213" s="73">
        <v>1</v>
      </c>
      <c r="N1213" s="73">
        <v>1</v>
      </c>
      <c r="O1213" s="73">
        <v>0</v>
      </c>
      <c r="P1213" s="17" t="s">
        <v>47</v>
      </c>
      <c r="Q1213" t="str">
        <f>LEFT(B1213,3)</f>
        <v>THM</v>
      </c>
    </row>
    <row r="1214" spans="1:17">
      <c r="A1214" s="17" t="s">
        <v>3719</v>
      </c>
      <c r="B1214" s="17" t="s">
        <v>2169</v>
      </c>
      <c r="C1214" s="13" t="s">
        <v>2170</v>
      </c>
      <c r="D1214" s="13" t="s">
        <v>2171</v>
      </c>
      <c r="E1214" s="17" t="s">
        <v>978</v>
      </c>
      <c r="F1214" s="17" t="s">
        <v>68</v>
      </c>
      <c r="G1214" s="17" t="s">
        <v>68</v>
      </c>
      <c r="H1214" s="7">
        <v>318335</v>
      </c>
      <c r="I1214" s="7">
        <v>379660</v>
      </c>
      <c r="J1214" s="79">
        <v>165.21566000000001</v>
      </c>
      <c r="K1214" s="79">
        <v>-20.77861</v>
      </c>
      <c r="L1214" s="71">
        <v>338</v>
      </c>
      <c r="M1214" s="73">
        <v>1</v>
      </c>
      <c r="N1214" s="73">
        <v>1</v>
      </c>
      <c r="O1214" s="73">
        <v>0</v>
      </c>
      <c r="P1214" s="17" t="s">
        <v>47</v>
      </c>
      <c r="Q1214" t="str">
        <f>LEFT(B1214,3)</f>
        <v>THM</v>
      </c>
    </row>
    <row r="1215" spans="1:17">
      <c r="A1215" s="17" t="s">
        <v>3720</v>
      </c>
      <c r="B1215" s="17" t="s">
        <v>2173</v>
      </c>
      <c r="C1215" s="13" t="s">
        <v>2174</v>
      </c>
      <c r="D1215" s="13" t="s">
        <v>2174</v>
      </c>
      <c r="E1215" s="17" t="s">
        <v>351</v>
      </c>
      <c r="F1215" s="17" t="s">
        <v>129</v>
      </c>
      <c r="G1215" s="17" t="s">
        <v>129</v>
      </c>
      <c r="H1215" s="7">
        <v>596185.87462999998</v>
      </c>
      <c r="I1215" s="7">
        <v>299866.29898999998</v>
      </c>
      <c r="J1215" s="80">
        <v>167.89344012357401</v>
      </c>
      <c r="K1215" s="80">
        <v>-21.490478633731001</v>
      </c>
      <c r="L1215" s="71">
        <v>85</v>
      </c>
      <c r="M1215" s="73">
        <v>1</v>
      </c>
      <c r="N1215" s="73">
        <v>1</v>
      </c>
      <c r="O1215" s="73">
        <v>1</v>
      </c>
      <c r="P1215" s="17" t="s">
        <v>47</v>
      </c>
      <c r="Q1215" t="str">
        <f>LEFT(B1215,3)</f>
        <v>THU</v>
      </c>
    </row>
    <row r="1216" spans="1:17">
      <c r="A1216" s="17" t="s">
        <v>3721</v>
      </c>
      <c r="B1216" s="17" t="s">
        <v>2173</v>
      </c>
      <c r="C1216" s="13" t="s">
        <v>2174</v>
      </c>
      <c r="D1216" s="13" t="s">
        <v>2174</v>
      </c>
      <c r="E1216" s="17" t="s">
        <v>351</v>
      </c>
      <c r="F1216" s="17" t="s">
        <v>129</v>
      </c>
      <c r="G1216" s="17" t="s">
        <v>129</v>
      </c>
      <c r="H1216" s="7">
        <v>596185.87462999998</v>
      </c>
      <c r="I1216" s="7">
        <v>299866.29898999998</v>
      </c>
      <c r="J1216" s="80">
        <v>167.89344012357401</v>
      </c>
      <c r="K1216" s="80">
        <v>-21.490478633731001</v>
      </c>
      <c r="L1216" s="71">
        <v>170</v>
      </c>
      <c r="M1216" s="73">
        <v>1</v>
      </c>
      <c r="N1216" s="73">
        <v>1</v>
      </c>
      <c r="O1216" s="73">
        <v>1</v>
      </c>
      <c r="P1216" s="17" t="s">
        <v>47</v>
      </c>
      <c r="Q1216" t="str">
        <f>LEFT(B1216,3)</f>
        <v>THU</v>
      </c>
    </row>
    <row r="1217" spans="1:17">
      <c r="A1217" s="17" t="s">
        <v>3722</v>
      </c>
      <c r="B1217" s="17" t="s">
        <v>2173</v>
      </c>
      <c r="C1217" s="13" t="s">
        <v>2174</v>
      </c>
      <c r="D1217" s="13" t="s">
        <v>2174</v>
      </c>
      <c r="E1217" s="17" t="s">
        <v>351</v>
      </c>
      <c r="F1217" s="17" t="s">
        <v>129</v>
      </c>
      <c r="G1217" s="17" t="s">
        <v>129</v>
      </c>
      <c r="H1217" s="7">
        <v>596185.87462999998</v>
      </c>
      <c r="I1217" s="7">
        <v>299866.29898999998</v>
      </c>
      <c r="J1217" s="80">
        <v>167.89344012357401</v>
      </c>
      <c r="K1217" s="80">
        <v>-21.490478633731001</v>
      </c>
      <c r="L1217" s="71">
        <v>280</v>
      </c>
      <c r="M1217" s="73">
        <v>1</v>
      </c>
      <c r="N1217" s="73">
        <v>1</v>
      </c>
      <c r="O1217" s="73">
        <v>1</v>
      </c>
      <c r="P1217" s="17" t="s">
        <v>47</v>
      </c>
      <c r="Q1217" t="str">
        <f>LEFT(B1217,3)</f>
        <v>THU</v>
      </c>
    </row>
    <row r="1218" spans="1:17">
      <c r="A1218" s="17" t="s">
        <v>3723</v>
      </c>
      <c r="B1218" s="17" t="s">
        <v>2177</v>
      </c>
      <c r="C1218" s="13" t="s">
        <v>2178</v>
      </c>
      <c r="D1218" s="13" t="s">
        <v>2178</v>
      </c>
      <c r="E1218" s="17" t="s">
        <v>56</v>
      </c>
      <c r="F1218" s="17" t="s">
        <v>43</v>
      </c>
      <c r="G1218" s="17" t="s">
        <v>50</v>
      </c>
      <c r="H1218" s="7">
        <v>428322.82341000001</v>
      </c>
      <c r="I1218" s="7">
        <v>226143.94867000001</v>
      </c>
      <c r="J1218" s="80">
        <v>166.27461539682901</v>
      </c>
      <c r="K1218" s="80">
        <v>-22.166834103226599</v>
      </c>
      <c r="L1218" s="71">
        <v>220</v>
      </c>
      <c r="M1218" s="73">
        <v>1</v>
      </c>
      <c r="N1218" s="73">
        <v>0</v>
      </c>
      <c r="O1218" s="73">
        <v>1</v>
      </c>
      <c r="P1218" s="17" t="s">
        <v>47</v>
      </c>
      <c r="Q1218" t="str">
        <f>LEFT(B1218,3)</f>
        <v>TIA</v>
      </c>
    </row>
    <row r="1219" spans="1:17">
      <c r="A1219" s="17" t="s">
        <v>3724</v>
      </c>
      <c r="B1219" s="17" t="s">
        <v>2180</v>
      </c>
      <c r="C1219" s="13" t="s">
        <v>256</v>
      </c>
      <c r="D1219" s="13" t="s">
        <v>256</v>
      </c>
      <c r="E1219" s="17" t="s">
        <v>368</v>
      </c>
      <c r="F1219" s="17" t="s">
        <v>68</v>
      </c>
      <c r="G1219" s="17" t="s">
        <v>68</v>
      </c>
      <c r="H1219" s="7">
        <v>214443.74820999999</v>
      </c>
      <c r="I1219" s="7">
        <v>413321.39515</v>
      </c>
      <c r="J1219" s="80">
        <v>164.22159971636299</v>
      </c>
      <c r="K1219" s="80">
        <v>-20.466893000710499</v>
      </c>
      <c r="L1219" s="71">
        <v>71</v>
      </c>
      <c r="M1219" s="73">
        <v>2</v>
      </c>
      <c r="N1219" s="73">
        <v>1</v>
      </c>
      <c r="O1219" s="73">
        <v>1</v>
      </c>
      <c r="P1219" s="17" t="s">
        <v>47</v>
      </c>
      <c r="Q1219" t="str">
        <f>LEFT(B1219,3)</f>
        <v>TIE</v>
      </c>
    </row>
    <row r="1220" spans="1:17">
      <c r="A1220" s="17" t="s">
        <v>3725</v>
      </c>
      <c r="B1220" s="17" t="s">
        <v>2180</v>
      </c>
      <c r="C1220" s="13" t="s">
        <v>256</v>
      </c>
      <c r="D1220" s="13" t="s">
        <v>256</v>
      </c>
      <c r="E1220" s="17" t="s">
        <v>368</v>
      </c>
      <c r="F1220" s="17" t="s">
        <v>68</v>
      </c>
      <c r="G1220" s="17" t="s">
        <v>68</v>
      </c>
      <c r="H1220" s="7">
        <v>214443.74820999999</v>
      </c>
      <c r="I1220" s="7">
        <v>413321.39515</v>
      </c>
      <c r="J1220" s="80">
        <v>164.22159971636299</v>
      </c>
      <c r="K1220" s="80">
        <v>-20.466893000710499</v>
      </c>
      <c r="L1220" s="71">
        <v>134</v>
      </c>
      <c r="M1220" s="73">
        <v>2</v>
      </c>
      <c r="N1220" s="73">
        <v>1</v>
      </c>
      <c r="O1220" s="73">
        <v>1</v>
      </c>
      <c r="P1220" s="17" t="s">
        <v>47</v>
      </c>
      <c r="Q1220" t="str">
        <f>LEFT(B1220,3)</f>
        <v>TIE</v>
      </c>
    </row>
    <row r="1221" spans="1:17">
      <c r="A1221" s="17" t="s">
        <v>3726</v>
      </c>
      <c r="B1221" s="17" t="s">
        <v>2183</v>
      </c>
      <c r="C1221" s="13" t="s">
        <v>2185</v>
      </c>
      <c r="D1221" s="13" t="s">
        <v>2185</v>
      </c>
      <c r="E1221" s="17" t="s">
        <v>373</v>
      </c>
      <c r="F1221" s="17" t="s">
        <v>129</v>
      </c>
      <c r="G1221" s="17" t="s">
        <v>129</v>
      </c>
      <c r="H1221" s="7">
        <v>587171.73277</v>
      </c>
      <c r="I1221" s="7">
        <v>343417.53979000001</v>
      </c>
      <c r="J1221" s="80">
        <v>167.80160770008101</v>
      </c>
      <c r="K1221" s="80">
        <v>-21.098080768038798</v>
      </c>
      <c r="L1221" s="71">
        <v>100</v>
      </c>
      <c r="M1221" s="73">
        <v>1</v>
      </c>
      <c r="N1221" s="73">
        <v>1</v>
      </c>
      <c r="O1221" s="73">
        <v>1</v>
      </c>
      <c r="P1221" s="17" t="s">
        <v>47</v>
      </c>
      <c r="Q1221" t="str">
        <f>LEFT(B1221,3)</f>
        <v>TIG</v>
      </c>
    </row>
    <row r="1222" spans="1:17">
      <c r="A1222" s="17" t="s">
        <v>3727</v>
      </c>
      <c r="B1222" s="17" t="s">
        <v>2183</v>
      </c>
      <c r="C1222" s="13" t="s">
        <v>2185</v>
      </c>
      <c r="D1222" s="13" t="s">
        <v>2185</v>
      </c>
      <c r="E1222" s="17" t="s">
        <v>373</v>
      </c>
      <c r="F1222" s="17" t="s">
        <v>129</v>
      </c>
      <c r="G1222" s="17" t="s">
        <v>129</v>
      </c>
      <c r="H1222" s="7">
        <v>587171.73277</v>
      </c>
      <c r="I1222" s="7">
        <v>343417.53979000001</v>
      </c>
      <c r="J1222" s="80">
        <v>167.80160770008101</v>
      </c>
      <c r="K1222" s="80">
        <v>-21.098080768038798</v>
      </c>
      <c r="L1222" s="71">
        <v>300</v>
      </c>
      <c r="M1222" s="73">
        <v>1</v>
      </c>
      <c r="N1222" s="73">
        <v>1</v>
      </c>
      <c r="O1222" s="73">
        <v>1</v>
      </c>
      <c r="P1222" s="17" t="s">
        <v>47</v>
      </c>
      <c r="Q1222" t="str">
        <f>LEFT(B1222,3)</f>
        <v>TIG</v>
      </c>
    </row>
    <row r="1223" spans="1:17">
      <c r="A1223" s="17" t="s">
        <v>3728</v>
      </c>
      <c r="B1223" s="17" t="s">
        <v>2188</v>
      </c>
      <c r="C1223" s="17" t="s">
        <v>2189</v>
      </c>
      <c r="D1223" s="17" t="s">
        <v>2189</v>
      </c>
      <c r="E1223" s="17" t="s">
        <v>29</v>
      </c>
      <c r="F1223" s="17" t="s">
        <v>43</v>
      </c>
      <c r="G1223" s="17" t="s">
        <v>30</v>
      </c>
      <c r="H1223" s="22">
        <v>449871</v>
      </c>
      <c r="I1223" s="22">
        <v>218551</v>
      </c>
      <c r="J1223" s="80">
        <v>166.48376999999999</v>
      </c>
      <c r="K1223" s="83">
        <v>-22.234929999999999</v>
      </c>
      <c r="L1223" s="72">
        <v>0</v>
      </c>
      <c r="M1223" s="72">
        <v>1</v>
      </c>
      <c r="N1223" s="72">
        <v>1</v>
      </c>
      <c r="O1223" s="72">
        <v>0</v>
      </c>
      <c r="P1223" s="17" t="s">
        <v>37</v>
      </c>
      <c r="Q1223" t="str">
        <f>LEFT(B1223,3)</f>
        <v>TIN</v>
      </c>
    </row>
    <row r="1224" spans="1:17">
      <c r="A1224" s="17" t="s">
        <v>3729</v>
      </c>
      <c r="B1224" s="17" t="s">
        <v>2192</v>
      </c>
      <c r="C1224" s="13" t="s">
        <v>2193</v>
      </c>
      <c r="D1224" s="13" t="s">
        <v>2193</v>
      </c>
      <c r="E1224" s="17" t="s">
        <v>368</v>
      </c>
      <c r="F1224" s="17" t="s">
        <v>68</v>
      </c>
      <c r="G1224" s="17" t="s">
        <v>68</v>
      </c>
      <c r="H1224" s="7">
        <v>213778.75586</v>
      </c>
      <c r="I1224" s="7">
        <v>413884.21333</v>
      </c>
      <c r="J1224" s="80">
        <v>164.21528839598801</v>
      </c>
      <c r="K1224" s="80">
        <v>-20.461739820589202</v>
      </c>
      <c r="L1224" s="71">
        <v>350</v>
      </c>
      <c r="M1224" s="73">
        <v>2</v>
      </c>
      <c r="N1224" s="73">
        <v>1</v>
      </c>
      <c r="O1224" s="73">
        <v>1</v>
      </c>
      <c r="P1224" s="17" t="s">
        <v>47</v>
      </c>
      <c r="Q1224" t="str">
        <f>LEFT(B1224,3)</f>
        <v>TIT</v>
      </c>
    </row>
    <row r="1225" spans="1:17">
      <c r="A1225" s="17" t="s">
        <v>3730</v>
      </c>
      <c r="B1225" s="17" t="s">
        <v>2196</v>
      </c>
      <c r="C1225" s="13" t="s">
        <v>2197</v>
      </c>
      <c r="D1225" s="13" t="s">
        <v>2197</v>
      </c>
      <c r="E1225" s="17" t="s">
        <v>978</v>
      </c>
      <c r="F1225" s="17" t="s">
        <v>68</v>
      </c>
      <c r="G1225" s="17" t="s">
        <v>68</v>
      </c>
      <c r="H1225" s="7">
        <v>320795.00679000001</v>
      </c>
      <c r="I1225" s="7">
        <v>367956.13569000002</v>
      </c>
      <c r="J1225" s="80">
        <v>165.23874169155701</v>
      </c>
      <c r="K1225" s="80">
        <v>-20.884438284533001</v>
      </c>
      <c r="L1225" s="71">
        <v>35</v>
      </c>
      <c r="M1225" s="73">
        <v>1</v>
      </c>
      <c r="N1225" s="73">
        <v>1</v>
      </c>
      <c r="O1225" s="73">
        <v>1</v>
      </c>
      <c r="P1225" s="17" t="s">
        <v>47</v>
      </c>
      <c r="Q1225" t="str">
        <f>LEFT(B1225,3)</f>
        <v>TIW</v>
      </c>
    </row>
    <row r="1226" spans="1:17">
      <c r="A1226" s="13" t="s">
        <v>3731</v>
      </c>
      <c r="B1226" s="13" t="s">
        <v>2196</v>
      </c>
      <c r="C1226" s="13" t="s">
        <v>2197</v>
      </c>
      <c r="D1226" s="13" t="s">
        <v>2197</v>
      </c>
      <c r="E1226" s="17" t="s">
        <v>978</v>
      </c>
      <c r="F1226" s="17" t="s">
        <v>68</v>
      </c>
      <c r="G1226" s="17" t="s">
        <v>68</v>
      </c>
      <c r="H1226" s="7">
        <v>320795.00679000001</v>
      </c>
      <c r="I1226" s="7">
        <v>367956.13569000002</v>
      </c>
      <c r="J1226" s="80">
        <v>165.23874169155701</v>
      </c>
      <c r="K1226" s="80">
        <v>-20.884438284533001</v>
      </c>
      <c r="L1226" s="71">
        <v>225</v>
      </c>
      <c r="M1226" s="73">
        <v>1</v>
      </c>
      <c r="N1226" s="73">
        <v>1</v>
      </c>
      <c r="O1226" s="73">
        <v>1</v>
      </c>
      <c r="P1226" s="17" t="s">
        <v>47</v>
      </c>
      <c r="Q1226" t="str">
        <f>LEFT(B1226,3)</f>
        <v>TIW</v>
      </c>
    </row>
    <row r="1227" spans="1:17">
      <c r="A1227" s="17" t="s">
        <v>3732</v>
      </c>
      <c r="B1227" s="17" t="s">
        <v>2200</v>
      </c>
      <c r="C1227" s="13" t="s">
        <v>2201</v>
      </c>
      <c r="D1227" s="13" t="s">
        <v>773</v>
      </c>
      <c r="E1227" s="17" t="s">
        <v>29</v>
      </c>
      <c r="F1227" s="17" t="s">
        <v>43</v>
      </c>
      <c r="G1227" s="17" t="s">
        <v>30</v>
      </c>
      <c r="H1227" s="22">
        <v>449815</v>
      </c>
      <c r="I1227" s="22">
        <v>216078</v>
      </c>
      <c r="J1227" s="83">
        <v>166.48330000000001</v>
      </c>
      <c r="K1227" s="83">
        <v>-22.257269999999998</v>
      </c>
      <c r="L1227" s="71">
        <v>300</v>
      </c>
      <c r="M1227" s="73">
        <v>1</v>
      </c>
      <c r="N1227" s="73">
        <v>2</v>
      </c>
      <c r="O1227" s="73">
        <v>1</v>
      </c>
      <c r="P1227" s="17" t="s">
        <v>37</v>
      </c>
      <c r="Q1227" t="str">
        <f>LEFT(B1227,3)</f>
        <v>TJI</v>
      </c>
    </row>
    <row r="1228" spans="1:17">
      <c r="A1228" s="17" t="s">
        <v>3733</v>
      </c>
      <c r="B1228" s="17" t="s">
        <v>2204</v>
      </c>
      <c r="C1228" s="13" t="s">
        <v>2205</v>
      </c>
      <c r="D1228" s="13" t="s">
        <v>2206</v>
      </c>
      <c r="E1228" s="17" t="s">
        <v>67</v>
      </c>
      <c r="F1228" s="17" t="s">
        <v>68</v>
      </c>
      <c r="G1228" s="17" t="s">
        <v>68</v>
      </c>
      <c r="H1228" s="22">
        <v>284098</v>
      </c>
      <c r="I1228" s="22">
        <v>354109</v>
      </c>
      <c r="J1228" s="83">
        <v>164.885099</v>
      </c>
      <c r="K1228" s="83">
        <v>-21.007522000000002</v>
      </c>
      <c r="L1228" s="71">
        <v>20</v>
      </c>
      <c r="M1228" s="73">
        <v>1</v>
      </c>
      <c r="N1228" s="73">
        <v>2</v>
      </c>
      <c r="O1228" s="73">
        <v>0</v>
      </c>
      <c r="P1228" s="17" t="s">
        <v>47</v>
      </c>
      <c r="Q1228" t="str">
        <f>LEFT(B1228,3)</f>
        <v>TKA</v>
      </c>
    </row>
    <row r="1229" spans="1:17">
      <c r="A1229" s="17" t="s">
        <v>3734</v>
      </c>
      <c r="B1229" s="17" t="s">
        <v>2204</v>
      </c>
      <c r="C1229" s="13" t="s">
        <v>2205</v>
      </c>
      <c r="D1229" s="13" t="s">
        <v>2206</v>
      </c>
      <c r="E1229" s="17" t="s">
        <v>67</v>
      </c>
      <c r="F1229" s="17" t="s">
        <v>68</v>
      </c>
      <c r="G1229" s="17" t="s">
        <v>68</v>
      </c>
      <c r="H1229" s="22">
        <v>284098</v>
      </c>
      <c r="I1229" s="22">
        <v>354109</v>
      </c>
      <c r="J1229" s="83">
        <v>164.885099</v>
      </c>
      <c r="K1229" s="83">
        <v>-21.007522000000002</v>
      </c>
      <c r="L1229" s="71">
        <v>208</v>
      </c>
      <c r="M1229" s="73">
        <v>1</v>
      </c>
      <c r="N1229" s="73">
        <v>2</v>
      </c>
      <c r="O1229" s="73">
        <v>0</v>
      </c>
      <c r="P1229" s="17" t="s">
        <v>47</v>
      </c>
      <c r="Q1229" t="str">
        <f>LEFT(B1229,3)</f>
        <v>TKA</v>
      </c>
    </row>
    <row r="1230" spans="1:17">
      <c r="A1230" s="17" t="s">
        <v>3735</v>
      </c>
      <c r="B1230" s="17" t="s">
        <v>2204</v>
      </c>
      <c r="C1230" s="13" t="s">
        <v>2205</v>
      </c>
      <c r="D1230" s="13" t="s">
        <v>2206</v>
      </c>
      <c r="E1230" s="17" t="s">
        <v>67</v>
      </c>
      <c r="F1230" s="17" t="s">
        <v>68</v>
      </c>
      <c r="G1230" s="17" t="s">
        <v>68</v>
      </c>
      <c r="H1230" s="22">
        <v>284098</v>
      </c>
      <c r="I1230" s="22">
        <v>354109</v>
      </c>
      <c r="J1230" s="83">
        <v>164.885099</v>
      </c>
      <c r="K1230" s="83">
        <v>-21.007522000000002</v>
      </c>
      <c r="L1230" s="71">
        <v>287</v>
      </c>
      <c r="M1230" s="73">
        <v>1</v>
      </c>
      <c r="N1230" s="73">
        <v>2</v>
      </c>
      <c r="O1230" s="73">
        <v>0</v>
      </c>
      <c r="P1230" s="17" t="s">
        <v>47</v>
      </c>
      <c r="Q1230" t="str">
        <f>LEFT(B1230,3)</f>
        <v>TKA</v>
      </c>
    </row>
    <row r="1231" spans="1:17">
      <c r="A1231" s="17" t="s">
        <v>3736</v>
      </c>
      <c r="B1231" s="17" t="s">
        <v>2208</v>
      </c>
      <c r="C1231" s="17" t="s">
        <v>2209</v>
      </c>
      <c r="D1231" s="17" t="s">
        <v>2209</v>
      </c>
      <c r="E1231" s="17" t="s">
        <v>29</v>
      </c>
      <c r="F1231" s="17" t="s">
        <v>43</v>
      </c>
      <c r="G1231" s="17" t="s">
        <v>30</v>
      </c>
      <c r="H1231" s="22">
        <v>447963</v>
      </c>
      <c r="I1231" s="22">
        <v>214730</v>
      </c>
      <c r="J1231" s="83">
        <v>166.46537000000001</v>
      </c>
      <c r="K1231" s="83">
        <v>-22.269490000000001</v>
      </c>
      <c r="L1231" s="72">
        <v>190</v>
      </c>
      <c r="M1231" s="72">
        <v>1</v>
      </c>
      <c r="N1231" s="73">
        <v>2</v>
      </c>
      <c r="O1231" s="73">
        <v>0</v>
      </c>
      <c r="P1231" s="17" t="s">
        <v>37</v>
      </c>
      <c r="Q1231" t="str">
        <f>LEFT(B1231,3)</f>
        <v>TM2</v>
      </c>
    </row>
    <row r="1232" spans="1:17">
      <c r="A1232" s="17" t="s">
        <v>3737</v>
      </c>
      <c r="B1232" s="17" t="s">
        <v>2208</v>
      </c>
      <c r="C1232" s="17" t="s">
        <v>2209</v>
      </c>
      <c r="D1232" s="17" t="s">
        <v>2209</v>
      </c>
      <c r="E1232" s="17" t="s">
        <v>29</v>
      </c>
      <c r="F1232" s="17" t="s">
        <v>43</v>
      </c>
      <c r="G1232" s="17" t="s">
        <v>30</v>
      </c>
      <c r="H1232" s="22">
        <v>447963</v>
      </c>
      <c r="I1232" s="22">
        <v>214730</v>
      </c>
      <c r="J1232" s="83">
        <v>166.46537000000001</v>
      </c>
      <c r="K1232" s="83">
        <v>-22.269490000000001</v>
      </c>
      <c r="L1232" s="72">
        <v>310</v>
      </c>
      <c r="M1232" s="72">
        <v>1</v>
      </c>
      <c r="N1232" s="73">
        <v>2</v>
      </c>
      <c r="O1232" s="73">
        <v>0</v>
      </c>
      <c r="P1232" s="17" t="s">
        <v>37</v>
      </c>
      <c r="Q1232" t="str">
        <f>LEFT(B1232,3)</f>
        <v>TM2</v>
      </c>
    </row>
    <row r="1233" spans="1:17">
      <c r="A1233" s="17" t="s">
        <v>3738</v>
      </c>
      <c r="B1233" s="17" t="s">
        <v>2212</v>
      </c>
      <c r="C1233" s="13" t="s">
        <v>2213</v>
      </c>
      <c r="D1233" s="13" t="s">
        <v>2213</v>
      </c>
      <c r="E1233" s="17" t="s">
        <v>29</v>
      </c>
      <c r="F1233" s="17" t="s">
        <v>43</v>
      </c>
      <c r="G1233" s="17" t="s">
        <v>30</v>
      </c>
      <c r="H1233" s="22">
        <v>447963</v>
      </c>
      <c r="I1233" s="22">
        <v>214730</v>
      </c>
      <c r="J1233" s="83">
        <v>166.46537000000001</v>
      </c>
      <c r="K1233" s="83">
        <v>-22.269490000000001</v>
      </c>
      <c r="L1233" s="71">
        <v>0</v>
      </c>
      <c r="M1233" s="73">
        <v>3</v>
      </c>
      <c r="N1233" s="73">
        <v>3</v>
      </c>
      <c r="O1233" s="73">
        <v>1</v>
      </c>
      <c r="P1233" s="17" t="s">
        <v>37</v>
      </c>
      <c r="Q1233" t="str">
        <f>LEFT(B1233,3)</f>
        <v>TMA</v>
      </c>
    </row>
    <row r="1234" spans="1:17">
      <c r="A1234" s="17" t="s">
        <v>3739</v>
      </c>
      <c r="B1234" s="17" t="s">
        <v>2212</v>
      </c>
      <c r="C1234" s="13" t="s">
        <v>2213</v>
      </c>
      <c r="D1234" s="13" t="s">
        <v>2213</v>
      </c>
      <c r="E1234" s="17" t="s">
        <v>29</v>
      </c>
      <c r="F1234" s="17" t="s">
        <v>43</v>
      </c>
      <c r="G1234" s="17" t="s">
        <v>30</v>
      </c>
      <c r="H1234" s="22">
        <v>447963</v>
      </c>
      <c r="I1234" s="22">
        <v>214730</v>
      </c>
      <c r="J1234" s="83">
        <v>166.46537000000001</v>
      </c>
      <c r="K1234" s="83">
        <v>-22.269490000000001</v>
      </c>
      <c r="L1234" s="71">
        <v>130</v>
      </c>
      <c r="M1234" s="73">
        <v>3</v>
      </c>
      <c r="N1234" s="73">
        <v>3</v>
      </c>
      <c r="O1234" s="73">
        <v>1</v>
      </c>
      <c r="P1234" s="17" t="s">
        <v>37</v>
      </c>
      <c r="Q1234" t="str">
        <f>LEFT(B1234,3)</f>
        <v>TMA</v>
      </c>
    </row>
    <row r="1235" spans="1:17">
      <c r="A1235" s="17" t="s">
        <v>3740</v>
      </c>
      <c r="B1235" s="17" t="s">
        <v>2212</v>
      </c>
      <c r="C1235" s="13" t="s">
        <v>2213</v>
      </c>
      <c r="D1235" s="13" t="s">
        <v>2213</v>
      </c>
      <c r="E1235" s="17" t="s">
        <v>29</v>
      </c>
      <c r="F1235" s="17" t="s">
        <v>43</v>
      </c>
      <c r="G1235" s="17" t="s">
        <v>30</v>
      </c>
      <c r="H1235" s="22">
        <v>447963</v>
      </c>
      <c r="I1235" s="22">
        <v>214730</v>
      </c>
      <c r="J1235" s="83">
        <v>166.46537000000001</v>
      </c>
      <c r="K1235" s="83">
        <v>-22.269490000000001</v>
      </c>
      <c r="L1235" s="71">
        <v>250</v>
      </c>
      <c r="M1235" s="73">
        <v>3</v>
      </c>
      <c r="N1235" s="73">
        <v>3</v>
      </c>
      <c r="O1235" s="73">
        <v>1</v>
      </c>
      <c r="P1235" s="17" t="s">
        <v>37</v>
      </c>
      <c r="Q1235" t="str">
        <f>LEFT(B1235,3)</f>
        <v>TMA</v>
      </c>
    </row>
    <row r="1236" spans="1:17">
      <c r="A1236" s="17" t="s">
        <v>3741</v>
      </c>
      <c r="B1236" s="17" t="s">
        <v>2216</v>
      </c>
      <c r="C1236" s="13" t="s">
        <v>2217</v>
      </c>
      <c r="D1236" s="13" t="s">
        <v>2218</v>
      </c>
      <c r="E1236" s="17" t="s">
        <v>56</v>
      </c>
      <c r="F1236" s="17" t="s">
        <v>43</v>
      </c>
      <c r="G1236" s="17" t="s">
        <v>50</v>
      </c>
      <c r="H1236" s="22">
        <v>423486</v>
      </c>
      <c r="I1236" s="22">
        <v>228883</v>
      </c>
      <c r="J1236" s="83">
        <v>166.227678</v>
      </c>
      <c r="K1236" s="83">
        <v>-22.142168000000002</v>
      </c>
      <c r="L1236" s="71">
        <v>94</v>
      </c>
      <c r="M1236" s="73">
        <v>1</v>
      </c>
      <c r="N1236" s="73">
        <v>2</v>
      </c>
      <c r="O1236" s="73">
        <v>0</v>
      </c>
      <c r="P1236" s="17" t="s">
        <v>47</v>
      </c>
      <c r="Q1236" t="str">
        <f>LEFT(B1236,3)</f>
        <v>TMB</v>
      </c>
    </row>
    <row r="1237" spans="1:17">
      <c r="A1237" s="17" t="s">
        <v>3742</v>
      </c>
      <c r="B1237" s="17" t="s">
        <v>2216</v>
      </c>
      <c r="C1237" s="13" t="s">
        <v>2217</v>
      </c>
      <c r="D1237" s="13" t="s">
        <v>2218</v>
      </c>
      <c r="E1237" s="17" t="s">
        <v>56</v>
      </c>
      <c r="F1237" s="17" t="s">
        <v>43</v>
      </c>
      <c r="G1237" s="17" t="s">
        <v>50</v>
      </c>
      <c r="H1237" s="22">
        <v>423486</v>
      </c>
      <c r="I1237" s="22">
        <v>228883</v>
      </c>
      <c r="J1237" s="83">
        <v>166.227678</v>
      </c>
      <c r="K1237" s="83">
        <v>-22.142168000000002</v>
      </c>
      <c r="L1237" s="71">
        <v>251</v>
      </c>
      <c r="M1237" s="73">
        <v>1</v>
      </c>
      <c r="N1237" s="73">
        <v>2</v>
      </c>
      <c r="O1237" s="73">
        <v>0</v>
      </c>
      <c r="P1237" s="17" t="s">
        <v>47</v>
      </c>
      <c r="Q1237" t="str">
        <f>LEFT(B1237,3)</f>
        <v>TMB</v>
      </c>
    </row>
    <row r="1238" spans="1:17">
      <c r="A1238" s="17" t="s">
        <v>3743</v>
      </c>
      <c r="B1238" s="17" t="s">
        <v>2216</v>
      </c>
      <c r="C1238" s="13" t="s">
        <v>2217</v>
      </c>
      <c r="D1238" s="13" t="s">
        <v>2218</v>
      </c>
      <c r="E1238" s="17" t="s">
        <v>56</v>
      </c>
      <c r="F1238" s="17" t="s">
        <v>43</v>
      </c>
      <c r="G1238" s="17" t="s">
        <v>50</v>
      </c>
      <c r="H1238" s="22">
        <v>423486</v>
      </c>
      <c r="I1238" s="22">
        <v>228883</v>
      </c>
      <c r="J1238" s="83">
        <v>166.227678</v>
      </c>
      <c r="K1238" s="83">
        <v>-22.142168000000002</v>
      </c>
      <c r="L1238" s="71">
        <v>331</v>
      </c>
      <c r="M1238" s="73">
        <v>1</v>
      </c>
      <c r="N1238" s="73">
        <v>2</v>
      </c>
      <c r="O1238" s="73">
        <v>0</v>
      </c>
      <c r="P1238" s="17" t="s">
        <v>47</v>
      </c>
      <c r="Q1238" t="str">
        <f>LEFT(B1238,3)</f>
        <v>TMB</v>
      </c>
    </row>
    <row r="1239" spans="1:17">
      <c r="A1239" s="17" t="s">
        <v>3744</v>
      </c>
      <c r="B1239" s="17" t="s">
        <v>2220</v>
      </c>
      <c r="C1239" s="13" t="s">
        <v>496</v>
      </c>
      <c r="D1239" s="13" t="s">
        <v>496</v>
      </c>
      <c r="E1239" s="17" t="s">
        <v>29</v>
      </c>
      <c r="F1239" s="17" t="s">
        <v>43</v>
      </c>
      <c r="G1239" s="17" t="s">
        <v>30</v>
      </c>
      <c r="H1239" s="7">
        <v>450792.99352000002</v>
      </c>
      <c r="I1239" s="7">
        <v>218243.77262999999</v>
      </c>
      <c r="J1239" s="80">
        <v>166.49272131841099</v>
      </c>
      <c r="K1239" s="80">
        <v>-22.237680811978599</v>
      </c>
      <c r="L1239" s="71">
        <v>0</v>
      </c>
      <c r="M1239" s="73">
        <v>1</v>
      </c>
      <c r="N1239" s="73">
        <v>1</v>
      </c>
      <c r="O1239" s="73">
        <v>1</v>
      </c>
      <c r="P1239" s="17" t="s">
        <v>37</v>
      </c>
      <c r="Q1239" t="str">
        <f>LEFT(B1239,3)</f>
        <v>TMT</v>
      </c>
    </row>
    <row r="1240" spans="1:17">
      <c r="A1240" s="17" t="s">
        <v>3745</v>
      </c>
      <c r="B1240" s="17" t="s">
        <v>2223</v>
      </c>
      <c r="C1240" s="13" t="s">
        <v>2224</v>
      </c>
      <c r="D1240" s="13" t="s">
        <v>2224</v>
      </c>
      <c r="E1240" s="17" t="s">
        <v>29</v>
      </c>
      <c r="F1240" s="17" t="s">
        <v>43</v>
      </c>
      <c r="G1240" s="17" t="s">
        <v>30</v>
      </c>
      <c r="H1240" s="7">
        <v>443740</v>
      </c>
      <c r="I1240" s="7">
        <v>218461</v>
      </c>
      <c r="J1240" s="79">
        <v>166.42429799999999</v>
      </c>
      <c r="K1240" s="79">
        <v>-22.235907999999998</v>
      </c>
      <c r="L1240" s="71">
        <v>10</v>
      </c>
      <c r="M1240" s="73">
        <v>3</v>
      </c>
      <c r="N1240" s="73">
        <v>3</v>
      </c>
      <c r="O1240" s="73">
        <v>1</v>
      </c>
      <c r="P1240" s="17" t="s">
        <v>37</v>
      </c>
      <c r="Q1240" t="str">
        <f>LEFT(B1240,3)</f>
        <v>TND</v>
      </c>
    </row>
    <row r="1241" spans="1:17">
      <c r="A1241" s="17" t="s">
        <v>3746</v>
      </c>
      <c r="B1241" s="17" t="s">
        <v>2223</v>
      </c>
      <c r="C1241" s="13" t="s">
        <v>2224</v>
      </c>
      <c r="D1241" s="13" t="s">
        <v>2224</v>
      </c>
      <c r="E1241" s="17" t="s">
        <v>29</v>
      </c>
      <c r="F1241" s="17" t="s">
        <v>43</v>
      </c>
      <c r="G1241" s="17" t="s">
        <v>30</v>
      </c>
      <c r="H1241" s="7">
        <v>443740</v>
      </c>
      <c r="I1241" s="7">
        <v>218461</v>
      </c>
      <c r="J1241" s="79">
        <v>166.42429799999999</v>
      </c>
      <c r="K1241" s="79">
        <v>-22.235907999999998</v>
      </c>
      <c r="L1241" s="71">
        <v>107</v>
      </c>
      <c r="M1241" s="73">
        <v>3</v>
      </c>
      <c r="N1241" s="73">
        <v>3</v>
      </c>
      <c r="O1241" s="73">
        <v>1</v>
      </c>
      <c r="P1241" s="17" t="s">
        <v>37</v>
      </c>
      <c r="Q1241" t="str">
        <f>LEFT(B1241,3)</f>
        <v>TND</v>
      </c>
    </row>
    <row r="1242" spans="1:17">
      <c r="A1242" s="17" t="s">
        <v>3747</v>
      </c>
      <c r="B1242" s="17" t="s">
        <v>2223</v>
      </c>
      <c r="C1242" s="13" t="s">
        <v>2224</v>
      </c>
      <c r="D1242" s="13" t="s">
        <v>2224</v>
      </c>
      <c r="E1242" s="17" t="s">
        <v>29</v>
      </c>
      <c r="F1242" s="17" t="s">
        <v>43</v>
      </c>
      <c r="G1242" s="17" t="s">
        <v>30</v>
      </c>
      <c r="H1242" s="7">
        <v>443740</v>
      </c>
      <c r="I1242" s="7">
        <v>218461</v>
      </c>
      <c r="J1242" s="79">
        <v>166.42429799999999</v>
      </c>
      <c r="K1242" s="79">
        <v>-22.235907999999998</v>
      </c>
      <c r="L1242" s="71">
        <v>250</v>
      </c>
      <c r="M1242" s="73">
        <v>3</v>
      </c>
      <c r="N1242" s="73">
        <v>3</v>
      </c>
      <c r="O1242" s="73">
        <v>1</v>
      </c>
      <c r="P1242" s="17" t="s">
        <v>37</v>
      </c>
      <c r="Q1242" t="str">
        <f>LEFT(B1242,3)</f>
        <v>TND</v>
      </c>
    </row>
    <row r="1243" spans="1:17">
      <c r="A1243" s="17" t="s">
        <v>3748</v>
      </c>
      <c r="B1243" s="17" t="s">
        <v>2227</v>
      </c>
      <c r="C1243" s="13" t="s">
        <v>2229</v>
      </c>
      <c r="D1243" s="13" t="s">
        <v>2229</v>
      </c>
      <c r="E1243" s="17" t="s">
        <v>684</v>
      </c>
      <c r="F1243" s="17" t="s">
        <v>68</v>
      </c>
      <c r="G1243" s="17" t="s">
        <v>68</v>
      </c>
      <c r="H1243" s="7">
        <v>288709</v>
      </c>
      <c r="I1243" s="7">
        <v>391958</v>
      </c>
      <c r="J1243" s="79">
        <v>164.93194</v>
      </c>
      <c r="K1243" s="79">
        <v>-20.665948</v>
      </c>
      <c r="L1243" s="71">
        <v>95</v>
      </c>
      <c r="M1243" s="73">
        <v>1</v>
      </c>
      <c r="N1243" s="73">
        <v>1</v>
      </c>
      <c r="O1243" s="73">
        <v>0</v>
      </c>
      <c r="P1243" s="17" t="s">
        <v>37</v>
      </c>
      <c r="Q1243" t="str">
        <f>LEFT(B1243,3)</f>
        <v>TNM</v>
      </c>
    </row>
    <row r="1244" spans="1:17">
      <c r="A1244" s="17" t="s">
        <v>3749</v>
      </c>
      <c r="B1244" s="17" t="s">
        <v>2227</v>
      </c>
      <c r="C1244" s="13" t="s">
        <v>2229</v>
      </c>
      <c r="D1244" s="13" t="s">
        <v>2229</v>
      </c>
      <c r="E1244" s="17" t="s">
        <v>684</v>
      </c>
      <c r="F1244" s="17" t="s">
        <v>68</v>
      </c>
      <c r="G1244" s="17" t="s">
        <v>68</v>
      </c>
      <c r="H1244" s="7">
        <v>288709</v>
      </c>
      <c r="I1244" s="7">
        <v>391958</v>
      </c>
      <c r="J1244" s="79">
        <v>164.93194</v>
      </c>
      <c r="K1244" s="79">
        <v>-20.665948</v>
      </c>
      <c r="L1244" s="71">
        <v>160</v>
      </c>
      <c r="M1244" s="73">
        <v>1</v>
      </c>
      <c r="N1244" s="73">
        <v>1</v>
      </c>
      <c r="O1244" s="73">
        <v>0</v>
      </c>
      <c r="P1244" s="17" t="s">
        <v>37</v>
      </c>
      <c r="Q1244" t="str">
        <f>LEFT(B1244,3)</f>
        <v>TNM</v>
      </c>
    </row>
    <row r="1245" spans="1:17">
      <c r="A1245" s="17" t="s">
        <v>3750</v>
      </c>
      <c r="B1245" s="17" t="s">
        <v>2227</v>
      </c>
      <c r="C1245" s="13" t="s">
        <v>2229</v>
      </c>
      <c r="D1245" s="13" t="s">
        <v>2229</v>
      </c>
      <c r="E1245" s="17" t="s">
        <v>684</v>
      </c>
      <c r="F1245" s="17" t="s">
        <v>68</v>
      </c>
      <c r="G1245" s="17" t="s">
        <v>68</v>
      </c>
      <c r="H1245" s="7">
        <v>288709</v>
      </c>
      <c r="I1245" s="7">
        <v>391958</v>
      </c>
      <c r="J1245" s="79">
        <v>164.93194</v>
      </c>
      <c r="K1245" s="79">
        <v>-20.665948</v>
      </c>
      <c r="L1245" s="71">
        <v>310</v>
      </c>
      <c r="M1245" s="73">
        <v>1</v>
      </c>
      <c r="N1245" s="73">
        <v>1</v>
      </c>
      <c r="O1245" s="73">
        <v>0</v>
      </c>
      <c r="P1245" s="17" t="s">
        <v>37</v>
      </c>
      <c r="Q1245" t="str">
        <f>LEFT(B1245,3)</f>
        <v>TNM</v>
      </c>
    </row>
    <row r="1246" spans="1:17">
      <c r="A1246" s="17" t="s">
        <v>3751</v>
      </c>
      <c r="B1246" s="87" t="s">
        <v>2231</v>
      </c>
      <c r="C1246" s="13" t="s">
        <v>2232</v>
      </c>
      <c r="D1246" s="13" t="s">
        <v>2233</v>
      </c>
      <c r="E1246" s="17" t="s">
        <v>142</v>
      </c>
      <c r="F1246" s="17" t="s">
        <v>43</v>
      </c>
      <c r="G1246" s="17" t="s">
        <v>43</v>
      </c>
      <c r="H1246" s="7">
        <v>501948</v>
      </c>
      <c r="I1246" s="7">
        <v>220247</v>
      </c>
      <c r="J1246" s="80">
        <v>166.988821</v>
      </c>
      <c r="K1246" s="80">
        <v>-22.217403000000001</v>
      </c>
      <c r="L1246" s="71">
        <v>52</v>
      </c>
      <c r="M1246" s="73">
        <v>1</v>
      </c>
      <c r="N1246" s="73">
        <v>1</v>
      </c>
      <c r="O1246" s="73">
        <v>0</v>
      </c>
      <c r="P1246" s="17" t="s">
        <v>47</v>
      </c>
      <c r="Q1246" t="str">
        <f>LEFT(B1246,3)</f>
        <v>TOA</v>
      </c>
    </row>
    <row r="1247" spans="1:17">
      <c r="A1247" s="17" t="s">
        <v>3752</v>
      </c>
      <c r="B1247" s="87" t="s">
        <v>2231</v>
      </c>
      <c r="C1247" s="13" t="s">
        <v>2232</v>
      </c>
      <c r="D1247" s="13" t="s">
        <v>2233</v>
      </c>
      <c r="E1247" s="17" t="s">
        <v>142</v>
      </c>
      <c r="F1247" s="17" t="s">
        <v>43</v>
      </c>
      <c r="G1247" s="17" t="s">
        <v>43</v>
      </c>
      <c r="H1247" s="7">
        <v>501948</v>
      </c>
      <c r="I1247" s="7">
        <v>220247</v>
      </c>
      <c r="J1247" s="80">
        <v>166.988821</v>
      </c>
      <c r="K1247" s="80">
        <v>-22.217403000000001</v>
      </c>
      <c r="L1247" s="71">
        <v>117</v>
      </c>
      <c r="M1247" s="73">
        <v>1</v>
      </c>
      <c r="N1247" s="73">
        <v>1</v>
      </c>
      <c r="O1247" s="73">
        <v>0</v>
      </c>
      <c r="P1247" s="17" t="s">
        <v>47</v>
      </c>
      <c r="Q1247" t="str">
        <f>LEFT(B1247,3)</f>
        <v>TOA</v>
      </c>
    </row>
    <row r="1248" spans="1:17">
      <c r="A1248" s="17" t="s">
        <v>3753</v>
      </c>
      <c r="B1248" s="87" t="s">
        <v>2231</v>
      </c>
      <c r="C1248" s="13" t="s">
        <v>2232</v>
      </c>
      <c r="D1248" s="13" t="s">
        <v>2233</v>
      </c>
      <c r="E1248" s="17" t="s">
        <v>142</v>
      </c>
      <c r="F1248" s="17" t="s">
        <v>43</v>
      </c>
      <c r="G1248" s="17" t="s">
        <v>43</v>
      </c>
      <c r="H1248" s="7">
        <v>501948</v>
      </c>
      <c r="I1248" s="7">
        <v>220247</v>
      </c>
      <c r="J1248" s="80">
        <v>166.988821</v>
      </c>
      <c r="K1248" s="80">
        <v>-22.217403000000001</v>
      </c>
      <c r="L1248" s="71">
        <v>342</v>
      </c>
      <c r="M1248" s="73">
        <v>1</v>
      </c>
      <c r="N1248" s="73">
        <v>1</v>
      </c>
      <c r="O1248" s="73">
        <v>0</v>
      </c>
      <c r="P1248" s="17" t="s">
        <v>47</v>
      </c>
      <c r="Q1248" t="str">
        <f>LEFT(B1248,3)</f>
        <v>TOA</v>
      </c>
    </row>
    <row r="1249" spans="1:17">
      <c r="A1249" s="17" t="s">
        <v>3754</v>
      </c>
      <c r="B1249" s="17" t="s">
        <v>2235</v>
      </c>
      <c r="C1249" s="13" t="s">
        <v>729</v>
      </c>
      <c r="D1249" s="13" t="s">
        <v>729</v>
      </c>
      <c r="E1249" s="17" t="s">
        <v>207</v>
      </c>
      <c r="F1249" s="17" t="s">
        <v>43</v>
      </c>
      <c r="G1249" s="17" t="s">
        <v>43</v>
      </c>
      <c r="H1249" s="7">
        <v>415148.62170999998</v>
      </c>
      <c r="I1249" s="7">
        <v>249419.13639</v>
      </c>
      <c r="J1249" s="80">
        <v>166.14667072004099</v>
      </c>
      <c r="K1249" s="80">
        <v>-21.956788772959801</v>
      </c>
      <c r="L1249" s="71">
        <v>120</v>
      </c>
      <c r="M1249" s="73">
        <v>1</v>
      </c>
      <c r="N1249" s="73">
        <v>1</v>
      </c>
      <c r="O1249" s="73">
        <v>1</v>
      </c>
      <c r="P1249" s="17" t="s">
        <v>47</v>
      </c>
      <c r="Q1249" t="str">
        <f>LEFT(B1249,3)</f>
        <v>TOM</v>
      </c>
    </row>
    <row r="1250" spans="1:17">
      <c r="A1250" s="17" t="s">
        <v>3755</v>
      </c>
      <c r="B1250" s="17" t="s">
        <v>2235</v>
      </c>
      <c r="C1250" s="13" t="s">
        <v>729</v>
      </c>
      <c r="D1250" s="13" t="s">
        <v>729</v>
      </c>
      <c r="E1250" s="17" t="s">
        <v>207</v>
      </c>
      <c r="F1250" s="17" t="s">
        <v>43</v>
      </c>
      <c r="G1250" s="17" t="s">
        <v>43</v>
      </c>
      <c r="H1250" s="7">
        <v>415148.62170999998</v>
      </c>
      <c r="I1250" s="7">
        <v>249419.13639</v>
      </c>
      <c r="J1250" s="80">
        <v>166.14667072004099</v>
      </c>
      <c r="K1250" s="80">
        <v>-21.956788772959801</v>
      </c>
      <c r="L1250" s="71">
        <v>240</v>
      </c>
      <c r="M1250" s="73">
        <v>1</v>
      </c>
      <c r="N1250" s="73">
        <v>1</v>
      </c>
      <c r="O1250" s="73">
        <v>1</v>
      </c>
      <c r="P1250" s="17" t="s">
        <v>47</v>
      </c>
      <c r="Q1250" t="str">
        <f>LEFT(B1250,3)</f>
        <v>TOM</v>
      </c>
    </row>
    <row r="1251" spans="1:17">
      <c r="A1251" s="17" t="s">
        <v>3756</v>
      </c>
      <c r="B1251" s="17" t="s">
        <v>2238</v>
      </c>
      <c r="C1251" s="13" t="s">
        <v>2239</v>
      </c>
      <c r="D1251" s="13" t="s">
        <v>2239</v>
      </c>
      <c r="E1251" s="17" t="s">
        <v>56</v>
      </c>
      <c r="F1251" s="17" t="s">
        <v>43</v>
      </c>
      <c r="G1251" s="17" t="s">
        <v>50</v>
      </c>
      <c r="H1251" s="7">
        <v>422988.23664999998</v>
      </c>
      <c r="I1251" s="7">
        <v>243150.5111</v>
      </c>
      <c r="J1251" s="80">
        <v>166.22265328503801</v>
      </c>
      <c r="K1251" s="80">
        <v>-22.013315164330599</v>
      </c>
      <c r="L1251" s="71">
        <v>5</v>
      </c>
      <c r="M1251" s="73">
        <v>2</v>
      </c>
      <c r="N1251" s="73">
        <v>2</v>
      </c>
      <c r="O1251" s="73">
        <v>1</v>
      </c>
      <c r="P1251" s="17" t="s">
        <v>37</v>
      </c>
      <c r="Q1251" t="str">
        <f>LEFT(B1251,3)</f>
        <v>TON</v>
      </c>
    </row>
    <row r="1252" spans="1:17">
      <c r="A1252" s="17" t="s">
        <v>3757</v>
      </c>
      <c r="B1252" s="17" t="s">
        <v>2238</v>
      </c>
      <c r="C1252" s="13" t="s">
        <v>2239</v>
      </c>
      <c r="D1252" s="13" t="s">
        <v>2239</v>
      </c>
      <c r="E1252" s="17" t="s">
        <v>56</v>
      </c>
      <c r="F1252" s="17" t="s">
        <v>43</v>
      </c>
      <c r="G1252" s="17" t="s">
        <v>50</v>
      </c>
      <c r="H1252" s="7">
        <v>422988.23664999998</v>
      </c>
      <c r="I1252" s="7">
        <v>243150.5111</v>
      </c>
      <c r="J1252" s="80">
        <v>166.22265328503801</v>
      </c>
      <c r="K1252" s="80">
        <v>-22.013315164330599</v>
      </c>
      <c r="L1252" s="71">
        <v>155</v>
      </c>
      <c r="M1252" s="73">
        <v>2</v>
      </c>
      <c r="N1252" s="73">
        <v>2</v>
      </c>
      <c r="O1252" s="73">
        <v>1</v>
      </c>
      <c r="P1252" s="17" t="s">
        <v>37</v>
      </c>
      <c r="Q1252" t="str">
        <f>LEFT(B1252,3)</f>
        <v>TON</v>
      </c>
    </row>
    <row r="1253" spans="1:17">
      <c r="A1253" s="17" t="s">
        <v>3758</v>
      </c>
      <c r="B1253" s="17" t="s">
        <v>2238</v>
      </c>
      <c r="C1253" s="13" t="s">
        <v>2239</v>
      </c>
      <c r="D1253" s="13" t="s">
        <v>2239</v>
      </c>
      <c r="E1253" s="17" t="s">
        <v>56</v>
      </c>
      <c r="F1253" s="17" t="s">
        <v>43</v>
      </c>
      <c r="G1253" s="17" t="s">
        <v>50</v>
      </c>
      <c r="H1253" s="7">
        <v>422988.23664999998</v>
      </c>
      <c r="I1253" s="7">
        <v>243150.5111</v>
      </c>
      <c r="J1253" s="80">
        <v>166.22265328503801</v>
      </c>
      <c r="K1253" s="80">
        <v>-22.013315164330599</v>
      </c>
      <c r="L1253" s="71">
        <v>255</v>
      </c>
      <c r="M1253" s="73">
        <v>2</v>
      </c>
      <c r="N1253" s="73">
        <v>2</v>
      </c>
      <c r="O1253" s="73">
        <v>1</v>
      </c>
      <c r="P1253" s="17" t="s">
        <v>37</v>
      </c>
      <c r="Q1253" t="str">
        <f>LEFT(B1253,3)</f>
        <v>TON</v>
      </c>
    </row>
    <row r="1254" spans="1:17">
      <c r="A1254" s="17" t="s">
        <v>3759</v>
      </c>
      <c r="B1254" s="17" t="s">
        <v>2242</v>
      </c>
      <c r="C1254" s="17" t="s">
        <v>2243</v>
      </c>
      <c r="D1254" s="17" t="s">
        <v>2243</v>
      </c>
      <c r="E1254" s="17" t="s">
        <v>29</v>
      </c>
      <c r="F1254" s="17" t="s">
        <v>43</v>
      </c>
      <c r="G1254" s="17" t="s">
        <v>30</v>
      </c>
      <c r="H1254" s="17">
        <v>445266</v>
      </c>
      <c r="I1254" s="17">
        <v>214329</v>
      </c>
      <c r="J1254" s="80">
        <v>166.43921</v>
      </c>
      <c r="K1254" s="80">
        <v>-22.27319</v>
      </c>
      <c r="L1254" s="71">
        <v>180</v>
      </c>
      <c r="M1254" s="73">
        <v>2</v>
      </c>
      <c r="N1254" s="73">
        <v>2</v>
      </c>
      <c r="O1254" s="73">
        <v>0</v>
      </c>
      <c r="P1254" s="17" t="s">
        <v>37</v>
      </c>
      <c r="Q1254" t="str">
        <f>LEFT(B1254,3)</f>
        <v>TOO</v>
      </c>
    </row>
    <row r="1255" spans="1:17">
      <c r="A1255" s="17" t="s">
        <v>3760</v>
      </c>
      <c r="B1255" s="17" t="s">
        <v>2242</v>
      </c>
      <c r="C1255" s="17" t="s">
        <v>2243</v>
      </c>
      <c r="D1255" s="17" t="s">
        <v>2243</v>
      </c>
      <c r="E1255" s="17" t="s">
        <v>29</v>
      </c>
      <c r="F1255" s="17" t="s">
        <v>43</v>
      </c>
      <c r="G1255" s="17" t="s">
        <v>30</v>
      </c>
      <c r="H1255" s="17">
        <v>445266</v>
      </c>
      <c r="I1255" s="17">
        <v>214329</v>
      </c>
      <c r="J1255" s="80">
        <v>166.43921</v>
      </c>
      <c r="K1255" s="80">
        <v>-22.27319</v>
      </c>
      <c r="L1255" s="71">
        <v>354</v>
      </c>
      <c r="M1255" s="73">
        <v>2</v>
      </c>
      <c r="N1255" s="73">
        <v>2</v>
      </c>
      <c r="O1255" s="73">
        <v>0</v>
      </c>
      <c r="P1255" s="17" t="s">
        <v>37</v>
      </c>
      <c r="Q1255" t="str">
        <f>LEFT(B1255,3)</f>
        <v>TOO</v>
      </c>
    </row>
    <row r="1256" spans="1:17">
      <c r="A1256" s="6" t="s">
        <v>3761</v>
      </c>
      <c r="B1256" s="6" t="s">
        <v>2246</v>
      </c>
      <c r="C1256" s="13" t="s">
        <v>2247</v>
      </c>
      <c r="D1256" s="13" t="s">
        <v>2248</v>
      </c>
      <c r="E1256" s="17" t="s">
        <v>56</v>
      </c>
      <c r="F1256" s="17" t="s">
        <v>43</v>
      </c>
      <c r="G1256" s="17" t="s">
        <v>50</v>
      </c>
      <c r="H1256" s="7">
        <v>423425</v>
      </c>
      <c r="I1256" s="7">
        <v>242700</v>
      </c>
      <c r="J1256" s="80">
        <v>166.22689199999999</v>
      </c>
      <c r="K1256" s="80">
        <v>-22.017382999999999</v>
      </c>
      <c r="L1256" s="71">
        <v>60</v>
      </c>
      <c r="M1256" s="73">
        <v>1</v>
      </c>
      <c r="N1256" s="73">
        <v>2</v>
      </c>
      <c r="O1256" s="73">
        <v>1</v>
      </c>
      <c r="P1256" s="17" t="s">
        <v>37</v>
      </c>
      <c r="Q1256" t="str">
        <f>LEFT(B1256,3)</f>
        <v>TOT</v>
      </c>
    </row>
    <row r="1257" spans="1:17">
      <c r="A1257" s="6" t="s">
        <v>3762</v>
      </c>
      <c r="B1257" s="6" t="s">
        <v>2246</v>
      </c>
      <c r="C1257" s="13" t="s">
        <v>2247</v>
      </c>
      <c r="D1257" s="13" t="s">
        <v>2248</v>
      </c>
      <c r="E1257" s="17" t="s">
        <v>56</v>
      </c>
      <c r="F1257" s="17" t="s">
        <v>43</v>
      </c>
      <c r="G1257" s="17" t="s">
        <v>50</v>
      </c>
      <c r="H1257" s="7">
        <v>423425</v>
      </c>
      <c r="I1257" s="7">
        <v>242700</v>
      </c>
      <c r="J1257" s="80">
        <v>166.22689199999999</v>
      </c>
      <c r="K1257" s="80">
        <v>-22.017382999999999</v>
      </c>
      <c r="L1257" s="71">
        <v>165</v>
      </c>
      <c r="M1257" s="73">
        <v>1</v>
      </c>
      <c r="N1257" s="73">
        <v>2</v>
      </c>
      <c r="O1257" s="73">
        <v>1</v>
      </c>
      <c r="P1257" s="17" t="s">
        <v>37</v>
      </c>
      <c r="Q1257" t="str">
        <f>LEFT(B1257,3)</f>
        <v>TOT</v>
      </c>
    </row>
    <row r="1258" spans="1:17">
      <c r="A1258" s="6" t="s">
        <v>3763</v>
      </c>
      <c r="B1258" s="6" t="s">
        <v>2246</v>
      </c>
      <c r="C1258" s="13" t="s">
        <v>2247</v>
      </c>
      <c r="D1258" s="13" t="s">
        <v>2248</v>
      </c>
      <c r="E1258" s="17" t="s">
        <v>56</v>
      </c>
      <c r="F1258" s="17" t="s">
        <v>43</v>
      </c>
      <c r="G1258" s="17" t="s">
        <v>50</v>
      </c>
      <c r="H1258" s="7">
        <v>423425</v>
      </c>
      <c r="I1258" s="7">
        <v>242700</v>
      </c>
      <c r="J1258" s="80">
        <v>166.22689199999999</v>
      </c>
      <c r="K1258" s="80">
        <v>-22.017382999999999</v>
      </c>
      <c r="L1258" s="71">
        <v>280</v>
      </c>
      <c r="M1258" s="73">
        <v>1</v>
      </c>
      <c r="N1258" s="73">
        <v>2</v>
      </c>
      <c r="O1258" s="73">
        <v>1</v>
      </c>
      <c r="P1258" s="17" t="s">
        <v>37</v>
      </c>
      <c r="Q1258" t="str">
        <f>LEFT(B1258,3)</f>
        <v>TOT</v>
      </c>
    </row>
    <row r="1259" spans="1:17">
      <c r="A1259" s="17" t="s">
        <v>3764</v>
      </c>
      <c r="B1259" s="17" t="s">
        <v>2250</v>
      </c>
      <c r="C1259" s="13" t="s">
        <v>978</v>
      </c>
      <c r="D1259" s="13" t="s">
        <v>978</v>
      </c>
      <c r="E1259" s="17" t="s">
        <v>978</v>
      </c>
      <c r="F1259" s="17" t="s">
        <v>68</v>
      </c>
      <c r="G1259" s="17" t="s">
        <v>68</v>
      </c>
      <c r="H1259" s="7">
        <v>320582.97563</v>
      </c>
      <c r="I1259" s="7">
        <v>379130.47758000001</v>
      </c>
      <c r="J1259" s="80">
        <v>165.23722816078401</v>
      </c>
      <c r="K1259" s="80">
        <v>-20.783500421817799</v>
      </c>
      <c r="L1259" s="71">
        <v>0</v>
      </c>
      <c r="M1259" s="73">
        <v>1</v>
      </c>
      <c r="N1259" s="73">
        <v>1</v>
      </c>
      <c r="O1259" s="73">
        <v>1</v>
      </c>
      <c r="P1259" s="17" t="s">
        <v>47</v>
      </c>
      <c r="Q1259" t="str">
        <f>LEFT(B1259,3)</f>
        <v>TOU</v>
      </c>
    </row>
    <row r="1260" spans="1:17">
      <c r="A1260" s="6" t="s">
        <v>3765</v>
      </c>
      <c r="B1260" s="6" t="s">
        <v>2254</v>
      </c>
      <c r="C1260" s="6" t="s">
        <v>2255</v>
      </c>
      <c r="D1260" s="6" t="s">
        <v>2256</v>
      </c>
      <c r="E1260" s="17" t="s">
        <v>978</v>
      </c>
      <c r="F1260" s="17" t="s">
        <v>68</v>
      </c>
      <c r="G1260" s="17" t="s">
        <v>68</v>
      </c>
      <c r="H1260" s="7">
        <v>319507</v>
      </c>
      <c r="I1260" s="7">
        <v>379364</v>
      </c>
      <c r="J1260" s="8">
        <v>165.22690499999999</v>
      </c>
      <c r="K1260" s="8">
        <v>-20.781338999999999</v>
      </c>
      <c r="L1260" s="71">
        <v>71</v>
      </c>
      <c r="M1260" s="73">
        <v>1</v>
      </c>
      <c r="N1260" s="73">
        <v>1</v>
      </c>
      <c r="O1260" s="73">
        <v>1</v>
      </c>
      <c r="P1260" s="17" t="s">
        <v>47</v>
      </c>
      <c r="Q1260" t="str">
        <f>LEFT(B1260,3)</f>
        <v>TOV</v>
      </c>
    </row>
    <row r="1261" spans="1:17">
      <c r="A1261" s="6" t="s">
        <v>3766</v>
      </c>
      <c r="B1261" s="6" t="s">
        <v>2254</v>
      </c>
      <c r="C1261" s="6" t="s">
        <v>2255</v>
      </c>
      <c r="D1261" s="6" t="s">
        <v>2256</v>
      </c>
      <c r="E1261" s="17" t="s">
        <v>978</v>
      </c>
      <c r="F1261" s="17" t="s">
        <v>68</v>
      </c>
      <c r="G1261" s="17" t="s">
        <v>68</v>
      </c>
      <c r="H1261" s="7">
        <v>319507</v>
      </c>
      <c r="I1261" s="7">
        <v>379364</v>
      </c>
      <c r="J1261" s="8">
        <v>165.22690499999999</v>
      </c>
      <c r="K1261" s="8">
        <v>-20.781338999999999</v>
      </c>
      <c r="L1261" s="71">
        <v>268</v>
      </c>
      <c r="M1261" s="73">
        <v>1</v>
      </c>
      <c r="N1261" s="73">
        <v>1</v>
      </c>
      <c r="O1261" s="73">
        <v>1</v>
      </c>
      <c r="P1261" s="17" t="s">
        <v>47</v>
      </c>
      <c r="Q1261" t="str">
        <f>LEFT(B1261,3)</f>
        <v>TOV</v>
      </c>
    </row>
    <row r="1262" spans="1:17">
      <c r="A1262" s="6" t="s">
        <v>3767</v>
      </c>
      <c r="B1262" s="6" t="s">
        <v>2254</v>
      </c>
      <c r="C1262" s="6" t="s">
        <v>2255</v>
      </c>
      <c r="D1262" s="6" t="s">
        <v>2256</v>
      </c>
      <c r="E1262" s="17" t="s">
        <v>978</v>
      </c>
      <c r="F1262" s="17" t="s">
        <v>68</v>
      </c>
      <c r="G1262" s="17" t="s">
        <v>68</v>
      </c>
      <c r="H1262" s="7">
        <v>319507</v>
      </c>
      <c r="I1262" s="7">
        <v>379364</v>
      </c>
      <c r="J1262" s="8">
        <v>165.22690499999999</v>
      </c>
      <c r="K1262" s="8">
        <v>-20.781338999999999</v>
      </c>
      <c r="L1262" s="71">
        <v>333</v>
      </c>
      <c r="M1262" s="73">
        <v>1</v>
      </c>
      <c r="N1262" s="73">
        <v>1</v>
      </c>
      <c r="O1262" s="73">
        <v>1</v>
      </c>
      <c r="P1262" s="17" t="s">
        <v>47</v>
      </c>
      <c r="Q1262" t="str">
        <f>LEFT(B1262,3)</f>
        <v>TOV</v>
      </c>
    </row>
    <row r="1263" spans="1:17">
      <c r="A1263" s="17" t="s">
        <v>3768</v>
      </c>
      <c r="B1263" s="17" t="s">
        <v>2258</v>
      </c>
      <c r="C1263" s="13" t="s">
        <v>2259</v>
      </c>
      <c r="D1263" s="13" t="s">
        <v>2259</v>
      </c>
      <c r="E1263" s="17" t="s">
        <v>373</v>
      </c>
      <c r="F1263" s="17" t="s">
        <v>129</v>
      </c>
      <c r="G1263" s="17" t="s">
        <v>129</v>
      </c>
      <c r="H1263" s="7">
        <v>535463.92741</v>
      </c>
      <c r="I1263" s="7">
        <v>363180.01897999999</v>
      </c>
      <c r="J1263" s="80">
        <v>167.30233968089999</v>
      </c>
      <c r="K1263" s="80">
        <v>-20.924223082569998</v>
      </c>
      <c r="L1263" s="71">
        <v>5</v>
      </c>
      <c r="M1263" s="73">
        <v>1</v>
      </c>
      <c r="N1263" s="73">
        <v>1</v>
      </c>
      <c r="O1263" s="73">
        <v>1</v>
      </c>
      <c r="P1263" s="17" t="s">
        <v>47</v>
      </c>
      <c r="Q1263" t="str">
        <f>LEFT(B1263,3)</f>
        <v>TPT</v>
      </c>
    </row>
    <row r="1264" spans="1:17">
      <c r="A1264" s="17" t="s">
        <v>3769</v>
      </c>
      <c r="B1264" s="17" t="s">
        <v>2258</v>
      </c>
      <c r="C1264" s="13" t="s">
        <v>2259</v>
      </c>
      <c r="D1264" s="13" t="s">
        <v>2259</v>
      </c>
      <c r="E1264" s="17" t="s">
        <v>373</v>
      </c>
      <c r="F1264" s="17" t="s">
        <v>129</v>
      </c>
      <c r="G1264" s="17" t="s">
        <v>129</v>
      </c>
      <c r="H1264" s="7">
        <v>535463.92741</v>
      </c>
      <c r="I1264" s="7">
        <v>363180.01897999999</v>
      </c>
      <c r="J1264" s="80">
        <v>167.30233968089999</v>
      </c>
      <c r="K1264" s="80">
        <v>-20.924223082569998</v>
      </c>
      <c r="L1264" s="71">
        <v>110</v>
      </c>
      <c r="M1264" s="73">
        <v>1</v>
      </c>
      <c r="N1264" s="73">
        <v>1</v>
      </c>
      <c r="O1264" s="73">
        <v>1</v>
      </c>
      <c r="P1264" s="17" t="s">
        <v>47</v>
      </c>
      <c r="Q1264" t="str">
        <f>LEFT(B1264,3)</f>
        <v>TPT</v>
      </c>
    </row>
    <row r="1265" spans="1:17">
      <c r="A1265" s="17" t="s">
        <v>3770</v>
      </c>
      <c r="B1265" s="17" t="s">
        <v>2258</v>
      </c>
      <c r="C1265" s="13" t="s">
        <v>2259</v>
      </c>
      <c r="D1265" s="13" t="s">
        <v>2259</v>
      </c>
      <c r="E1265" s="17" t="s">
        <v>373</v>
      </c>
      <c r="F1265" s="17" t="s">
        <v>129</v>
      </c>
      <c r="G1265" s="17" t="s">
        <v>129</v>
      </c>
      <c r="H1265" s="7">
        <v>535463.92741</v>
      </c>
      <c r="I1265" s="7">
        <v>363180.01897999999</v>
      </c>
      <c r="J1265" s="80">
        <v>167.30233968089999</v>
      </c>
      <c r="K1265" s="80">
        <v>-20.924223082569998</v>
      </c>
      <c r="L1265" s="71">
        <v>240</v>
      </c>
      <c r="M1265" s="73">
        <v>1</v>
      </c>
      <c r="N1265" s="73">
        <v>1</v>
      </c>
      <c r="O1265" s="73">
        <v>1</v>
      </c>
      <c r="P1265" s="17" t="s">
        <v>47</v>
      </c>
      <c r="Q1265" t="str">
        <f>LEFT(B1265,3)</f>
        <v>TPT</v>
      </c>
    </row>
    <row r="1266" spans="1:17">
      <c r="A1266" s="17" t="s">
        <v>3771</v>
      </c>
      <c r="B1266" s="17" t="s">
        <v>2262</v>
      </c>
      <c r="C1266" s="13" t="s">
        <v>2263</v>
      </c>
      <c r="D1266" s="13" t="s">
        <v>2263</v>
      </c>
      <c r="E1266" s="17" t="s">
        <v>224</v>
      </c>
      <c r="F1266" s="17" t="s">
        <v>68</v>
      </c>
      <c r="G1266" s="17" t="s">
        <v>68</v>
      </c>
      <c r="H1266" s="7">
        <v>228191.02436000001</v>
      </c>
      <c r="I1266" s="7">
        <v>437387.19293999998</v>
      </c>
      <c r="J1266" s="80">
        <v>164.35576908785899</v>
      </c>
      <c r="K1266" s="80">
        <v>-20.2509041684932</v>
      </c>
      <c r="L1266" s="71">
        <v>130</v>
      </c>
      <c r="M1266" s="73">
        <v>1</v>
      </c>
      <c r="N1266" s="73">
        <v>1</v>
      </c>
      <c r="O1266" s="73">
        <v>1</v>
      </c>
      <c r="P1266" s="17" t="s">
        <v>47</v>
      </c>
      <c r="Q1266" t="str">
        <f>LEFT(B1266,3)</f>
        <v>TRI</v>
      </c>
    </row>
    <row r="1267" spans="1:17">
      <c r="A1267" s="17" t="s">
        <v>3772</v>
      </c>
      <c r="B1267" s="17" t="s">
        <v>2262</v>
      </c>
      <c r="C1267" s="13" t="s">
        <v>2263</v>
      </c>
      <c r="D1267" s="13" t="s">
        <v>2263</v>
      </c>
      <c r="E1267" s="17" t="s">
        <v>224</v>
      </c>
      <c r="F1267" s="17" t="s">
        <v>68</v>
      </c>
      <c r="G1267" s="17" t="s">
        <v>68</v>
      </c>
      <c r="H1267" s="7">
        <v>228191.02436000001</v>
      </c>
      <c r="I1267" s="7">
        <v>437387.19293999998</v>
      </c>
      <c r="J1267" s="80">
        <v>164.35576908785899</v>
      </c>
      <c r="K1267" s="80">
        <v>-20.2509041684932</v>
      </c>
      <c r="L1267" s="71">
        <v>300</v>
      </c>
      <c r="M1267" s="73">
        <v>1</v>
      </c>
      <c r="N1267" s="73">
        <v>1</v>
      </c>
      <c r="O1267" s="73">
        <v>1</v>
      </c>
      <c r="P1267" s="17" t="s">
        <v>47</v>
      </c>
      <c r="Q1267" t="str">
        <f>LEFT(B1267,3)</f>
        <v>TRI</v>
      </c>
    </row>
    <row r="1268" spans="1:17">
      <c r="A1268" s="17" t="s">
        <v>3773</v>
      </c>
      <c r="B1268" s="17" t="s">
        <v>2267</v>
      </c>
      <c r="C1268" s="13" t="s">
        <v>2268</v>
      </c>
      <c r="D1268" s="13" t="s">
        <v>2269</v>
      </c>
      <c r="E1268" s="17" t="s">
        <v>93</v>
      </c>
      <c r="F1268" s="17" t="s">
        <v>43</v>
      </c>
      <c r="G1268" s="17" t="s">
        <v>50</v>
      </c>
      <c r="H1268" s="7">
        <v>453537</v>
      </c>
      <c r="I1268" s="7">
        <v>220139</v>
      </c>
      <c r="J1268" s="79">
        <v>166.51928000000001</v>
      </c>
      <c r="K1268" s="79">
        <v>-22.220490000000002</v>
      </c>
      <c r="L1268" s="71">
        <v>255</v>
      </c>
      <c r="M1268" s="73">
        <v>3</v>
      </c>
      <c r="N1268" s="73">
        <v>3</v>
      </c>
      <c r="O1268" s="73">
        <v>0</v>
      </c>
      <c r="P1268" s="17" t="s">
        <v>37</v>
      </c>
      <c r="Q1268" t="str">
        <f>LEFT(B1268,3)</f>
        <v>TRO</v>
      </c>
    </row>
    <row r="1269" spans="1:17">
      <c r="A1269" s="17" t="s">
        <v>3774</v>
      </c>
      <c r="B1269" s="17" t="s">
        <v>2267</v>
      </c>
      <c r="C1269" s="13" t="s">
        <v>2268</v>
      </c>
      <c r="D1269" s="13" t="s">
        <v>2269</v>
      </c>
      <c r="E1269" s="17" t="s">
        <v>93</v>
      </c>
      <c r="F1269" s="17" t="s">
        <v>43</v>
      </c>
      <c r="G1269" s="17" t="s">
        <v>50</v>
      </c>
      <c r="H1269" s="7">
        <v>453537</v>
      </c>
      <c r="I1269" s="7">
        <v>220139</v>
      </c>
      <c r="J1269" s="79">
        <v>166.51928000000001</v>
      </c>
      <c r="K1269" s="79">
        <v>-22.220490000000002</v>
      </c>
      <c r="L1269" s="71">
        <v>335</v>
      </c>
      <c r="M1269" s="73">
        <v>3</v>
      </c>
      <c r="N1269" s="73">
        <v>3</v>
      </c>
      <c r="O1269" s="73">
        <v>0</v>
      </c>
      <c r="P1269" s="17" t="s">
        <v>37</v>
      </c>
      <c r="Q1269" t="str">
        <f>LEFT(B1269,3)</f>
        <v>TRO</v>
      </c>
    </row>
    <row r="1270" spans="1:17">
      <c r="A1270" s="17" t="s">
        <v>3775</v>
      </c>
      <c r="B1270" s="17" t="s">
        <v>2267</v>
      </c>
      <c r="C1270" s="13" t="s">
        <v>2268</v>
      </c>
      <c r="D1270" s="13" t="s">
        <v>2269</v>
      </c>
      <c r="E1270" s="17" t="s">
        <v>93</v>
      </c>
      <c r="F1270" s="17" t="s">
        <v>43</v>
      </c>
      <c r="G1270" s="17" t="s">
        <v>50</v>
      </c>
      <c r="H1270" s="7">
        <v>453537</v>
      </c>
      <c r="I1270" s="7">
        <v>220139</v>
      </c>
      <c r="J1270" s="79">
        <v>166.51928000000001</v>
      </c>
      <c r="K1270" s="79">
        <v>-22.220490000000002</v>
      </c>
      <c r="L1270" s="71">
        <v>335</v>
      </c>
      <c r="M1270" s="73">
        <v>3</v>
      </c>
      <c r="N1270" s="73">
        <v>3</v>
      </c>
      <c r="O1270" s="73">
        <v>0</v>
      </c>
      <c r="P1270" s="17" t="s">
        <v>37</v>
      </c>
      <c r="Q1270" t="str">
        <f>LEFT(B1270,3)</f>
        <v>TRO</v>
      </c>
    </row>
    <row r="1271" spans="1:17">
      <c r="A1271" s="17" t="s">
        <v>3776</v>
      </c>
      <c r="B1271" s="17" t="s">
        <v>2271</v>
      </c>
      <c r="C1271" s="13" t="s">
        <v>2265</v>
      </c>
      <c r="D1271" s="13" t="s">
        <v>2265</v>
      </c>
      <c r="E1271" s="17" t="s">
        <v>224</v>
      </c>
      <c r="F1271" s="17" t="s">
        <v>68</v>
      </c>
      <c r="G1271" s="17" t="s">
        <v>68</v>
      </c>
      <c r="H1271" s="7">
        <v>225232</v>
      </c>
      <c r="I1271" s="7">
        <v>436817</v>
      </c>
      <c r="J1271" s="79">
        <v>164.32739000000001</v>
      </c>
      <c r="K1271" s="79">
        <v>-20.255769999999998</v>
      </c>
      <c r="L1271" s="71">
        <v>61</v>
      </c>
      <c r="M1271" s="73">
        <v>1</v>
      </c>
      <c r="N1271" s="73">
        <v>1</v>
      </c>
      <c r="O1271" s="73">
        <v>1</v>
      </c>
      <c r="P1271" s="17" t="s">
        <v>47</v>
      </c>
      <c r="Q1271" t="str">
        <f>LEFT(B1271,3)</f>
        <v>TRT</v>
      </c>
    </row>
    <row r="1272" spans="1:17">
      <c r="A1272" s="17" t="s">
        <v>3777</v>
      </c>
      <c r="B1272" s="17" t="s">
        <v>2271</v>
      </c>
      <c r="C1272" s="13" t="s">
        <v>2265</v>
      </c>
      <c r="D1272" s="13" t="s">
        <v>2265</v>
      </c>
      <c r="E1272" s="17" t="s">
        <v>224</v>
      </c>
      <c r="F1272" s="17" t="s">
        <v>68</v>
      </c>
      <c r="G1272" s="17" t="s">
        <v>68</v>
      </c>
      <c r="H1272" s="7">
        <v>225232</v>
      </c>
      <c r="I1272" s="7">
        <v>436817</v>
      </c>
      <c r="J1272" s="79">
        <v>164.32739000000001</v>
      </c>
      <c r="K1272" s="79">
        <v>-20.255769999999998</v>
      </c>
      <c r="L1272" s="71">
        <v>250</v>
      </c>
      <c r="M1272" s="73">
        <v>1</v>
      </c>
      <c r="N1272" s="73">
        <v>1</v>
      </c>
      <c r="O1272" s="73">
        <v>1</v>
      </c>
      <c r="P1272" s="17" t="s">
        <v>47</v>
      </c>
      <c r="Q1272" t="str">
        <f>LEFT(B1272,3)</f>
        <v>TRT</v>
      </c>
    </row>
    <row r="1273" spans="1:17">
      <c r="A1273" s="17" t="s">
        <v>3778</v>
      </c>
      <c r="B1273" s="17" t="s">
        <v>2271</v>
      </c>
      <c r="C1273" s="13" t="s">
        <v>2265</v>
      </c>
      <c r="D1273" s="13" t="s">
        <v>2265</v>
      </c>
      <c r="E1273" s="17" t="s">
        <v>224</v>
      </c>
      <c r="F1273" s="17" t="s">
        <v>68</v>
      </c>
      <c r="G1273" s="17" t="s">
        <v>68</v>
      </c>
      <c r="H1273" s="7">
        <v>225232</v>
      </c>
      <c r="I1273" s="7">
        <v>436817</v>
      </c>
      <c r="J1273" s="79">
        <v>164.32739000000001</v>
      </c>
      <c r="K1273" s="79">
        <v>-20.255769999999998</v>
      </c>
      <c r="L1273" s="71">
        <v>319</v>
      </c>
      <c r="M1273" s="73">
        <v>1</v>
      </c>
      <c r="N1273" s="73">
        <v>1</v>
      </c>
      <c r="O1273" s="73">
        <v>1</v>
      </c>
      <c r="P1273" s="17" t="s">
        <v>47</v>
      </c>
      <c r="Q1273" t="str">
        <f>LEFT(B1273,3)</f>
        <v>TRT</v>
      </c>
    </row>
    <row r="1274" spans="1:17">
      <c r="A1274" s="17" t="s">
        <v>3779</v>
      </c>
      <c r="B1274" s="17" t="s">
        <v>2274</v>
      </c>
      <c r="C1274" s="13" t="s">
        <v>2275</v>
      </c>
      <c r="D1274" s="13" t="s">
        <v>2275</v>
      </c>
      <c r="E1274" s="17" t="s">
        <v>437</v>
      </c>
      <c r="F1274" s="17" t="s">
        <v>68</v>
      </c>
      <c r="G1274" s="17" t="s">
        <v>68</v>
      </c>
      <c r="H1274" s="7">
        <v>240826.45280999999</v>
      </c>
      <c r="I1274" s="7">
        <v>376100.51630999998</v>
      </c>
      <c r="J1274" s="80">
        <v>164.47094280443699</v>
      </c>
      <c r="K1274" s="80">
        <v>-20.8055785190748</v>
      </c>
      <c r="L1274" s="71">
        <v>50</v>
      </c>
      <c r="M1274" s="73">
        <v>1</v>
      </c>
      <c r="N1274" s="73">
        <v>2</v>
      </c>
      <c r="O1274" s="73">
        <v>1</v>
      </c>
      <c r="P1274" s="17" t="s">
        <v>47</v>
      </c>
      <c r="Q1274" t="str">
        <f>LEFT(B1274,3)</f>
        <v>TSI</v>
      </c>
    </row>
    <row r="1275" spans="1:17">
      <c r="A1275" s="17" t="s">
        <v>3780</v>
      </c>
      <c r="B1275" s="17" t="s">
        <v>2274</v>
      </c>
      <c r="C1275" s="13" t="s">
        <v>2275</v>
      </c>
      <c r="D1275" s="13" t="s">
        <v>2275</v>
      </c>
      <c r="E1275" s="17" t="s">
        <v>437</v>
      </c>
      <c r="F1275" s="17" t="s">
        <v>68</v>
      </c>
      <c r="G1275" s="17" t="s">
        <v>68</v>
      </c>
      <c r="H1275" s="7">
        <v>240826.45280999999</v>
      </c>
      <c r="I1275" s="7">
        <v>376100.51630999998</v>
      </c>
      <c r="J1275" s="80">
        <v>164.47094280443699</v>
      </c>
      <c r="K1275" s="80">
        <v>-20.8055785190748</v>
      </c>
      <c r="L1275" s="71">
        <v>140</v>
      </c>
      <c r="M1275" s="73">
        <v>1</v>
      </c>
      <c r="N1275" s="73">
        <v>2</v>
      </c>
      <c r="O1275" s="73">
        <v>1</v>
      </c>
      <c r="P1275" s="17" t="s">
        <v>47</v>
      </c>
      <c r="Q1275" t="str">
        <f>LEFT(B1275,3)</f>
        <v>TSI</v>
      </c>
    </row>
    <row r="1276" spans="1:17">
      <c r="A1276" s="17" t="s">
        <v>3781</v>
      </c>
      <c r="B1276" s="17" t="s">
        <v>2274</v>
      </c>
      <c r="C1276" s="13" t="s">
        <v>2275</v>
      </c>
      <c r="D1276" s="13" t="s">
        <v>2275</v>
      </c>
      <c r="E1276" s="17" t="s">
        <v>437</v>
      </c>
      <c r="F1276" s="17" t="s">
        <v>68</v>
      </c>
      <c r="G1276" s="17" t="s">
        <v>68</v>
      </c>
      <c r="H1276" s="7">
        <v>240826.45280999999</v>
      </c>
      <c r="I1276" s="7">
        <v>376100.51630999998</v>
      </c>
      <c r="J1276" s="80">
        <v>164.47094280443699</v>
      </c>
      <c r="K1276" s="80">
        <v>-20.8055785190748</v>
      </c>
      <c r="L1276" s="71">
        <v>230</v>
      </c>
      <c r="M1276" s="73">
        <v>1</v>
      </c>
      <c r="N1276" s="73">
        <v>2</v>
      </c>
      <c r="O1276" s="73">
        <v>1</v>
      </c>
      <c r="P1276" s="17" t="s">
        <v>47</v>
      </c>
      <c r="Q1276" t="str">
        <f>LEFT(B1276,3)</f>
        <v>TSI</v>
      </c>
    </row>
    <row r="1277" spans="1:17">
      <c r="A1277" s="17" t="s">
        <v>3782</v>
      </c>
      <c r="B1277" s="17" t="s">
        <v>2274</v>
      </c>
      <c r="C1277" s="13" t="s">
        <v>2275</v>
      </c>
      <c r="D1277" s="13" t="s">
        <v>2275</v>
      </c>
      <c r="E1277" s="17" t="s">
        <v>437</v>
      </c>
      <c r="F1277" s="17" t="s">
        <v>68</v>
      </c>
      <c r="G1277" s="17" t="s">
        <v>68</v>
      </c>
      <c r="H1277" s="7">
        <v>240826.45280999999</v>
      </c>
      <c r="I1277" s="7">
        <v>376100.51630999998</v>
      </c>
      <c r="J1277" s="80">
        <v>164.47094280443699</v>
      </c>
      <c r="K1277" s="80">
        <v>-20.8055785190748</v>
      </c>
      <c r="L1277" s="71">
        <v>320</v>
      </c>
      <c r="M1277" s="73">
        <v>1</v>
      </c>
      <c r="N1277" s="73">
        <v>2</v>
      </c>
      <c r="O1277" s="73">
        <v>1</v>
      </c>
      <c r="P1277" s="17" t="s">
        <v>47</v>
      </c>
      <c r="Q1277" t="str">
        <f>LEFT(B1277,3)</f>
        <v>TSI</v>
      </c>
    </row>
    <row r="1278" spans="1:17">
      <c r="A1278" s="17" t="s">
        <v>3783</v>
      </c>
      <c r="B1278" s="17" t="s">
        <v>2278</v>
      </c>
      <c r="C1278" s="13" t="s">
        <v>2279</v>
      </c>
      <c r="D1278" s="13" t="s">
        <v>2279</v>
      </c>
      <c r="E1278" s="17" t="s">
        <v>249</v>
      </c>
      <c r="F1278" s="17" t="s">
        <v>68</v>
      </c>
      <c r="G1278" s="17" t="s">
        <v>68</v>
      </c>
      <c r="H1278" s="7">
        <v>268926.41206</v>
      </c>
      <c r="I1278" s="7">
        <v>363600.28681999998</v>
      </c>
      <c r="J1278" s="80">
        <v>164.739896104124</v>
      </c>
      <c r="K1278" s="80">
        <v>-20.920754500747702</v>
      </c>
      <c r="L1278" s="71">
        <v>0</v>
      </c>
      <c r="M1278" s="73">
        <v>1</v>
      </c>
      <c r="N1278" s="73">
        <v>1</v>
      </c>
      <c r="O1278" s="73">
        <v>1</v>
      </c>
      <c r="P1278" s="17" t="s">
        <v>47</v>
      </c>
      <c r="Q1278" t="str">
        <f>LEFT(B1278,3)</f>
        <v>TTA</v>
      </c>
    </row>
    <row r="1279" spans="1:17">
      <c r="A1279" s="17" t="s">
        <v>3784</v>
      </c>
      <c r="B1279" s="17" t="s">
        <v>2282</v>
      </c>
      <c r="C1279" s="13" t="s">
        <v>2284</v>
      </c>
      <c r="D1279" s="13" t="s">
        <v>2283</v>
      </c>
      <c r="E1279" s="17" t="s">
        <v>249</v>
      </c>
      <c r="F1279" s="17" t="s">
        <v>68</v>
      </c>
      <c r="G1279" s="17" t="s">
        <v>68</v>
      </c>
      <c r="H1279" s="7">
        <v>270948</v>
      </c>
      <c r="I1279" s="7">
        <v>363931</v>
      </c>
      <c r="J1279" s="80">
        <v>164.75935899999999</v>
      </c>
      <c r="K1279" s="80">
        <v>-20.917911</v>
      </c>
      <c r="L1279" s="71">
        <v>100</v>
      </c>
      <c r="M1279" s="73">
        <v>1</v>
      </c>
      <c r="N1279" s="73">
        <v>1</v>
      </c>
      <c r="O1279" s="73">
        <v>0</v>
      </c>
      <c r="P1279" s="17" t="s">
        <v>47</v>
      </c>
      <c r="Q1279" t="str">
        <f>LEFT(B1279,3)</f>
        <v>TTD</v>
      </c>
    </row>
    <row r="1280" spans="1:17">
      <c r="A1280" s="17" t="s">
        <v>3785</v>
      </c>
      <c r="B1280" s="17" t="s">
        <v>2282</v>
      </c>
      <c r="C1280" s="13" t="s">
        <v>2284</v>
      </c>
      <c r="D1280" s="13" t="s">
        <v>2283</v>
      </c>
      <c r="E1280" s="17" t="s">
        <v>249</v>
      </c>
      <c r="F1280" s="17" t="s">
        <v>68</v>
      </c>
      <c r="G1280" s="17" t="s">
        <v>68</v>
      </c>
      <c r="H1280" s="7">
        <v>270948</v>
      </c>
      <c r="I1280" s="7">
        <v>363931</v>
      </c>
      <c r="J1280" s="80">
        <v>164.75935899999999</v>
      </c>
      <c r="K1280" s="80">
        <v>-20.917911</v>
      </c>
      <c r="L1280" s="71">
        <v>230</v>
      </c>
      <c r="M1280" s="73">
        <v>1</v>
      </c>
      <c r="N1280" s="73">
        <v>1</v>
      </c>
      <c r="O1280" s="73">
        <v>0</v>
      </c>
      <c r="P1280" s="17" t="s">
        <v>47</v>
      </c>
      <c r="Q1280" t="str">
        <f>LEFT(B1280,3)</f>
        <v>TTD</v>
      </c>
    </row>
    <row r="1281" spans="1:17">
      <c r="A1281" s="17" t="s">
        <v>3786</v>
      </c>
      <c r="B1281" s="17" t="s">
        <v>2282</v>
      </c>
      <c r="C1281" s="13" t="s">
        <v>2284</v>
      </c>
      <c r="D1281" s="13" t="s">
        <v>2283</v>
      </c>
      <c r="E1281" s="17" t="s">
        <v>249</v>
      </c>
      <c r="F1281" s="17" t="s">
        <v>68</v>
      </c>
      <c r="G1281" s="17" t="s">
        <v>68</v>
      </c>
      <c r="H1281" s="7">
        <v>270948</v>
      </c>
      <c r="I1281" s="7">
        <v>363931</v>
      </c>
      <c r="J1281" s="80">
        <v>164.75935899999999</v>
      </c>
      <c r="K1281" s="80">
        <v>-20.917911</v>
      </c>
      <c r="L1281" s="71">
        <v>322</v>
      </c>
      <c r="M1281" s="73">
        <v>1</v>
      </c>
      <c r="N1281" s="73">
        <v>1</v>
      </c>
      <c r="O1281" s="73">
        <v>0</v>
      </c>
      <c r="P1281" s="17" t="s">
        <v>47</v>
      </c>
      <c r="Q1281" t="str">
        <f>LEFT(B1281,3)</f>
        <v>TTD</v>
      </c>
    </row>
    <row r="1282" spans="1:17">
      <c r="A1282" s="17" t="s">
        <v>3787</v>
      </c>
      <c r="B1282" s="17" t="s">
        <v>2286</v>
      </c>
      <c r="C1282" s="13" t="s">
        <v>2287</v>
      </c>
      <c r="D1282" s="13" t="s">
        <v>2287</v>
      </c>
      <c r="E1282" s="17" t="s">
        <v>104</v>
      </c>
      <c r="F1282" s="17" t="s">
        <v>68</v>
      </c>
      <c r="G1282" s="17" t="s">
        <v>68</v>
      </c>
      <c r="H1282" s="7">
        <v>329279.82971000002</v>
      </c>
      <c r="I1282" s="7">
        <v>363066.74445</v>
      </c>
      <c r="J1282" s="80">
        <v>165.32008760740001</v>
      </c>
      <c r="K1282" s="80">
        <v>-20.928951479743102</v>
      </c>
      <c r="L1282" s="71">
        <v>0</v>
      </c>
      <c r="M1282" s="73">
        <v>1</v>
      </c>
      <c r="N1282" s="73">
        <v>1</v>
      </c>
      <c r="O1282" s="73">
        <v>1</v>
      </c>
      <c r="P1282" s="17" t="s">
        <v>47</v>
      </c>
      <c r="Q1282" t="str">
        <f>LEFT(B1282,3)</f>
        <v>TTI</v>
      </c>
    </row>
    <row r="1283" spans="1:17">
      <c r="A1283" s="17" t="s">
        <v>3788</v>
      </c>
      <c r="B1283" s="17" t="s">
        <v>2290</v>
      </c>
      <c r="C1283" s="13" t="s">
        <v>2291</v>
      </c>
      <c r="D1283" s="13" t="s">
        <v>2291</v>
      </c>
      <c r="E1283" s="17" t="s">
        <v>29</v>
      </c>
      <c r="F1283" s="17" t="s">
        <v>43</v>
      </c>
      <c r="G1283" s="17" t="s">
        <v>30</v>
      </c>
      <c r="H1283" s="7">
        <v>446923</v>
      </c>
      <c r="I1283" s="7">
        <v>212321</v>
      </c>
      <c r="J1283" s="80">
        <v>166.45534767243001</v>
      </c>
      <c r="K1283" s="80">
        <v>-22.291276043450601</v>
      </c>
      <c r="L1283" s="71">
        <v>20</v>
      </c>
      <c r="M1283" s="73">
        <v>3</v>
      </c>
      <c r="N1283" s="73">
        <v>2</v>
      </c>
      <c r="O1283" s="73">
        <v>1</v>
      </c>
      <c r="P1283" s="17" t="s">
        <v>37</v>
      </c>
      <c r="Q1283" t="str">
        <f>LEFT(B1283,3)</f>
        <v>TUB</v>
      </c>
    </row>
    <row r="1284" spans="1:17">
      <c r="A1284" s="17" t="s">
        <v>3789</v>
      </c>
      <c r="B1284" s="17" t="s">
        <v>2290</v>
      </c>
      <c r="C1284" s="13" t="s">
        <v>2291</v>
      </c>
      <c r="D1284" s="13" t="s">
        <v>2291</v>
      </c>
      <c r="E1284" s="17" t="s">
        <v>29</v>
      </c>
      <c r="F1284" s="17" t="s">
        <v>43</v>
      </c>
      <c r="G1284" s="17" t="s">
        <v>30</v>
      </c>
      <c r="H1284" s="7">
        <v>446923</v>
      </c>
      <c r="I1284" s="7">
        <v>212321</v>
      </c>
      <c r="J1284" s="80">
        <v>166.45534767243001</v>
      </c>
      <c r="K1284" s="80">
        <v>-22.291276043450601</v>
      </c>
      <c r="L1284" s="71">
        <v>140</v>
      </c>
      <c r="M1284" s="73">
        <v>3</v>
      </c>
      <c r="N1284" s="73">
        <v>2</v>
      </c>
      <c r="O1284" s="73">
        <v>0</v>
      </c>
      <c r="P1284" s="17" t="s">
        <v>37</v>
      </c>
      <c r="Q1284" t="str">
        <f>LEFT(B1284,3)</f>
        <v>TUB</v>
      </c>
    </row>
    <row r="1285" spans="1:17">
      <c r="A1285" s="17" t="s">
        <v>3790</v>
      </c>
      <c r="B1285" s="17" t="s">
        <v>2294</v>
      </c>
      <c r="C1285" s="13" t="s">
        <v>2295</v>
      </c>
      <c r="D1285" s="13" t="s">
        <v>2296</v>
      </c>
      <c r="E1285" s="17" t="s">
        <v>562</v>
      </c>
      <c r="F1285" s="17" t="s">
        <v>43</v>
      </c>
      <c r="G1285" s="17" t="s">
        <v>43</v>
      </c>
      <c r="H1285" s="7">
        <v>445050.31374000001</v>
      </c>
      <c r="I1285" s="7">
        <v>278513.68051999999</v>
      </c>
      <c r="J1285" s="80">
        <v>166.435382911213</v>
      </c>
      <c r="K1285" s="80">
        <v>-21.6935019496356</v>
      </c>
      <c r="L1285" s="71">
        <v>149</v>
      </c>
      <c r="M1285" s="73">
        <v>1</v>
      </c>
      <c r="N1285" s="73">
        <v>1</v>
      </c>
      <c r="O1285" s="73">
        <v>1</v>
      </c>
      <c r="P1285" s="17" t="s">
        <v>47</v>
      </c>
      <c r="Q1285" t="str">
        <f>LEFT(B1285,3)</f>
        <v>TUP</v>
      </c>
    </row>
    <row r="1286" spans="1:17">
      <c r="A1286" s="17" t="s">
        <v>3791</v>
      </c>
      <c r="B1286" s="17" t="s">
        <v>2294</v>
      </c>
      <c r="C1286" s="13" t="s">
        <v>2295</v>
      </c>
      <c r="D1286" s="13" t="s">
        <v>2296</v>
      </c>
      <c r="E1286" s="17" t="s">
        <v>562</v>
      </c>
      <c r="F1286" s="17" t="s">
        <v>43</v>
      </c>
      <c r="G1286" s="17" t="s">
        <v>43</v>
      </c>
      <c r="H1286" s="7">
        <v>445050.31374000001</v>
      </c>
      <c r="I1286" s="7">
        <v>278513.68051999999</v>
      </c>
      <c r="J1286" s="80">
        <v>166.435382911213</v>
      </c>
      <c r="K1286" s="80">
        <v>-21.6935019496356</v>
      </c>
      <c r="L1286" s="71">
        <v>230</v>
      </c>
      <c r="M1286" s="73">
        <v>1</v>
      </c>
      <c r="N1286" s="73">
        <v>1</v>
      </c>
      <c r="O1286" s="73">
        <v>1</v>
      </c>
      <c r="P1286" s="17" t="s">
        <v>47</v>
      </c>
      <c r="Q1286" t="str">
        <f>LEFT(B1286,3)</f>
        <v>TUP</v>
      </c>
    </row>
    <row r="1287" spans="1:17">
      <c r="A1287" s="17" t="s">
        <v>3792</v>
      </c>
      <c r="B1287" s="17" t="s">
        <v>2298</v>
      </c>
      <c r="C1287" s="13" t="s">
        <v>2176</v>
      </c>
      <c r="D1287" s="13" t="s">
        <v>2299</v>
      </c>
      <c r="E1287" s="17" t="s">
        <v>402</v>
      </c>
      <c r="F1287" s="17" t="s">
        <v>68</v>
      </c>
      <c r="G1287" s="17" t="s">
        <v>68</v>
      </c>
      <c r="H1287" s="7">
        <v>357079</v>
      </c>
      <c r="I1287" s="7">
        <v>326495</v>
      </c>
      <c r="J1287" s="80">
        <v>165.58641900000001</v>
      </c>
      <c r="K1287" s="80">
        <v>-21.260169999999999</v>
      </c>
      <c r="L1287" s="71">
        <v>20</v>
      </c>
      <c r="M1287" s="73">
        <v>1</v>
      </c>
      <c r="N1287" s="73">
        <v>1</v>
      </c>
      <c r="O1287" s="73">
        <v>0</v>
      </c>
      <c r="P1287" s="17" t="s">
        <v>47</v>
      </c>
      <c r="Q1287" t="str">
        <f>LEFT(B1287,3)</f>
        <v>TUU</v>
      </c>
    </row>
    <row r="1288" spans="1:17">
      <c r="A1288" s="17" t="s">
        <v>3793</v>
      </c>
      <c r="B1288" s="17" t="s">
        <v>2298</v>
      </c>
      <c r="C1288" s="13" t="s">
        <v>2176</v>
      </c>
      <c r="D1288" s="13" t="s">
        <v>2299</v>
      </c>
      <c r="E1288" s="17" t="s">
        <v>402</v>
      </c>
      <c r="F1288" s="17" t="s">
        <v>68</v>
      </c>
      <c r="G1288" s="17" t="s">
        <v>68</v>
      </c>
      <c r="H1288" s="7">
        <v>357079</v>
      </c>
      <c r="I1288" s="7">
        <v>326495</v>
      </c>
      <c r="J1288" s="80">
        <v>165.58641900000001</v>
      </c>
      <c r="K1288" s="80">
        <v>-21.260169999999999</v>
      </c>
      <c r="L1288" s="71">
        <v>205</v>
      </c>
      <c r="M1288" s="73">
        <v>1</v>
      </c>
      <c r="N1288" s="73">
        <v>1</v>
      </c>
      <c r="O1288" s="73">
        <v>0</v>
      </c>
      <c r="P1288" s="17" t="s">
        <v>47</v>
      </c>
      <c r="Q1288" t="str">
        <f>LEFT(B1288,3)</f>
        <v>TUU</v>
      </c>
    </row>
    <row r="1289" spans="1:17">
      <c r="A1289" s="17" t="s">
        <v>3794</v>
      </c>
      <c r="B1289" s="17" t="s">
        <v>2298</v>
      </c>
      <c r="C1289" s="13" t="s">
        <v>2176</v>
      </c>
      <c r="D1289" s="13" t="s">
        <v>2299</v>
      </c>
      <c r="E1289" s="17" t="s">
        <v>402</v>
      </c>
      <c r="F1289" s="17" t="s">
        <v>68</v>
      </c>
      <c r="G1289" s="17" t="s">
        <v>68</v>
      </c>
      <c r="H1289" s="7">
        <v>357079</v>
      </c>
      <c r="I1289" s="7">
        <v>326495</v>
      </c>
      <c r="J1289" s="80">
        <v>165.58641900000001</v>
      </c>
      <c r="K1289" s="80">
        <v>-21.260169999999999</v>
      </c>
      <c r="L1289" s="71">
        <v>295</v>
      </c>
      <c r="M1289" s="73">
        <v>1</v>
      </c>
      <c r="N1289" s="73">
        <v>1</v>
      </c>
      <c r="O1289" s="73">
        <v>0</v>
      </c>
      <c r="P1289" s="17" t="s">
        <v>47</v>
      </c>
      <c r="Q1289" t="str">
        <f>LEFT(B1289,3)</f>
        <v>TUU</v>
      </c>
    </row>
    <row r="1290" spans="1:17">
      <c r="A1290" s="17" t="s">
        <v>3795</v>
      </c>
      <c r="B1290" s="17" t="s">
        <v>2301</v>
      </c>
      <c r="C1290" s="13" t="s">
        <v>2302</v>
      </c>
      <c r="D1290" s="13" t="s">
        <v>2302</v>
      </c>
      <c r="E1290" s="17" t="s">
        <v>684</v>
      </c>
      <c r="F1290" s="17" t="s">
        <v>68</v>
      </c>
      <c r="G1290" s="17" t="s">
        <v>68</v>
      </c>
      <c r="H1290" s="7">
        <v>282481.88088999997</v>
      </c>
      <c r="I1290" s="7">
        <v>382930.76458000002</v>
      </c>
      <c r="J1290" s="80">
        <v>164.87155588079</v>
      </c>
      <c r="K1290" s="80">
        <v>-20.747086805250799</v>
      </c>
      <c r="L1290" s="71">
        <v>0</v>
      </c>
      <c r="M1290" s="73">
        <v>1</v>
      </c>
      <c r="N1290" s="73">
        <v>1</v>
      </c>
      <c r="O1290" s="73">
        <v>1</v>
      </c>
      <c r="P1290" s="17" t="s">
        <v>47</v>
      </c>
      <c r="Q1290" t="str">
        <f>LEFT(B1290,3)</f>
        <v>TVT</v>
      </c>
    </row>
    <row r="1291" spans="1:17">
      <c r="A1291" s="17" t="s">
        <v>3796</v>
      </c>
      <c r="B1291" s="17" t="s">
        <v>2301</v>
      </c>
      <c r="C1291" s="13" t="s">
        <v>2302</v>
      </c>
      <c r="D1291" s="13" t="s">
        <v>2302</v>
      </c>
      <c r="E1291" s="17" t="s">
        <v>684</v>
      </c>
      <c r="F1291" s="17" t="s">
        <v>68</v>
      </c>
      <c r="G1291" s="17" t="s">
        <v>68</v>
      </c>
      <c r="H1291" s="7">
        <v>282481.88088999997</v>
      </c>
      <c r="I1291" s="7">
        <v>382930.76458000002</v>
      </c>
      <c r="J1291" s="80">
        <v>164.87155588079</v>
      </c>
      <c r="K1291" s="80">
        <v>-20.747086805250799</v>
      </c>
      <c r="L1291" s="71">
        <v>120</v>
      </c>
      <c r="M1291" s="73">
        <v>1</v>
      </c>
      <c r="N1291" s="73">
        <v>1</v>
      </c>
      <c r="O1291" s="73">
        <v>1</v>
      </c>
      <c r="P1291" s="17" t="s">
        <v>47</v>
      </c>
      <c r="Q1291" t="str">
        <f>LEFT(B1291,3)</f>
        <v>TVT</v>
      </c>
    </row>
    <row r="1292" spans="1:17">
      <c r="A1292" s="17" t="s">
        <v>3797</v>
      </c>
      <c r="B1292" s="17" t="s">
        <v>2306</v>
      </c>
      <c r="C1292" s="17" t="s">
        <v>2307</v>
      </c>
      <c r="D1292" s="17" t="s">
        <v>2308</v>
      </c>
      <c r="E1292" s="17" t="s">
        <v>67</v>
      </c>
      <c r="F1292" s="17" t="s">
        <v>68</v>
      </c>
      <c r="G1292" s="17" t="s">
        <v>68</v>
      </c>
      <c r="H1292" s="19">
        <v>287437</v>
      </c>
      <c r="I1292" s="19">
        <v>355032</v>
      </c>
      <c r="J1292" s="80">
        <v>164.91728000000001</v>
      </c>
      <c r="K1292" s="80">
        <v>-20.999400000000001</v>
      </c>
      <c r="L1292" s="71">
        <v>15</v>
      </c>
      <c r="M1292" s="73">
        <v>1</v>
      </c>
      <c r="N1292" s="73">
        <v>1</v>
      </c>
      <c r="O1292" s="73">
        <v>0</v>
      </c>
      <c r="P1292" s="17" t="s">
        <v>47</v>
      </c>
      <c r="Q1292" t="str">
        <f>LEFT(B1292,3)</f>
        <v>TWE</v>
      </c>
    </row>
    <row r="1293" spans="1:17">
      <c r="A1293" s="17" t="s">
        <v>3798</v>
      </c>
      <c r="B1293" s="17" t="s">
        <v>2306</v>
      </c>
      <c r="C1293" s="17" t="s">
        <v>2307</v>
      </c>
      <c r="D1293" s="17" t="s">
        <v>2308</v>
      </c>
      <c r="E1293" s="17" t="s">
        <v>67</v>
      </c>
      <c r="F1293" s="17" t="s">
        <v>68</v>
      </c>
      <c r="G1293" s="17" t="s">
        <v>68</v>
      </c>
      <c r="H1293" s="19">
        <v>287437</v>
      </c>
      <c r="I1293" s="19">
        <v>355032</v>
      </c>
      <c r="J1293" s="80">
        <v>164.91728000000001</v>
      </c>
      <c r="K1293" s="80">
        <v>-20.999400000000001</v>
      </c>
      <c r="L1293" s="71">
        <v>200</v>
      </c>
      <c r="M1293" s="73">
        <v>1</v>
      </c>
      <c r="N1293" s="73">
        <v>1</v>
      </c>
      <c r="O1293" s="73">
        <v>0</v>
      </c>
      <c r="P1293" s="17" t="s">
        <v>47</v>
      </c>
      <c r="Q1293" t="str">
        <f>LEFT(B1293,3)</f>
        <v>TWE</v>
      </c>
    </row>
    <row r="1294" spans="1:17">
      <c r="A1294" s="13" t="s">
        <v>3799</v>
      </c>
      <c r="B1294" s="13" t="s">
        <v>2310</v>
      </c>
      <c r="C1294" s="13" t="s">
        <v>2311</v>
      </c>
      <c r="D1294" s="13" t="s">
        <v>2312</v>
      </c>
      <c r="E1294" s="17" t="s">
        <v>402</v>
      </c>
      <c r="F1294" s="17" t="s">
        <v>68</v>
      </c>
      <c r="G1294" s="17" t="s">
        <v>68</v>
      </c>
      <c r="H1294" s="7">
        <v>353701</v>
      </c>
      <c r="I1294" s="7">
        <v>338659</v>
      </c>
      <c r="J1294" s="80">
        <v>165.554204</v>
      </c>
      <c r="K1294" s="80">
        <v>-21.150213000000001</v>
      </c>
      <c r="L1294" s="71">
        <v>10</v>
      </c>
      <c r="M1294" s="73">
        <v>1</v>
      </c>
      <c r="N1294" s="73">
        <v>1</v>
      </c>
      <c r="O1294" s="73">
        <v>0</v>
      </c>
      <c r="P1294" s="17" t="s">
        <v>37</v>
      </c>
      <c r="Q1294" t="str">
        <f>LEFT(B1294,3)</f>
        <v>UGU</v>
      </c>
    </row>
    <row r="1295" spans="1:17">
      <c r="A1295" s="13" t="s">
        <v>3800</v>
      </c>
      <c r="B1295" s="13" t="s">
        <v>2310</v>
      </c>
      <c r="C1295" s="13" t="s">
        <v>2311</v>
      </c>
      <c r="D1295" s="13" t="s">
        <v>2312</v>
      </c>
      <c r="E1295" s="17" t="s">
        <v>402</v>
      </c>
      <c r="F1295" s="17" t="s">
        <v>68</v>
      </c>
      <c r="G1295" s="17" t="s">
        <v>68</v>
      </c>
      <c r="H1295" s="7">
        <v>353701</v>
      </c>
      <c r="I1295" s="7">
        <v>338659</v>
      </c>
      <c r="J1295" s="80">
        <v>165.554204</v>
      </c>
      <c r="K1295" s="80">
        <v>-21.150213000000001</v>
      </c>
      <c r="L1295" s="71">
        <v>224</v>
      </c>
      <c r="M1295" s="73">
        <v>1</v>
      </c>
      <c r="N1295" s="73">
        <v>1</v>
      </c>
      <c r="O1295" s="73">
        <v>0</v>
      </c>
      <c r="P1295" s="17" t="s">
        <v>37</v>
      </c>
      <c r="Q1295" t="str">
        <f>LEFT(B1295,3)</f>
        <v>UGU</v>
      </c>
    </row>
    <row r="1296" spans="1:17">
      <c r="A1296" s="13" t="s">
        <v>3801</v>
      </c>
      <c r="B1296" s="13" t="s">
        <v>2310</v>
      </c>
      <c r="C1296" s="13" t="s">
        <v>2311</v>
      </c>
      <c r="D1296" s="13" t="s">
        <v>2312</v>
      </c>
      <c r="E1296" s="17" t="s">
        <v>402</v>
      </c>
      <c r="F1296" s="17" t="s">
        <v>68</v>
      </c>
      <c r="G1296" s="17" t="s">
        <v>68</v>
      </c>
      <c r="H1296" s="7">
        <v>353701</v>
      </c>
      <c r="I1296" s="7">
        <v>338659</v>
      </c>
      <c r="J1296" s="80">
        <v>165.554204</v>
      </c>
      <c r="K1296" s="80">
        <v>-21.150213000000001</v>
      </c>
      <c r="L1296" s="71">
        <v>300</v>
      </c>
      <c r="M1296" s="73">
        <v>1</v>
      </c>
      <c r="N1296" s="73">
        <v>1</v>
      </c>
      <c r="O1296" s="73">
        <v>0</v>
      </c>
      <c r="P1296" s="17" t="s">
        <v>37</v>
      </c>
      <c r="Q1296" t="str">
        <f>LEFT(B1296,3)</f>
        <v>UGU</v>
      </c>
    </row>
    <row r="1297" spans="1:17">
      <c r="A1297" s="13" t="s">
        <v>3802</v>
      </c>
      <c r="B1297" s="13" t="s">
        <v>2314</v>
      </c>
      <c r="C1297" s="13" t="s">
        <v>2316</v>
      </c>
      <c r="D1297" s="13" t="s">
        <v>2316</v>
      </c>
      <c r="E1297" s="17" t="s">
        <v>29</v>
      </c>
      <c r="F1297" s="17" t="s">
        <v>43</v>
      </c>
      <c r="G1297" s="17" t="s">
        <v>30</v>
      </c>
      <c r="H1297" s="7">
        <v>449068.84379999997</v>
      </c>
      <c r="I1297" s="7">
        <v>218191.70313000001</v>
      </c>
      <c r="J1297" s="80">
        <v>166.475999167814</v>
      </c>
      <c r="K1297" s="80">
        <v>-22.2381986560112</v>
      </c>
      <c r="L1297" s="71">
        <v>60</v>
      </c>
      <c r="M1297" s="73">
        <v>2</v>
      </c>
      <c r="N1297" s="73">
        <v>3</v>
      </c>
      <c r="O1297" s="73">
        <v>1</v>
      </c>
      <c r="P1297" s="17" t="s">
        <v>37</v>
      </c>
      <c r="Q1297" t="str">
        <f>LEFT(B1297,3)</f>
        <v>ULM</v>
      </c>
    </row>
    <row r="1298" spans="1:17">
      <c r="A1298" s="13" t="s">
        <v>3803</v>
      </c>
      <c r="B1298" s="13" t="s">
        <v>2314</v>
      </c>
      <c r="C1298" s="13" t="s">
        <v>2316</v>
      </c>
      <c r="D1298" s="13" t="s">
        <v>2316</v>
      </c>
      <c r="E1298" s="17" t="s">
        <v>29</v>
      </c>
      <c r="F1298" s="17" t="s">
        <v>43</v>
      </c>
      <c r="G1298" s="17" t="s">
        <v>30</v>
      </c>
      <c r="H1298" s="7">
        <v>449068.84379999997</v>
      </c>
      <c r="I1298" s="7">
        <v>218191.70313000001</v>
      </c>
      <c r="J1298" s="80">
        <v>166.475999167814</v>
      </c>
      <c r="K1298" s="80">
        <v>-22.2381986560112</v>
      </c>
      <c r="L1298" s="71">
        <v>315</v>
      </c>
      <c r="M1298" s="73">
        <v>2</v>
      </c>
      <c r="N1298" s="73">
        <v>3</v>
      </c>
      <c r="O1298" s="73">
        <v>1</v>
      </c>
      <c r="P1298" s="17" t="s">
        <v>37</v>
      </c>
      <c r="Q1298" t="str">
        <f>LEFT(B1298,3)</f>
        <v>ULM</v>
      </c>
    </row>
    <row r="1299" spans="1:17">
      <c r="A1299" s="17" t="s">
        <v>3804</v>
      </c>
      <c r="B1299" s="17" t="s">
        <v>2318</v>
      </c>
      <c r="C1299" s="13" t="s">
        <v>2319</v>
      </c>
      <c r="D1299" s="13" t="s">
        <v>2319</v>
      </c>
      <c r="E1299" s="17" t="s">
        <v>29</v>
      </c>
      <c r="F1299" s="17" t="s">
        <v>43</v>
      </c>
      <c r="G1299" s="17" t="s">
        <v>30</v>
      </c>
      <c r="H1299" s="7">
        <v>441457.18046</v>
      </c>
      <c r="I1299" s="7">
        <v>215521.33405999999</v>
      </c>
      <c r="J1299" s="80">
        <v>166.402225157023</v>
      </c>
      <c r="K1299" s="80">
        <v>-22.2625130761074</v>
      </c>
      <c r="L1299" s="71">
        <v>30</v>
      </c>
      <c r="M1299" s="73">
        <v>3</v>
      </c>
      <c r="N1299" s="73">
        <v>3</v>
      </c>
      <c r="O1299" s="73">
        <v>1</v>
      </c>
      <c r="P1299" s="17" t="s">
        <v>37</v>
      </c>
      <c r="Q1299" t="str">
        <f>LEFT(B1299,3)</f>
        <v>UNC</v>
      </c>
    </row>
    <row r="1300" spans="1:17">
      <c r="A1300" s="17" t="s">
        <v>3805</v>
      </c>
      <c r="B1300" s="17" t="s">
        <v>2318</v>
      </c>
      <c r="C1300" s="13" t="s">
        <v>2319</v>
      </c>
      <c r="D1300" s="13" t="s">
        <v>2319</v>
      </c>
      <c r="E1300" s="17" t="s">
        <v>29</v>
      </c>
      <c r="F1300" s="17" t="s">
        <v>43</v>
      </c>
      <c r="G1300" s="17" t="s">
        <v>30</v>
      </c>
      <c r="H1300" s="7">
        <v>441457.18046</v>
      </c>
      <c r="I1300" s="7">
        <v>215521.33405999999</v>
      </c>
      <c r="J1300" s="80">
        <v>166.402225157023</v>
      </c>
      <c r="K1300" s="80">
        <v>-22.2625130761074</v>
      </c>
      <c r="L1300" s="71">
        <v>120</v>
      </c>
      <c r="M1300" s="73">
        <v>3</v>
      </c>
      <c r="N1300" s="73">
        <v>3</v>
      </c>
      <c r="O1300" s="73">
        <v>1</v>
      </c>
      <c r="P1300" s="17" t="s">
        <v>37</v>
      </c>
      <c r="Q1300" t="str">
        <f>LEFT(B1300,3)</f>
        <v>UNC</v>
      </c>
    </row>
    <row r="1301" spans="1:17">
      <c r="A1301" s="17" t="s">
        <v>3806</v>
      </c>
      <c r="B1301" s="17" t="s">
        <v>2318</v>
      </c>
      <c r="C1301" s="13" t="s">
        <v>2319</v>
      </c>
      <c r="D1301" s="13" t="s">
        <v>2319</v>
      </c>
      <c r="E1301" s="17" t="s">
        <v>29</v>
      </c>
      <c r="F1301" s="17" t="s">
        <v>43</v>
      </c>
      <c r="G1301" s="17" t="s">
        <v>30</v>
      </c>
      <c r="H1301" s="7">
        <v>441457.18046</v>
      </c>
      <c r="I1301" s="7">
        <v>215521.33405999999</v>
      </c>
      <c r="J1301" s="80">
        <v>166.402225157023</v>
      </c>
      <c r="K1301" s="80">
        <v>-22.2625130761074</v>
      </c>
      <c r="L1301" s="71">
        <v>240</v>
      </c>
      <c r="M1301" s="73">
        <v>3</v>
      </c>
      <c r="N1301" s="73">
        <v>3</v>
      </c>
      <c r="O1301" s="73">
        <v>1</v>
      </c>
      <c r="P1301" s="17" t="s">
        <v>37</v>
      </c>
      <c r="Q1301" t="str">
        <f>LEFT(B1301,3)</f>
        <v>UNC</v>
      </c>
    </row>
    <row r="1302" spans="1:17">
      <c r="A1302" s="17" t="s">
        <v>3807</v>
      </c>
      <c r="B1302" s="17" t="s">
        <v>2322</v>
      </c>
      <c r="C1302" s="13" t="s">
        <v>2323</v>
      </c>
      <c r="D1302" s="13" t="s">
        <v>2324</v>
      </c>
      <c r="E1302" s="17" t="s">
        <v>142</v>
      </c>
      <c r="F1302" s="17" t="s">
        <v>43</v>
      </c>
      <c r="G1302" s="17" t="s">
        <v>43</v>
      </c>
      <c r="H1302" s="7">
        <v>493075</v>
      </c>
      <c r="I1302" s="7">
        <v>237628</v>
      </c>
      <c r="J1302" s="79">
        <v>166.90178900000001</v>
      </c>
      <c r="K1302" s="79">
        <v>-22.060918999999998</v>
      </c>
      <c r="L1302" s="71">
        <v>45</v>
      </c>
      <c r="M1302" s="73">
        <v>1</v>
      </c>
      <c r="N1302" s="73">
        <v>1</v>
      </c>
      <c r="O1302" s="73">
        <v>0</v>
      </c>
      <c r="P1302" s="17" t="s">
        <v>47</v>
      </c>
      <c r="Q1302" t="str">
        <f>LEFT(B1302,3)</f>
        <v>UNI</v>
      </c>
    </row>
    <row r="1303" spans="1:17">
      <c r="A1303" s="17" t="s">
        <v>3808</v>
      </c>
      <c r="B1303" s="17" t="s">
        <v>2322</v>
      </c>
      <c r="C1303" s="13" t="s">
        <v>2323</v>
      </c>
      <c r="D1303" s="13" t="s">
        <v>2324</v>
      </c>
      <c r="E1303" s="17" t="s">
        <v>142</v>
      </c>
      <c r="F1303" s="17" t="s">
        <v>43</v>
      </c>
      <c r="G1303" s="17" t="s">
        <v>43</v>
      </c>
      <c r="H1303" s="7">
        <v>493075</v>
      </c>
      <c r="I1303" s="7">
        <v>237628</v>
      </c>
      <c r="J1303" s="79">
        <v>166.90178900000001</v>
      </c>
      <c r="K1303" s="79">
        <v>-22.060918999999998</v>
      </c>
      <c r="L1303" s="71">
        <v>150</v>
      </c>
      <c r="M1303" s="73">
        <v>1</v>
      </c>
      <c r="N1303" s="73">
        <v>1</v>
      </c>
      <c r="O1303" s="73">
        <v>0</v>
      </c>
      <c r="P1303" s="17" t="s">
        <v>47</v>
      </c>
      <c r="Q1303" t="str">
        <f>LEFT(B1303,3)</f>
        <v>UNI</v>
      </c>
    </row>
    <row r="1304" spans="1:17">
      <c r="A1304" s="17" t="s">
        <v>3809</v>
      </c>
      <c r="B1304" s="17" t="s">
        <v>2322</v>
      </c>
      <c r="C1304" s="13" t="s">
        <v>2323</v>
      </c>
      <c r="D1304" s="13" t="s">
        <v>2324</v>
      </c>
      <c r="E1304" s="17" t="s">
        <v>142</v>
      </c>
      <c r="F1304" s="17" t="s">
        <v>43</v>
      </c>
      <c r="G1304" s="17" t="s">
        <v>43</v>
      </c>
      <c r="H1304" s="7">
        <v>493075</v>
      </c>
      <c r="I1304" s="7">
        <v>237628</v>
      </c>
      <c r="J1304" s="79">
        <v>166.90178900000001</v>
      </c>
      <c r="K1304" s="79">
        <v>-22.060918999999998</v>
      </c>
      <c r="L1304" s="71">
        <v>305</v>
      </c>
      <c r="M1304" s="73">
        <v>1</v>
      </c>
      <c r="N1304" s="73">
        <v>1</v>
      </c>
      <c r="O1304" s="73">
        <v>0</v>
      </c>
      <c r="P1304" s="17" t="s">
        <v>47</v>
      </c>
      <c r="Q1304" t="str">
        <f>LEFT(B1304,3)</f>
        <v>UNI</v>
      </c>
    </row>
    <row r="1305" spans="1:17">
      <c r="A1305" s="17" t="s">
        <v>3810</v>
      </c>
      <c r="B1305" s="17" t="s">
        <v>2326</v>
      </c>
      <c r="C1305" s="13" t="s">
        <v>2327</v>
      </c>
      <c r="D1305" s="13" t="s">
        <v>2327</v>
      </c>
      <c r="E1305" s="17" t="s">
        <v>373</v>
      </c>
      <c r="F1305" s="17" t="s">
        <v>129</v>
      </c>
      <c r="G1305" s="17" t="s">
        <v>129</v>
      </c>
      <c r="H1305" s="7">
        <v>529016</v>
      </c>
      <c r="I1305" s="7">
        <v>366595</v>
      </c>
      <c r="J1305" s="79">
        <v>167.24009000000001</v>
      </c>
      <c r="K1305" s="79">
        <v>-20.89385</v>
      </c>
      <c r="L1305" s="71">
        <v>135</v>
      </c>
      <c r="M1305" s="73">
        <v>1</v>
      </c>
      <c r="N1305" s="73">
        <v>1</v>
      </c>
      <c r="O1305" s="73">
        <v>0</v>
      </c>
      <c r="P1305" s="17" t="s">
        <v>47</v>
      </c>
      <c r="Q1305" t="str">
        <f>LEFT(B1305,3)</f>
        <v>USL</v>
      </c>
    </row>
    <row r="1306" spans="1:17">
      <c r="A1306" s="17" t="s">
        <v>3811</v>
      </c>
      <c r="B1306" s="17" t="s">
        <v>2326</v>
      </c>
      <c r="C1306" s="13" t="s">
        <v>2327</v>
      </c>
      <c r="D1306" s="13" t="s">
        <v>2327</v>
      </c>
      <c r="E1306" s="17" t="s">
        <v>373</v>
      </c>
      <c r="F1306" s="17" t="s">
        <v>129</v>
      </c>
      <c r="G1306" s="17" t="s">
        <v>129</v>
      </c>
      <c r="H1306" s="7">
        <v>529016</v>
      </c>
      <c r="I1306" s="7">
        <v>366595</v>
      </c>
      <c r="J1306" s="79">
        <v>167.24009000000001</v>
      </c>
      <c r="K1306" s="79">
        <v>-20.89385</v>
      </c>
      <c r="L1306" s="71">
        <v>340</v>
      </c>
      <c r="M1306" s="73">
        <v>1</v>
      </c>
      <c r="N1306" s="73">
        <v>1</v>
      </c>
      <c r="O1306" s="73">
        <v>0</v>
      </c>
      <c r="P1306" s="17" t="s">
        <v>47</v>
      </c>
      <c r="Q1306" t="str">
        <f>LEFT(B1306,3)</f>
        <v>USL</v>
      </c>
    </row>
    <row r="1307" spans="1:17">
      <c r="A1307" s="17" t="s">
        <v>3812</v>
      </c>
      <c r="B1307" s="17" t="s">
        <v>2330</v>
      </c>
      <c r="C1307" s="17" t="s">
        <v>2331</v>
      </c>
      <c r="D1307" s="17" t="s">
        <v>2331</v>
      </c>
      <c r="E1307" s="17" t="s">
        <v>351</v>
      </c>
      <c r="F1307" s="17" t="s">
        <v>129</v>
      </c>
      <c r="G1307" s="17" t="s">
        <v>129</v>
      </c>
      <c r="H1307" s="22">
        <v>594624</v>
      </c>
      <c r="I1307" s="22">
        <v>293252</v>
      </c>
      <c r="J1307" s="80">
        <v>167.87913</v>
      </c>
      <c r="K1307" s="83">
        <v>-21.550380000000001</v>
      </c>
      <c r="L1307" s="71">
        <v>0</v>
      </c>
      <c r="M1307" s="73">
        <v>1</v>
      </c>
      <c r="N1307" s="73">
        <v>1</v>
      </c>
      <c r="O1307" s="73">
        <v>0</v>
      </c>
      <c r="P1307" s="17" t="s">
        <v>47</v>
      </c>
      <c r="Q1307" t="str">
        <f>LEFT(B1307,3)</f>
        <v>USM</v>
      </c>
    </row>
    <row r="1308" spans="1:17">
      <c r="A1308" s="17" t="s">
        <v>3813</v>
      </c>
      <c r="B1308" s="17" t="s">
        <v>2330</v>
      </c>
      <c r="C1308" s="17" t="s">
        <v>2331</v>
      </c>
      <c r="D1308" s="17" t="s">
        <v>2331</v>
      </c>
      <c r="E1308" s="17" t="s">
        <v>351</v>
      </c>
      <c r="F1308" s="17" t="s">
        <v>129</v>
      </c>
      <c r="G1308" s="17" t="s">
        <v>129</v>
      </c>
      <c r="H1308" s="22">
        <v>594624</v>
      </c>
      <c r="I1308" s="22">
        <v>293252</v>
      </c>
      <c r="J1308" s="80">
        <v>167.87913</v>
      </c>
      <c r="K1308" s="83">
        <v>-21.550380000000001</v>
      </c>
      <c r="L1308" s="71">
        <v>180</v>
      </c>
      <c r="M1308" s="73">
        <v>1</v>
      </c>
      <c r="N1308" s="73">
        <v>1</v>
      </c>
      <c r="O1308" s="73">
        <v>0</v>
      </c>
      <c r="P1308" s="17" t="s">
        <v>47</v>
      </c>
      <c r="Q1308" t="str">
        <f>LEFT(B1308,3)</f>
        <v>USM</v>
      </c>
    </row>
    <row r="1309" spans="1:17">
      <c r="A1309" s="17" t="s">
        <v>3814</v>
      </c>
      <c r="B1309" s="17" t="s">
        <v>2334</v>
      </c>
      <c r="C1309" s="17" t="s">
        <v>2335</v>
      </c>
      <c r="D1309" s="17" t="s">
        <v>2336</v>
      </c>
      <c r="E1309" s="17" t="s">
        <v>178</v>
      </c>
      <c r="F1309" s="17" t="s">
        <v>68</v>
      </c>
      <c r="G1309" s="17" t="s">
        <v>68</v>
      </c>
      <c r="H1309" s="22">
        <v>285311</v>
      </c>
      <c r="I1309" s="22">
        <v>342690</v>
      </c>
      <c r="J1309" s="80">
        <v>164.89599100000001</v>
      </c>
      <c r="K1309" s="83">
        <v>-21.110741000000001</v>
      </c>
      <c r="L1309" s="71">
        <v>66</v>
      </c>
      <c r="M1309" s="73">
        <v>2</v>
      </c>
      <c r="N1309" s="73">
        <v>3</v>
      </c>
      <c r="O1309" s="73">
        <v>0</v>
      </c>
      <c r="P1309" s="17" t="s">
        <v>37</v>
      </c>
      <c r="Q1309" t="str">
        <f>LEFT(B1309,3)</f>
        <v>USP</v>
      </c>
    </row>
    <row r="1310" spans="1:17">
      <c r="A1310" s="17" t="s">
        <v>3815</v>
      </c>
      <c r="B1310" s="17" t="s">
        <v>2334</v>
      </c>
      <c r="C1310" s="17" t="s">
        <v>2335</v>
      </c>
      <c r="D1310" s="17" t="s">
        <v>2336</v>
      </c>
      <c r="E1310" s="17" t="s">
        <v>178</v>
      </c>
      <c r="F1310" s="17" t="s">
        <v>68</v>
      </c>
      <c r="G1310" s="17" t="s">
        <v>68</v>
      </c>
      <c r="H1310" s="22">
        <v>285311</v>
      </c>
      <c r="I1310" s="22">
        <v>342690</v>
      </c>
      <c r="J1310" s="80">
        <v>164.89599100000001</v>
      </c>
      <c r="K1310" s="83">
        <v>-21.110741000000001</v>
      </c>
      <c r="L1310" s="71">
        <v>158</v>
      </c>
      <c r="M1310" s="73">
        <v>2</v>
      </c>
      <c r="N1310" s="73">
        <v>3</v>
      </c>
      <c r="O1310" s="73">
        <v>0</v>
      </c>
      <c r="P1310" s="17" t="s">
        <v>37</v>
      </c>
      <c r="Q1310" t="str">
        <f>LEFT(B1310,3)</f>
        <v>USP</v>
      </c>
    </row>
    <row r="1311" spans="1:17">
      <c r="A1311" s="17" t="s">
        <v>3816</v>
      </c>
      <c r="B1311" s="17" t="s">
        <v>2334</v>
      </c>
      <c r="C1311" s="17" t="s">
        <v>2335</v>
      </c>
      <c r="D1311" s="17" t="s">
        <v>2336</v>
      </c>
      <c r="E1311" s="17" t="s">
        <v>178</v>
      </c>
      <c r="F1311" s="17" t="s">
        <v>68</v>
      </c>
      <c r="G1311" s="17" t="s">
        <v>68</v>
      </c>
      <c r="H1311" s="22">
        <v>285311</v>
      </c>
      <c r="I1311" s="22">
        <v>342690</v>
      </c>
      <c r="J1311" s="80">
        <v>164.89599100000001</v>
      </c>
      <c r="K1311" s="83">
        <v>-21.110741000000001</v>
      </c>
      <c r="L1311" s="71">
        <v>258</v>
      </c>
      <c r="M1311" s="73">
        <v>2</v>
      </c>
      <c r="N1311" s="73">
        <v>3</v>
      </c>
      <c r="O1311" s="73">
        <v>0</v>
      </c>
      <c r="P1311" s="17" t="s">
        <v>37</v>
      </c>
      <c r="Q1311" t="str">
        <f>LEFT(B1311,3)</f>
        <v>USP</v>
      </c>
    </row>
    <row r="1312" spans="1:17">
      <c r="A1312" s="17" t="s">
        <v>3817</v>
      </c>
      <c r="B1312" s="17" t="s">
        <v>2338</v>
      </c>
      <c r="C1312" s="13" t="s">
        <v>2339</v>
      </c>
      <c r="D1312" s="13" t="s">
        <v>2339</v>
      </c>
      <c r="E1312" s="17" t="s">
        <v>178</v>
      </c>
      <c r="F1312" s="17" t="s">
        <v>68</v>
      </c>
      <c r="G1312" s="17" t="s">
        <v>68</v>
      </c>
      <c r="H1312" s="7">
        <v>307784.15701000002</v>
      </c>
      <c r="I1312" s="7">
        <v>334392.67614</v>
      </c>
      <c r="J1312" s="80">
        <v>165.11185966085301</v>
      </c>
      <c r="K1312" s="80">
        <v>-21.186976601598101</v>
      </c>
      <c r="L1312" s="71">
        <v>85</v>
      </c>
      <c r="M1312" s="73">
        <v>1</v>
      </c>
      <c r="N1312" s="73">
        <v>1</v>
      </c>
      <c r="O1312" s="73">
        <v>1</v>
      </c>
      <c r="P1312" s="17" t="s">
        <v>47</v>
      </c>
      <c r="Q1312" t="str">
        <f>LEFT(B1312,3)</f>
        <v>UTE</v>
      </c>
    </row>
    <row r="1313" spans="1:17">
      <c r="A1313" s="17" t="s">
        <v>3818</v>
      </c>
      <c r="B1313" s="17" t="s">
        <v>2338</v>
      </c>
      <c r="C1313" s="13" t="s">
        <v>2339</v>
      </c>
      <c r="D1313" s="13" t="s">
        <v>2339</v>
      </c>
      <c r="E1313" s="17" t="s">
        <v>178</v>
      </c>
      <c r="F1313" s="17" t="s">
        <v>68</v>
      </c>
      <c r="G1313" s="17" t="s">
        <v>68</v>
      </c>
      <c r="H1313" s="7">
        <v>307784.15701000002</v>
      </c>
      <c r="I1313" s="7">
        <v>334392.67614</v>
      </c>
      <c r="J1313" s="80">
        <v>165.11185966085301</v>
      </c>
      <c r="K1313" s="80">
        <v>-21.186976601598101</v>
      </c>
      <c r="L1313" s="71">
        <v>200</v>
      </c>
      <c r="M1313" s="73">
        <v>1</v>
      </c>
      <c r="N1313" s="73">
        <v>1</v>
      </c>
      <c r="O1313" s="73">
        <v>1</v>
      </c>
      <c r="P1313" s="17" t="s">
        <v>47</v>
      </c>
      <c r="Q1313" t="str">
        <f>LEFT(B1313,3)</f>
        <v>UTE</v>
      </c>
    </row>
    <row r="1314" spans="1:17">
      <c r="A1314" s="17" t="s">
        <v>3819</v>
      </c>
      <c r="B1314" s="17" t="s">
        <v>2342</v>
      </c>
      <c r="C1314" s="13" t="s">
        <v>2343</v>
      </c>
      <c r="D1314" s="13" t="s">
        <v>2343</v>
      </c>
      <c r="E1314" s="17" t="s">
        <v>29</v>
      </c>
      <c r="F1314" s="17" t="s">
        <v>43</v>
      </c>
      <c r="G1314" s="17" t="s">
        <v>30</v>
      </c>
      <c r="H1314" s="7">
        <v>446577.61618000001</v>
      </c>
      <c r="I1314" s="7">
        <v>212286.23845999999</v>
      </c>
      <c r="J1314" s="80">
        <v>166.45200074261601</v>
      </c>
      <c r="K1314" s="80">
        <v>-22.2916011592629</v>
      </c>
      <c r="L1314" s="71">
        <v>230</v>
      </c>
      <c r="M1314" s="73">
        <v>2</v>
      </c>
      <c r="N1314" s="73">
        <v>2</v>
      </c>
      <c r="O1314" s="73">
        <v>1</v>
      </c>
      <c r="P1314" s="17" t="s">
        <v>37</v>
      </c>
      <c r="Q1314" t="str">
        <f>LEFT(B1314,3)</f>
        <v>UTR</v>
      </c>
    </row>
    <row r="1315" spans="1:17">
      <c r="A1315" s="17" t="s">
        <v>3820</v>
      </c>
      <c r="B1315" s="17" t="s">
        <v>2342</v>
      </c>
      <c r="C1315" s="13" t="s">
        <v>2343</v>
      </c>
      <c r="D1315" s="13" t="s">
        <v>2343</v>
      </c>
      <c r="E1315" s="17" t="s">
        <v>29</v>
      </c>
      <c r="F1315" s="17" t="s">
        <v>43</v>
      </c>
      <c r="G1315" s="17" t="s">
        <v>30</v>
      </c>
      <c r="H1315" s="7">
        <v>446577.61618000001</v>
      </c>
      <c r="I1315" s="7">
        <v>212286.23845999999</v>
      </c>
      <c r="J1315" s="80">
        <v>166.45200074261601</v>
      </c>
      <c r="K1315" s="80">
        <v>-22.2916011592629</v>
      </c>
      <c r="L1315" s="71">
        <v>330</v>
      </c>
      <c r="M1315" s="73">
        <v>2</v>
      </c>
      <c r="N1315" s="73">
        <v>2</v>
      </c>
      <c r="O1315" s="73">
        <v>1</v>
      </c>
      <c r="P1315" s="17" t="s">
        <v>37</v>
      </c>
      <c r="Q1315" t="str">
        <f>LEFT(B1315,3)</f>
        <v>UTR</v>
      </c>
    </row>
    <row r="1316" spans="1:17">
      <c r="A1316" s="17" t="s">
        <v>3821</v>
      </c>
      <c r="B1316" s="6" t="s">
        <v>2346</v>
      </c>
      <c r="C1316" s="13" t="s">
        <v>2347</v>
      </c>
      <c r="D1316" s="13" t="s">
        <v>2348</v>
      </c>
      <c r="E1316" s="17" t="s">
        <v>29</v>
      </c>
      <c r="F1316" s="17" t="s">
        <v>43</v>
      </c>
      <c r="G1316" s="17" t="s">
        <v>30</v>
      </c>
      <c r="H1316" s="7">
        <v>446456</v>
      </c>
      <c r="I1316" s="7">
        <v>214484</v>
      </c>
      <c r="J1316" s="8">
        <v>166.45075499999999</v>
      </c>
      <c r="K1316" s="8">
        <v>-22.271754999999999</v>
      </c>
      <c r="L1316" s="71">
        <v>75</v>
      </c>
      <c r="M1316" s="73">
        <v>1</v>
      </c>
      <c r="N1316" s="73">
        <v>2</v>
      </c>
      <c r="O1316" s="73">
        <v>0</v>
      </c>
      <c r="P1316" s="17" t="s">
        <v>37</v>
      </c>
      <c r="Q1316" t="str">
        <f>LEFT(B1316,3)</f>
        <v>VAC</v>
      </c>
    </row>
    <row r="1317" spans="1:17">
      <c r="A1317" s="17" t="s">
        <v>3822</v>
      </c>
      <c r="B1317" s="6" t="s">
        <v>2346</v>
      </c>
      <c r="C1317" s="13" t="s">
        <v>2347</v>
      </c>
      <c r="D1317" s="13" t="s">
        <v>2348</v>
      </c>
      <c r="E1317" s="17" t="s">
        <v>29</v>
      </c>
      <c r="F1317" s="17" t="s">
        <v>43</v>
      </c>
      <c r="G1317" s="17" t="s">
        <v>30</v>
      </c>
      <c r="H1317" s="7">
        <v>446456</v>
      </c>
      <c r="I1317" s="7">
        <v>214484</v>
      </c>
      <c r="J1317" s="8">
        <v>166.45075499999999</v>
      </c>
      <c r="K1317" s="8">
        <v>-22.271754999999999</v>
      </c>
      <c r="L1317" s="71">
        <v>235</v>
      </c>
      <c r="M1317" s="73">
        <v>1</v>
      </c>
      <c r="N1317" s="73">
        <v>2</v>
      </c>
      <c r="O1317" s="73">
        <v>0</v>
      </c>
      <c r="P1317" s="17" t="s">
        <v>37</v>
      </c>
      <c r="Q1317" t="str">
        <f>LEFT(B1317,3)</f>
        <v>VAC</v>
      </c>
    </row>
    <row r="1318" spans="1:17">
      <c r="A1318" s="17" t="s">
        <v>3823</v>
      </c>
      <c r="B1318" s="6" t="s">
        <v>2346</v>
      </c>
      <c r="C1318" s="13" t="s">
        <v>2347</v>
      </c>
      <c r="D1318" s="13" t="s">
        <v>2348</v>
      </c>
      <c r="E1318" s="17" t="s">
        <v>29</v>
      </c>
      <c r="F1318" s="17" t="s">
        <v>43</v>
      </c>
      <c r="G1318" s="17" t="s">
        <v>30</v>
      </c>
      <c r="H1318" s="7">
        <v>446456</v>
      </c>
      <c r="I1318" s="7">
        <v>214484</v>
      </c>
      <c r="J1318" s="8">
        <v>166.45075499999999</v>
      </c>
      <c r="K1318" s="8">
        <v>-22.271754999999999</v>
      </c>
      <c r="L1318" s="71">
        <v>320</v>
      </c>
      <c r="M1318" s="73">
        <v>1</v>
      </c>
      <c r="N1318" s="73">
        <v>2</v>
      </c>
      <c r="O1318" s="73">
        <v>0</v>
      </c>
      <c r="P1318" s="17" t="s">
        <v>37</v>
      </c>
      <c r="Q1318" t="str">
        <f>LEFT(B1318,3)</f>
        <v>VAC</v>
      </c>
    </row>
    <row r="1319" spans="1:17">
      <c r="A1319" s="17" t="s">
        <v>3824</v>
      </c>
      <c r="B1319" s="17" t="s">
        <v>2350</v>
      </c>
      <c r="C1319" s="13" t="s">
        <v>2351</v>
      </c>
      <c r="D1319" s="13" t="s">
        <v>2351</v>
      </c>
      <c r="E1319" s="17" t="s">
        <v>331</v>
      </c>
      <c r="F1319" s="17" t="s">
        <v>43</v>
      </c>
      <c r="G1319" s="17" t="s">
        <v>43</v>
      </c>
      <c r="H1319" s="7">
        <v>553553.49127999996</v>
      </c>
      <c r="I1319" s="7">
        <v>170003.25325000001</v>
      </c>
      <c r="J1319" s="80">
        <v>167.49398430185499</v>
      </c>
      <c r="K1319" s="80">
        <v>-22.667400729189499</v>
      </c>
      <c r="L1319" s="71">
        <v>30</v>
      </c>
      <c r="M1319" s="73">
        <v>1</v>
      </c>
      <c r="N1319" s="73">
        <v>1</v>
      </c>
      <c r="O1319" s="73">
        <v>1</v>
      </c>
      <c r="P1319" s="17" t="s">
        <v>47</v>
      </c>
      <c r="Q1319" t="str">
        <f>LEFT(B1319,3)</f>
        <v>VAO</v>
      </c>
    </row>
    <row r="1320" spans="1:17">
      <c r="A1320" s="17" t="s">
        <v>3825</v>
      </c>
      <c r="B1320" s="17" t="s">
        <v>2350</v>
      </c>
      <c r="C1320" s="13" t="s">
        <v>2351</v>
      </c>
      <c r="D1320" s="13" t="s">
        <v>2351</v>
      </c>
      <c r="E1320" s="17" t="s">
        <v>331</v>
      </c>
      <c r="F1320" s="17" t="s">
        <v>43</v>
      </c>
      <c r="G1320" s="17" t="s">
        <v>43</v>
      </c>
      <c r="H1320" s="7">
        <v>553553.49127999996</v>
      </c>
      <c r="I1320" s="7">
        <v>170003.25325000001</v>
      </c>
      <c r="J1320" s="80">
        <v>167.49398430185499</v>
      </c>
      <c r="K1320" s="80">
        <v>-22.667400729189499</v>
      </c>
      <c r="L1320" s="71">
        <v>240</v>
      </c>
      <c r="M1320" s="73">
        <v>1</v>
      </c>
      <c r="N1320" s="73">
        <v>1</v>
      </c>
      <c r="O1320" s="73">
        <v>1</v>
      </c>
      <c r="P1320" s="17" t="s">
        <v>47</v>
      </c>
      <c r="Q1320" t="str">
        <f>LEFT(B1320,3)</f>
        <v>VAO</v>
      </c>
    </row>
    <row r="1321" spans="1:17">
      <c r="A1321" s="17" t="s">
        <v>3826</v>
      </c>
      <c r="B1321" s="17" t="s">
        <v>2350</v>
      </c>
      <c r="C1321" s="13" t="s">
        <v>2351</v>
      </c>
      <c r="D1321" s="13" t="s">
        <v>2351</v>
      </c>
      <c r="E1321" s="17" t="s">
        <v>331</v>
      </c>
      <c r="F1321" s="17" t="s">
        <v>43</v>
      </c>
      <c r="G1321" s="17" t="s">
        <v>43</v>
      </c>
      <c r="H1321" s="7">
        <v>553553.49127999996</v>
      </c>
      <c r="I1321" s="7">
        <v>170003.25325000001</v>
      </c>
      <c r="J1321" s="80">
        <v>167.49398430185499</v>
      </c>
      <c r="K1321" s="80">
        <v>-22.667400729189499</v>
      </c>
      <c r="L1321" s="71">
        <v>240</v>
      </c>
      <c r="M1321" s="73">
        <v>1</v>
      </c>
      <c r="N1321" s="73">
        <v>1</v>
      </c>
      <c r="O1321" s="73">
        <v>1</v>
      </c>
      <c r="P1321" s="17" t="s">
        <v>47</v>
      </c>
      <c r="Q1321" t="str">
        <f>LEFT(B1321,3)</f>
        <v>VAO</v>
      </c>
    </row>
    <row r="1322" spans="1:17">
      <c r="A1322" s="17" t="s">
        <v>3827</v>
      </c>
      <c r="B1322" s="17" t="s">
        <v>2353</v>
      </c>
      <c r="C1322" s="13" t="s">
        <v>2354</v>
      </c>
      <c r="D1322" s="13" t="s">
        <v>2354</v>
      </c>
      <c r="E1322" s="17" t="s">
        <v>249</v>
      </c>
      <c r="F1322" s="17" t="s">
        <v>68</v>
      </c>
      <c r="G1322" s="17" t="s">
        <v>68</v>
      </c>
      <c r="H1322" s="7">
        <v>267640.00510000001</v>
      </c>
      <c r="I1322" s="7">
        <v>353930.12680000003</v>
      </c>
      <c r="J1322" s="80">
        <v>164.72677630504899</v>
      </c>
      <c r="K1322" s="80">
        <v>-21.008003026792601</v>
      </c>
      <c r="L1322" s="71">
        <v>120</v>
      </c>
      <c r="M1322" s="73">
        <v>1</v>
      </c>
      <c r="N1322" s="73">
        <v>1</v>
      </c>
      <c r="O1322" s="73">
        <v>1</v>
      </c>
      <c r="P1322" s="17" t="s">
        <v>37</v>
      </c>
      <c r="Q1322" t="str">
        <f>LEFT(B1322,3)</f>
        <v>VAV</v>
      </c>
    </row>
    <row r="1323" spans="1:17">
      <c r="A1323" s="17" t="s">
        <v>3828</v>
      </c>
      <c r="B1323" s="17" t="s">
        <v>2353</v>
      </c>
      <c r="C1323" s="13" t="s">
        <v>2354</v>
      </c>
      <c r="D1323" s="13" t="s">
        <v>2354</v>
      </c>
      <c r="E1323" s="17" t="s">
        <v>249</v>
      </c>
      <c r="F1323" s="17" t="s">
        <v>68</v>
      </c>
      <c r="G1323" s="17" t="s">
        <v>68</v>
      </c>
      <c r="H1323" s="7">
        <v>267640.00510000001</v>
      </c>
      <c r="I1323" s="7">
        <v>353930.12680000003</v>
      </c>
      <c r="J1323" s="80">
        <v>164.72677630504899</v>
      </c>
      <c r="K1323" s="80">
        <v>-21.008003026792601</v>
      </c>
      <c r="L1323" s="71">
        <v>350</v>
      </c>
      <c r="M1323" s="73">
        <v>1</v>
      </c>
      <c r="N1323" s="73">
        <v>1</v>
      </c>
      <c r="O1323" s="73">
        <v>1</v>
      </c>
      <c r="P1323" s="17" t="s">
        <v>37</v>
      </c>
      <c r="Q1323" t="str">
        <f>LEFT(B1323,3)</f>
        <v>VAV</v>
      </c>
    </row>
    <row r="1324" spans="1:17">
      <c r="A1324" s="17" t="s">
        <v>3829</v>
      </c>
      <c r="B1324" s="17" t="s">
        <v>2353</v>
      </c>
      <c r="C1324" s="13" t="s">
        <v>2354</v>
      </c>
      <c r="D1324" s="13" t="s">
        <v>2354</v>
      </c>
      <c r="E1324" s="17" t="s">
        <v>249</v>
      </c>
      <c r="F1324" s="17" t="s">
        <v>68</v>
      </c>
      <c r="G1324" s="17" t="s">
        <v>68</v>
      </c>
      <c r="H1324" s="7">
        <v>267640.00510000001</v>
      </c>
      <c r="I1324" s="7">
        <v>353930.12680000003</v>
      </c>
      <c r="J1324" s="80">
        <v>164.72677630504899</v>
      </c>
      <c r="K1324" s="80">
        <v>-21.008003026792601</v>
      </c>
      <c r="L1324" s="71">
        <v>349</v>
      </c>
      <c r="M1324" s="73">
        <v>1</v>
      </c>
      <c r="N1324" s="73">
        <v>1</v>
      </c>
      <c r="O1324" s="73">
        <v>1</v>
      </c>
      <c r="P1324" s="17" t="s">
        <v>37</v>
      </c>
      <c r="Q1324" t="str">
        <f>LEFT(B1324,3)</f>
        <v>VAV</v>
      </c>
    </row>
    <row r="1325" spans="1:17">
      <c r="A1325" s="17" t="s">
        <v>3830</v>
      </c>
      <c r="B1325" s="17" t="s">
        <v>2357</v>
      </c>
      <c r="C1325" s="13" t="s">
        <v>2358</v>
      </c>
      <c r="D1325" s="13" t="s">
        <v>2358</v>
      </c>
      <c r="E1325" s="17" t="s">
        <v>29</v>
      </c>
      <c r="F1325" s="17" t="s">
        <v>43</v>
      </c>
      <c r="G1325" s="17" t="s">
        <v>30</v>
      </c>
      <c r="H1325" s="7">
        <v>447009.99011000001</v>
      </c>
      <c r="I1325" s="7">
        <v>214964.99705999999</v>
      </c>
      <c r="J1325" s="80">
        <v>166.45611706623799</v>
      </c>
      <c r="K1325" s="80">
        <v>-22.2673965137446</v>
      </c>
      <c r="L1325" s="71">
        <v>211</v>
      </c>
      <c r="M1325" s="73">
        <v>2</v>
      </c>
      <c r="N1325" s="73">
        <v>1</v>
      </c>
      <c r="O1325" s="73">
        <v>1</v>
      </c>
      <c r="P1325" s="17" t="s">
        <v>37</v>
      </c>
      <c r="Q1325" t="str">
        <f>LEFT(B1325,3)</f>
        <v>VDC</v>
      </c>
    </row>
    <row r="1326" spans="1:17">
      <c r="A1326" s="17" t="s">
        <v>3831</v>
      </c>
      <c r="B1326" s="17" t="s">
        <v>2361</v>
      </c>
      <c r="C1326" s="13" t="s">
        <v>2362</v>
      </c>
      <c r="D1326" s="13" t="s">
        <v>2362</v>
      </c>
      <c r="E1326" s="17" t="s">
        <v>249</v>
      </c>
      <c r="F1326" s="17" t="s">
        <v>68</v>
      </c>
      <c r="G1326" s="17" t="s">
        <v>68</v>
      </c>
      <c r="H1326" s="7">
        <v>264195.92071999999</v>
      </c>
      <c r="I1326" s="7">
        <v>351537.15363000002</v>
      </c>
      <c r="J1326" s="80">
        <v>164.69345623096001</v>
      </c>
      <c r="K1326" s="80">
        <v>-21.029360734761401</v>
      </c>
      <c r="L1326" s="71">
        <v>160</v>
      </c>
      <c r="M1326" s="73">
        <v>2</v>
      </c>
      <c r="N1326" s="73">
        <v>1</v>
      </c>
      <c r="O1326" s="73">
        <v>1</v>
      </c>
      <c r="P1326" s="17" t="s">
        <v>47</v>
      </c>
      <c r="Q1326" t="str">
        <f>LEFT(B1326,3)</f>
        <v>VED</v>
      </c>
    </row>
    <row r="1327" spans="1:17">
      <c r="A1327" s="17" t="s">
        <v>3832</v>
      </c>
      <c r="B1327" s="17" t="s">
        <v>2361</v>
      </c>
      <c r="C1327" s="13" t="s">
        <v>2362</v>
      </c>
      <c r="D1327" s="13" t="s">
        <v>2362</v>
      </c>
      <c r="E1327" s="17" t="s">
        <v>249</v>
      </c>
      <c r="F1327" s="17" t="s">
        <v>68</v>
      </c>
      <c r="G1327" s="17" t="s">
        <v>68</v>
      </c>
      <c r="H1327" s="7">
        <v>264195.92071999999</v>
      </c>
      <c r="I1327" s="7">
        <v>351537.15363000002</v>
      </c>
      <c r="J1327" s="80">
        <v>164.69345623096001</v>
      </c>
      <c r="K1327" s="80">
        <v>-21.029360734761401</v>
      </c>
      <c r="L1327" s="71">
        <v>340</v>
      </c>
      <c r="M1327" s="73">
        <v>2</v>
      </c>
      <c r="N1327" s="73">
        <v>1</v>
      </c>
      <c r="O1327" s="73">
        <v>1</v>
      </c>
      <c r="P1327" s="2" t="s">
        <v>47</v>
      </c>
      <c r="Q1327" t="str">
        <f>LEFT(B1327,3)</f>
        <v>VED</v>
      </c>
    </row>
    <row r="1328" spans="1:17">
      <c r="A1328" s="17" t="s">
        <v>3833</v>
      </c>
      <c r="B1328" s="17" t="s">
        <v>2365</v>
      </c>
      <c r="C1328" s="13" t="s">
        <v>2366</v>
      </c>
      <c r="D1328" s="13" t="s">
        <v>2366</v>
      </c>
      <c r="E1328" s="17" t="s">
        <v>29</v>
      </c>
      <c r="F1328" s="17" t="s">
        <v>43</v>
      </c>
      <c r="G1328" s="17" t="s">
        <v>30</v>
      </c>
      <c r="H1328" s="7">
        <v>446028.16217999998</v>
      </c>
      <c r="I1328" s="7">
        <v>212138.02468999999</v>
      </c>
      <c r="J1328" s="80">
        <v>166.446667583037</v>
      </c>
      <c r="K1328" s="80">
        <v>-22.292951977133999</v>
      </c>
      <c r="L1328" s="71">
        <v>60</v>
      </c>
      <c r="M1328" s="73">
        <v>3</v>
      </c>
      <c r="N1328" s="73">
        <v>2</v>
      </c>
      <c r="O1328" s="73">
        <v>1</v>
      </c>
      <c r="P1328" s="2" t="s">
        <v>37</v>
      </c>
      <c r="Q1328" t="str">
        <f>LEFT(B1328,3)</f>
        <v>VEL</v>
      </c>
    </row>
    <row r="1329" spans="1:17">
      <c r="A1329" s="17" t="s">
        <v>3834</v>
      </c>
      <c r="B1329" s="17" t="s">
        <v>2365</v>
      </c>
      <c r="C1329" s="13" t="s">
        <v>2366</v>
      </c>
      <c r="D1329" s="13" t="s">
        <v>2366</v>
      </c>
      <c r="E1329" s="17" t="s">
        <v>29</v>
      </c>
      <c r="F1329" s="17" t="s">
        <v>43</v>
      </c>
      <c r="G1329" s="17" t="s">
        <v>30</v>
      </c>
      <c r="H1329" s="7">
        <v>446028.16217999998</v>
      </c>
      <c r="I1329" s="7">
        <v>212138.02468999999</v>
      </c>
      <c r="J1329" s="80">
        <v>166.446667583037</v>
      </c>
      <c r="K1329" s="80">
        <v>-22.292951977133999</v>
      </c>
      <c r="L1329" s="71">
        <v>215</v>
      </c>
      <c r="M1329" s="73">
        <v>3</v>
      </c>
      <c r="N1329" s="73">
        <v>2</v>
      </c>
      <c r="O1329" s="73">
        <v>1</v>
      </c>
      <c r="P1329" s="2" t="s">
        <v>37</v>
      </c>
      <c r="Q1329" t="str">
        <f>LEFT(B1329,3)</f>
        <v>VEL</v>
      </c>
    </row>
    <row r="1330" spans="1:17">
      <c r="A1330" s="17" t="s">
        <v>3835</v>
      </c>
      <c r="B1330" s="17" t="s">
        <v>2365</v>
      </c>
      <c r="C1330" s="13" t="s">
        <v>2366</v>
      </c>
      <c r="D1330" s="13" t="s">
        <v>2366</v>
      </c>
      <c r="E1330" s="17" t="s">
        <v>29</v>
      </c>
      <c r="F1330" s="17" t="s">
        <v>43</v>
      </c>
      <c r="G1330" s="17" t="s">
        <v>30</v>
      </c>
      <c r="H1330" s="7">
        <v>446028.16217999998</v>
      </c>
      <c r="I1330" s="7">
        <v>212138.02468999999</v>
      </c>
      <c r="J1330" s="80">
        <v>166.446667583037</v>
      </c>
      <c r="K1330" s="80">
        <v>-22.292951977133999</v>
      </c>
      <c r="L1330" s="71">
        <v>305</v>
      </c>
      <c r="M1330" s="73">
        <v>3</v>
      </c>
      <c r="N1330" s="73">
        <v>2</v>
      </c>
      <c r="O1330" s="73">
        <v>1</v>
      </c>
      <c r="P1330" s="2" t="s">
        <v>37</v>
      </c>
      <c r="Q1330" t="str">
        <f>LEFT(B1330,3)</f>
        <v>VEL</v>
      </c>
    </row>
    <row r="1331" spans="1:17">
      <c r="A1331" s="13" t="s">
        <v>3836</v>
      </c>
      <c r="B1331" s="13" t="s">
        <v>2369</v>
      </c>
      <c r="C1331" s="13" t="s">
        <v>2370</v>
      </c>
      <c r="D1331" s="13" t="s">
        <v>2370</v>
      </c>
      <c r="E1331" s="17" t="s">
        <v>29</v>
      </c>
      <c r="F1331" s="17" t="s">
        <v>43</v>
      </c>
      <c r="G1331" s="17" t="s">
        <v>30</v>
      </c>
      <c r="H1331" s="7">
        <v>445925</v>
      </c>
      <c r="I1331" s="7">
        <v>214663</v>
      </c>
      <c r="J1331" s="79">
        <v>166.44559799999999</v>
      </c>
      <c r="K1331" s="79">
        <v>-22.270152</v>
      </c>
      <c r="L1331" s="71">
        <v>140</v>
      </c>
      <c r="M1331" s="73">
        <v>2</v>
      </c>
      <c r="N1331" s="73">
        <v>1</v>
      </c>
      <c r="O1331" s="73">
        <v>1</v>
      </c>
      <c r="P1331" s="2" t="s">
        <v>37</v>
      </c>
      <c r="Q1331" t="str">
        <f>LEFT(B1331,3)</f>
        <v>VGE</v>
      </c>
    </row>
    <row r="1332" spans="1:17">
      <c r="A1332" s="17" t="s">
        <v>3837</v>
      </c>
      <c r="B1332" s="17" t="s">
        <v>2373</v>
      </c>
      <c r="C1332" s="13" t="s">
        <v>2374</v>
      </c>
      <c r="D1332" s="13" t="s">
        <v>2375</v>
      </c>
      <c r="E1332" s="17" t="s">
        <v>191</v>
      </c>
      <c r="F1332" s="17" t="s">
        <v>43</v>
      </c>
      <c r="G1332" s="17" t="s">
        <v>43</v>
      </c>
      <c r="H1332" s="7">
        <v>346187</v>
      </c>
      <c r="I1332" s="7">
        <v>286339</v>
      </c>
      <c r="J1332" s="79">
        <v>165.48017999999999</v>
      </c>
      <c r="K1332" s="79">
        <v>-21.622579999999999</v>
      </c>
      <c r="L1332" s="71">
        <v>116</v>
      </c>
      <c r="M1332" s="73">
        <v>1</v>
      </c>
      <c r="N1332" s="73">
        <v>1</v>
      </c>
      <c r="O1332" s="73">
        <v>0</v>
      </c>
      <c r="P1332" s="17" t="s">
        <v>47</v>
      </c>
      <c r="Q1332" t="str">
        <f>LEFT(B1332,3)</f>
        <v>VID</v>
      </c>
    </row>
    <row r="1333" spans="1:17">
      <c r="A1333" s="17" t="s">
        <v>3838</v>
      </c>
      <c r="B1333" s="17" t="s">
        <v>2373</v>
      </c>
      <c r="C1333" s="13" t="s">
        <v>2374</v>
      </c>
      <c r="D1333" s="13" t="s">
        <v>2375</v>
      </c>
      <c r="E1333" s="17" t="s">
        <v>191</v>
      </c>
      <c r="F1333" s="17" t="s">
        <v>43</v>
      </c>
      <c r="G1333" s="17" t="s">
        <v>43</v>
      </c>
      <c r="H1333" s="7">
        <v>346187</v>
      </c>
      <c r="I1333" s="7">
        <v>286339</v>
      </c>
      <c r="J1333" s="79">
        <v>165.48017999999999</v>
      </c>
      <c r="K1333" s="79">
        <v>-21.622579999999999</v>
      </c>
      <c r="L1333" s="71">
        <v>252</v>
      </c>
      <c r="M1333" s="73">
        <v>1</v>
      </c>
      <c r="N1333" s="73">
        <v>1</v>
      </c>
      <c r="O1333" s="73">
        <v>0</v>
      </c>
      <c r="P1333" s="17" t="s">
        <v>47</v>
      </c>
      <c r="Q1333" t="str">
        <f>LEFT(B1333,3)</f>
        <v>VID</v>
      </c>
    </row>
    <row r="1334" spans="1:17">
      <c r="A1334" s="17" t="s">
        <v>3839</v>
      </c>
      <c r="B1334" s="17" t="s">
        <v>2373</v>
      </c>
      <c r="C1334" s="13" t="s">
        <v>2374</v>
      </c>
      <c r="D1334" s="13" t="s">
        <v>2375</v>
      </c>
      <c r="E1334" s="17" t="s">
        <v>191</v>
      </c>
      <c r="F1334" s="17" t="s">
        <v>43</v>
      </c>
      <c r="G1334" s="17" t="s">
        <v>43</v>
      </c>
      <c r="H1334" s="7">
        <v>346187</v>
      </c>
      <c r="I1334" s="7">
        <v>286339</v>
      </c>
      <c r="J1334" s="79">
        <v>165.48017999999999</v>
      </c>
      <c r="K1334" s="79">
        <v>-21.622579999999999</v>
      </c>
      <c r="L1334" s="71">
        <v>356</v>
      </c>
      <c r="M1334" s="73">
        <v>1</v>
      </c>
      <c r="N1334" s="73">
        <v>1</v>
      </c>
      <c r="O1334" s="73">
        <v>0</v>
      </c>
      <c r="P1334" s="17" t="s">
        <v>47</v>
      </c>
      <c r="Q1334" t="str">
        <f>LEFT(B1334,3)</f>
        <v>VID</v>
      </c>
    </row>
    <row r="1335" spans="1:17">
      <c r="A1335" s="17" t="s">
        <v>3840</v>
      </c>
      <c r="B1335" s="17" t="s">
        <v>2377</v>
      </c>
      <c r="C1335" s="17" t="s">
        <v>2378</v>
      </c>
      <c r="D1335" s="17" t="s">
        <v>2378</v>
      </c>
      <c r="E1335" s="17" t="s">
        <v>104</v>
      </c>
      <c r="F1335" s="17" t="s">
        <v>68</v>
      </c>
      <c r="G1335" s="17" t="s">
        <v>68</v>
      </c>
      <c r="H1335" s="17">
        <v>329238</v>
      </c>
      <c r="I1335" s="19">
        <v>362419</v>
      </c>
      <c r="J1335" s="80">
        <v>165.31966</v>
      </c>
      <c r="K1335" s="80">
        <v>-20.934799999999999</v>
      </c>
      <c r="L1335" s="71">
        <v>26</v>
      </c>
      <c r="M1335" s="73">
        <v>1</v>
      </c>
      <c r="N1335" s="73">
        <v>1</v>
      </c>
      <c r="O1335" s="73">
        <v>0</v>
      </c>
      <c r="P1335" s="17" t="s">
        <v>47</v>
      </c>
      <c r="Q1335" t="str">
        <f>LEFT(B1335,3)</f>
        <v>VKO</v>
      </c>
    </row>
    <row r="1336" spans="1:17">
      <c r="A1336" s="17" t="s">
        <v>3841</v>
      </c>
      <c r="B1336" s="17" t="s">
        <v>2377</v>
      </c>
      <c r="C1336" s="17" t="s">
        <v>2378</v>
      </c>
      <c r="D1336" s="17" t="s">
        <v>2378</v>
      </c>
      <c r="E1336" s="17" t="s">
        <v>104</v>
      </c>
      <c r="F1336" s="17" t="s">
        <v>68</v>
      </c>
      <c r="G1336" s="17" t="s">
        <v>68</v>
      </c>
      <c r="H1336" s="29">
        <v>329238</v>
      </c>
      <c r="I1336" s="19">
        <v>362419</v>
      </c>
      <c r="J1336" s="80">
        <v>165.31966</v>
      </c>
      <c r="K1336" s="80">
        <v>-20.934799999999999</v>
      </c>
      <c r="L1336" s="71">
        <v>225</v>
      </c>
      <c r="M1336" s="73">
        <v>1</v>
      </c>
      <c r="N1336" s="73">
        <v>1</v>
      </c>
      <c r="O1336" s="73">
        <v>0</v>
      </c>
      <c r="P1336" s="17" t="s">
        <v>47</v>
      </c>
      <c r="Q1336" t="str">
        <f>LEFT(B1336,3)</f>
        <v>VKO</v>
      </c>
    </row>
    <row r="1337" spans="1:17">
      <c r="A1337" s="17" t="s">
        <v>3842</v>
      </c>
      <c r="B1337" s="17" t="s">
        <v>2380</v>
      </c>
      <c r="C1337" s="13" t="s">
        <v>2381</v>
      </c>
      <c r="D1337" s="13" t="s">
        <v>2382</v>
      </c>
      <c r="E1337" s="17" t="s">
        <v>421</v>
      </c>
      <c r="F1337" s="17" t="s">
        <v>43</v>
      </c>
      <c r="G1337" s="17" t="s">
        <v>43</v>
      </c>
      <c r="H1337" s="7">
        <v>367774</v>
      </c>
      <c r="I1337" s="7">
        <v>280414</v>
      </c>
      <c r="J1337" s="79">
        <v>165.68859</v>
      </c>
      <c r="K1337" s="79">
        <v>-21.676617</v>
      </c>
      <c r="L1337" s="71">
        <v>75</v>
      </c>
      <c r="M1337" s="73">
        <v>1</v>
      </c>
      <c r="N1337" s="73">
        <v>1</v>
      </c>
      <c r="O1337" s="73">
        <v>0</v>
      </c>
      <c r="P1337" s="17" t="s">
        <v>47</v>
      </c>
      <c r="Q1337" t="str">
        <f>LEFT(B1337,3)</f>
        <v>VMO</v>
      </c>
    </row>
    <row r="1338" spans="1:17">
      <c r="A1338" s="17" t="s">
        <v>3843</v>
      </c>
      <c r="B1338" s="17" t="s">
        <v>2380</v>
      </c>
      <c r="C1338" s="13" t="s">
        <v>2381</v>
      </c>
      <c r="D1338" s="13" t="s">
        <v>2382</v>
      </c>
      <c r="E1338" s="17" t="s">
        <v>421</v>
      </c>
      <c r="F1338" s="17" t="s">
        <v>43</v>
      </c>
      <c r="G1338" s="17" t="s">
        <v>43</v>
      </c>
      <c r="H1338" s="7">
        <v>367774</v>
      </c>
      <c r="I1338" s="7">
        <v>280414</v>
      </c>
      <c r="J1338" s="79">
        <v>165.68859</v>
      </c>
      <c r="K1338" s="79">
        <v>-21.676617</v>
      </c>
      <c r="L1338" s="71">
        <v>250</v>
      </c>
      <c r="M1338" s="73">
        <v>1</v>
      </c>
      <c r="N1338" s="73">
        <v>1</v>
      </c>
      <c r="O1338" s="73">
        <v>0</v>
      </c>
      <c r="P1338" s="17" t="s">
        <v>47</v>
      </c>
      <c r="Q1338" t="str">
        <f>LEFT(B1338,3)</f>
        <v>VMO</v>
      </c>
    </row>
    <row r="1339" spans="1:17">
      <c r="A1339" s="17" t="s">
        <v>3844</v>
      </c>
      <c r="B1339" s="17" t="s">
        <v>2380</v>
      </c>
      <c r="C1339" s="13" t="s">
        <v>2381</v>
      </c>
      <c r="D1339" s="13" t="s">
        <v>2382</v>
      </c>
      <c r="E1339" s="17" t="s">
        <v>421</v>
      </c>
      <c r="F1339" s="17" t="s">
        <v>43</v>
      </c>
      <c r="G1339" s="17" t="s">
        <v>43</v>
      </c>
      <c r="H1339" s="7">
        <v>367774</v>
      </c>
      <c r="I1339" s="7">
        <v>280414</v>
      </c>
      <c r="J1339" s="79">
        <v>165.68859</v>
      </c>
      <c r="K1339" s="79">
        <v>-21.676617</v>
      </c>
      <c r="L1339" s="71">
        <v>340</v>
      </c>
      <c r="M1339" s="73">
        <v>1</v>
      </c>
      <c r="N1339" s="73">
        <v>1</v>
      </c>
      <c r="O1339" s="73">
        <v>0</v>
      </c>
      <c r="P1339" s="17" t="s">
        <v>47</v>
      </c>
      <c r="Q1339" t="str">
        <f>LEFT(B1339,3)</f>
        <v>VMO</v>
      </c>
    </row>
    <row r="1340" spans="1:17">
      <c r="A1340" s="17" t="s">
        <v>3845</v>
      </c>
      <c r="B1340" s="17" t="s">
        <v>2384</v>
      </c>
      <c r="C1340" s="13" t="s">
        <v>249</v>
      </c>
      <c r="D1340" s="13" t="s">
        <v>249</v>
      </c>
      <c r="E1340" s="17" t="s">
        <v>249</v>
      </c>
      <c r="F1340" s="17" t="s">
        <v>68</v>
      </c>
      <c r="G1340" s="17" t="s">
        <v>68</v>
      </c>
      <c r="H1340" s="7">
        <v>263733</v>
      </c>
      <c r="I1340" s="7">
        <v>360332</v>
      </c>
      <c r="J1340" s="79">
        <v>164.68970999999999</v>
      </c>
      <c r="K1340" s="79">
        <v>-20.94989</v>
      </c>
      <c r="L1340" s="71">
        <v>120</v>
      </c>
      <c r="M1340" s="73">
        <v>1</v>
      </c>
      <c r="N1340" s="73">
        <v>1</v>
      </c>
      <c r="O1340" s="73">
        <v>0</v>
      </c>
      <c r="P1340" s="17" t="s">
        <v>37</v>
      </c>
      <c r="Q1340" t="str">
        <f>LEFT(B1340,3)</f>
        <v>VOH</v>
      </c>
    </row>
    <row r="1341" spans="1:17">
      <c r="A1341" s="17" t="s">
        <v>3846</v>
      </c>
      <c r="B1341" s="17" t="s">
        <v>2384</v>
      </c>
      <c r="C1341" s="13" t="s">
        <v>249</v>
      </c>
      <c r="D1341" s="13" t="s">
        <v>249</v>
      </c>
      <c r="E1341" s="17" t="s">
        <v>249</v>
      </c>
      <c r="F1341" s="17" t="s">
        <v>68</v>
      </c>
      <c r="G1341" s="17" t="s">
        <v>68</v>
      </c>
      <c r="H1341" s="7">
        <v>263733</v>
      </c>
      <c r="I1341" s="7">
        <v>360332</v>
      </c>
      <c r="J1341" s="79">
        <v>164.68970999999999</v>
      </c>
      <c r="K1341" s="79">
        <v>-20.94989</v>
      </c>
      <c r="L1341" s="71">
        <v>210</v>
      </c>
      <c r="M1341" s="73">
        <v>1</v>
      </c>
      <c r="N1341" s="73">
        <v>1</v>
      </c>
      <c r="O1341" s="73">
        <v>0</v>
      </c>
      <c r="P1341" s="17" t="s">
        <v>37</v>
      </c>
      <c r="Q1341" t="str">
        <f>LEFT(B1341,3)</f>
        <v>VOH</v>
      </c>
    </row>
    <row r="1342" spans="1:17">
      <c r="A1342" s="17" t="s">
        <v>3847</v>
      </c>
      <c r="B1342" s="17" t="s">
        <v>2384</v>
      </c>
      <c r="C1342" s="13" t="s">
        <v>249</v>
      </c>
      <c r="D1342" s="13" t="s">
        <v>249</v>
      </c>
      <c r="E1342" s="17" t="s">
        <v>249</v>
      </c>
      <c r="F1342" s="17" t="s">
        <v>68</v>
      </c>
      <c r="G1342" s="17" t="s">
        <v>68</v>
      </c>
      <c r="H1342" s="7">
        <v>263733</v>
      </c>
      <c r="I1342" s="7">
        <v>360332</v>
      </c>
      <c r="J1342" s="79">
        <v>164.68970999999999</v>
      </c>
      <c r="K1342" s="79">
        <v>-20.94989</v>
      </c>
      <c r="L1342" s="71">
        <v>295</v>
      </c>
      <c r="M1342" s="73">
        <v>1</v>
      </c>
      <c r="N1342" s="73">
        <v>1</v>
      </c>
      <c r="O1342" s="73">
        <v>0</v>
      </c>
      <c r="P1342" s="17" t="s">
        <v>37</v>
      </c>
      <c r="Q1342" t="str">
        <f>LEFT(B1342,3)</f>
        <v>VOH</v>
      </c>
    </row>
    <row r="1343" spans="1:17">
      <c r="A1343" s="17" t="s">
        <v>3848</v>
      </c>
      <c r="B1343" s="17" t="s">
        <v>2386</v>
      </c>
      <c r="C1343" s="6" t="s">
        <v>2387</v>
      </c>
      <c r="D1343" s="6" t="s">
        <v>2388</v>
      </c>
      <c r="E1343" s="6" t="s">
        <v>437</v>
      </c>
      <c r="F1343" s="17" t="s">
        <v>68</v>
      </c>
      <c r="G1343" s="17" t="s">
        <v>68</v>
      </c>
      <c r="H1343" s="7">
        <v>242340</v>
      </c>
      <c r="I1343" s="7">
        <v>379459</v>
      </c>
      <c r="J1343" s="79">
        <v>164.48579799999999</v>
      </c>
      <c r="K1343" s="79">
        <v>-20.775382</v>
      </c>
      <c r="L1343" s="71">
        <v>60</v>
      </c>
      <c r="M1343" s="73">
        <v>1</v>
      </c>
      <c r="N1343" s="73">
        <v>1</v>
      </c>
      <c r="O1343" s="73">
        <v>0</v>
      </c>
      <c r="P1343" s="17" t="s">
        <v>47</v>
      </c>
      <c r="Q1343" t="str">
        <f>LEFT(B1343,3)</f>
        <v>VTA</v>
      </c>
    </row>
    <row r="1344" spans="1:17">
      <c r="A1344" s="17" t="s">
        <v>3849</v>
      </c>
      <c r="B1344" s="17" t="s">
        <v>2386</v>
      </c>
      <c r="C1344" s="6" t="s">
        <v>2387</v>
      </c>
      <c r="D1344" s="6" t="s">
        <v>2388</v>
      </c>
      <c r="E1344" s="6" t="s">
        <v>437</v>
      </c>
      <c r="F1344" s="17" t="s">
        <v>68</v>
      </c>
      <c r="G1344" s="17" t="s">
        <v>68</v>
      </c>
      <c r="H1344" s="7">
        <v>242340</v>
      </c>
      <c r="I1344" s="7">
        <v>379459</v>
      </c>
      <c r="J1344" s="79">
        <v>164.48579799999999</v>
      </c>
      <c r="K1344" s="79">
        <v>-20.775382</v>
      </c>
      <c r="L1344" s="71">
        <v>115</v>
      </c>
      <c r="M1344" s="73">
        <v>1</v>
      </c>
      <c r="N1344" s="73">
        <v>1</v>
      </c>
      <c r="O1344" s="73">
        <v>0</v>
      </c>
      <c r="P1344" s="17" t="s">
        <v>47</v>
      </c>
      <c r="Q1344" t="str">
        <f>LEFT(B1344,3)</f>
        <v>VTA</v>
      </c>
    </row>
    <row r="1345" spans="1:17">
      <c r="A1345" s="17" t="s">
        <v>3850</v>
      </c>
      <c r="B1345" s="17" t="s">
        <v>2386</v>
      </c>
      <c r="C1345" s="6" t="s">
        <v>2387</v>
      </c>
      <c r="D1345" s="6" t="s">
        <v>2388</v>
      </c>
      <c r="E1345" s="6" t="s">
        <v>437</v>
      </c>
      <c r="F1345" s="17" t="s">
        <v>68</v>
      </c>
      <c r="G1345" s="17" t="s">
        <v>68</v>
      </c>
      <c r="H1345" s="7">
        <v>242340</v>
      </c>
      <c r="I1345" s="7">
        <v>379459</v>
      </c>
      <c r="J1345" s="79">
        <v>164.48579799999999</v>
      </c>
      <c r="K1345" s="79">
        <v>-20.775382</v>
      </c>
      <c r="L1345" s="71">
        <v>332</v>
      </c>
      <c r="M1345" s="73">
        <v>1</v>
      </c>
      <c r="N1345" s="73">
        <v>1</v>
      </c>
      <c r="O1345" s="73">
        <v>0</v>
      </c>
      <c r="P1345" s="17" t="s">
        <v>47</v>
      </c>
      <c r="Q1345" t="str">
        <f>LEFT(B1345,3)</f>
        <v>VTA</v>
      </c>
    </row>
    <row r="1346" spans="1:17">
      <c r="A1346" s="17" t="s">
        <v>3851</v>
      </c>
      <c r="B1346" s="17" t="s">
        <v>2390</v>
      </c>
      <c r="C1346" s="13" t="s">
        <v>2391</v>
      </c>
      <c r="D1346" s="13" t="s">
        <v>2391</v>
      </c>
      <c r="E1346" s="17" t="s">
        <v>56</v>
      </c>
      <c r="F1346" s="17" t="s">
        <v>43</v>
      </c>
      <c r="G1346" s="17" t="s">
        <v>50</v>
      </c>
      <c r="H1346" s="7">
        <v>436494</v>
      </c>
      <c r="I1346" s="7">
        <v>254110</v>
      </c>
      <c r="J1346" s="79">
        <v>166.353227</v>
      </c>
      <c r="K1346" s="79">
        <v>-21.914113</v>
      </c>
      <c r="L1346" s="71">
        <v>25</v>
      </c>
      <c r="M1346" s="73">
        <v>1</v>
      </c>
      <c r="N1346" s="73">
        <v>1</v>
      </c>
      <c r="O1346" s="73">
        <v>0</v>
      </c>
      <c r="P1346" s="17" t="s">
        <v>37</v>
      </c>
      <c r="Q1346" t="str">
        <f>LEFT(B1346,3)</f>
        <v>VUL</v>
      </c>
    </row>
    <row r="1347" spans="1:17">
      <c r="A1347" s="17" t="s">
        <v>3852</v>
      </c>
      <c r="B1347" s="17" t="s">
        <v>2390</v>
      </c>
      <c r="C1347" s="13" t="s">
        <v>2391</v>
      </c>
      <c r="D1347" s="13" t="s">
        <v>2391</v>
      </c>
      <c r="E1347" s="17" t="s">
        <v>56</v>
      </c>
      <c r="F1347" s="17" t="s">
        <v>43</v>
      </c>
      <c r="G1347" s="17" t="s">
        <v>50</v>
      </c>
      <c r="H1347" s="7">
        <v>436494</v>
      </c>
      <c r="I1347" s="7">
        <v>254110</v>
      </c>
      <c r="J1347" s="79">
        <v>166.353227</v>
      </c>
      <c r="K1347" s="79">
        <v>-21.914113</v>
      </c>
      <c r="L1347" s="71">
        <v>242</v>
      </c>
      <c r="M1347" s="73">
        <v>1</v>
      </c>
      <c r="N1347" s="73">
        <v>1</v>
      </c>
      <c r="O1347" s="73">
        <v>0</v>
      </c>
      <c r="P1347" s="17" t="s">
        <v>37</v>
      </c>
      <c r="Q1347" t="str">
        <f>LEFT(B1347,3)</f>
        <v>VUL</v>
      </c>
    </row>
    <row r="1348" spans="1:17">
      <c r="A1348" s="17" t="s">
        <v>3853</v>
      </c>
      <c r="B1348" s="17" t="s">
        <v>2393</v>
      </c>
      <c r="C1348" s="13" t="s">
        <v>2394</v>
      </c>
      <c r="D1348" s="13" t="s">
        <v>2394</v>
      </c>
      <c r="E1348" s="17" t="s">
        <v>128</v>
      </c>
      <c r="F1348" s="17" t="s">
        <v>129</v>
      </c>
      <c r="G1348" s="17" t="s">
        <v>129</v>
      </c>
      <c r="H1348" s="7">
        <v>458890.82853</v>
      </c>
      <c r="I1348" s="7">
        <v>399693.95740999997</v>
      </c>
      <c r="J1348" s="80">
        <v>166.56491524152901</v>
      </c>
      <c r="K1348" s="80">
        <v>-20.5985468680209</v>
      </c>
      <c r="L1348" s="71">
        <v>1</v>
      </c>
      <c r="M1348" s="73">
        <v>1</v>
      </c>
      <c r="N1348" s="73">
        <v>1</v>
      </c>
      <c r="O1348" s="73">
        <v>1</v>
      </c>
      <c r="P1348" s="17" t="s">
        <v>47</v>
      </c>
      <c r="Q1348" t="str">
        <f>LEFT(B1348,3)</f>
        <v>WAD</v>
      </c>
    </row>
    <row r="1349" spans="1:17">
      <c r="A1349" s="17" t="s">
        <v>3854</v>
      </c>
      <c r="B1349" s="17" t="s">
        <v>2393</v>
      </c>
      <c r="C1349" s="13" t="s">
        <v>2394</v>
      </c>
      <c r="D1349" s="13" t="s">
        <v>2394</v>
      </c>
      <c r="E1349" s="17" t="s">
        <v>128</v>
      </c>
      <c r="F1349" s="17" t="s">
        <v>129</v>
      </c>
      <c r="G1349" s="17" t="s">
        <v>129</v>
      </c>
      <c r="H1349" s="7">
        <v>458890.82853</v>
      </c>
      <c r="I1349" s="7">
        <v>399693.95740999997</v>
      </c>
      <c r="J1349" s="80">
        <v>166.56491524152901</v>
      </c>
      <c r="K1349" s="80">
        <v>-20.5985468680209</v>
      </c>
      <c r="L1349" s="71">
        <v>162</v>
      </c>
      <c r="M1349" s="73">
        <v>1</v>
      </c>
      <c r="N1349" s="73">
        <v>1</v>
      </c>
      <c r="O1349" s="73">
        <v>1</v>
      </c>
      <c r="P1349" s="17" t="s">
        <v>47</v>
      </c>
      <c r="Q1349" t="str">
        <f>LEFT(B1349,3)</f>
        <v>WAD</v>
      </c>
    </row>
    <row r="1350" spans="1:17">
      <c r="A1350" s="13" t="s">
        <v>3855</v>
      </c>
      <c r="B1350" s="13" t="s">
        <v>2397</v>
      </c>
      <c r="C1350" s="13" t="s">
        <v>2398</v>
      </c>
      <c r="D1350" s="13" t="s">
        <v>2398</v>
      </c>
      <c r="E1350" s="17" t="s">
        <v>249</v>
      </c>
      <c r="F1350" s="17" t="s">
        <v>68</v>
      </c>
      <c r="G1350" s="17" t="s">
        <v>68</v>
      </c>
      <c r="H1350" s="7">
        <v>264970</v>
      </c>
      <c r="I1350" s="7">
        <v>383996.90629999997</v>
      </c>
      <c r="J1350" s="80">
        <v>164.70349235330099</v>
      </c>
      <c r="K1350" s="80">
        <v>-20.7362316642526</v>
      </c>
      <c r="L1350" s="71">
        <v>168</v>
      </c>
      <c r="M1350" s="73">
        <v>1</v>
      </c>
      <c r="N1350" s="73">
        <v>1</v>
      </c>
      <c r="O1350" s="73">
        <v>1</v>
      </c>
      <c r="P1350" s="17" t="s">
        <v>47</v>
      </c>
      <c r="Q1350" t="str">
        <f>LEFT(B1350,3)</f>
        <v>WAH</v>
      </c>
    </row>
    <row r="1351" spans="1:17">
      <c r="A1351" s="13" t="s">
        <v>3856</v>
      </c>
      <c r="B1351" s="13" t="s">
        <v>2397</v>
      </c>
      <c r="C1351" s="13" t="s">
        <v>2398</v>
      </c>
      <c r="D1351" s="13" t="s">
        <v>2398</v>
      </c>
      <c r="E1351" s="17" t="s">
        <v>249</v>
      </c>
      <c r="F1351" s="17" t="s">
        <v>68</v>
      </c>
      <c r="G1351" s="17" t="s">
        <v>68</v>
      </c>
      <c r="H1351" s="7">
        <v>264970</v>
      </c>
      <c r="I1351" s="7">
        <v>383996.90629999997</v>
      </c>
      <c r="J1351" s="80">
        <v>164.70349235330099</v>
      </c>
      <c r="K1351" s="80">
        <v>-20.7362316642526</v>
      </c>
      <c r="L1351" s="71">
        <v>300</v>
      </c>
      <c r="M1351" s="73">
        <v>1</v>
      </c>
      <c r="N1351" s="73">
        <v>1</v>
      </c>
      <c r="O1351" s="73">
        <v>1</v>
      </c>
      <c r="P1351" s="17" t="s">
        <v>47</v>
      </c>
      <c r="Q1351" t="str">
        <f>LEFT(B1351,3)</f>
        <v>WAH</v>
      </c>
    </row>
    <row r="1352" spans="1:17">
      <c r="A1352" s="17" t="s">
        <v>3857</v>
      </c>
      <c r="B1352" s="17" t="s">
        <v>2402</v>
      </c>
      <c r="C1352" s="13" t="s">
        <v>2403</v>
      </c>
      <c r="D1352" s="13" t="s">
        <v>2403</v>
      </c>
      <c r="E1352" s="17" t="s">
        <v>351</v>
      </c>
      <c r="F1352" s="17" t="s">
        <v>129</v>
      </c>
      <c r="G1352" s="17" t="s">
        <v>129</v>
      </c>
      <c r="H1352" s="7">
        <v>595993.69056000002</v>
      </c>
      <c r="I1352" s="7">
        <v>305988.20536000002</v>
      </c>
      <c r="J1352" s="80">
        <v>167.89087262591801</v>
      </c>
      <c r="K1352" s="80">
        <v>-21.435206790365498</v>
      </c>
      <c r="L1352" s="71">
        <v>15</v>
      </c>
      <c r="M1352" s="73">
        <v>1</v>
      </c>
      <c r="N1352" s="73">
        <v>1</v>
      </c>
      <c r="O1352" s="73">
        <v>1</v>
      </c>
      <c r="P1352" s="17" t="s">
        <v>47</v>
      </c>
      <c r="Q1352" t="str">
        <f>LEFT(B1352,3)</f>
        <v>WAK</v>
      </c>
    </row>
    <row r="1353" spans="1:17">
      <c r="A1353" s="17" t="s">
        <v>3858</v>
      </c>
      <c r="B1353" s="17" t="s">
        <v>2402</v>
      </c>
      <c r="C1353" s="13" t="s">
        <v>2403</v>
      </c>
      <c r="D1353" s="13" t="s">
        <v>2403</v>
      </c>
      <c r="E1353" s="17" t="s">
        <v>351</v>
      </c>
      <c r="F1353" s="17" t="s">
        <v>129</v>
      </c>
      <c r="G1353" s="17" t="s">
        <v>129</v>
      </c>
      <c r="H1353" s="7">
        <v>595993.69056000002</v>
      </c>
      <c r="I1353" s="7">
        <v>305988.20536000002</v>
      </c>
      <c r="J1353" s="80">
        <v>167.89087262591801</v>
      </c>
      <c r="K1353" s="80">
        <v>-21.435206790365498</v>
      </c>
      <c r="L1353" s="71">
        <v>130</v>
      </c>
      <c r="M1353" s="73">
        <v>1</v>
      </c>
      <c r="N1353" s="73">
        <v>1</v>
      </c>
      <c r="O1353" s="73">
        <v>1</v>
      </c>
      <c r="P1353" s="17" t="s">
        <v>47</v>
      </c>
      <c r="Q1353" t="str">
        <f>LEFT(B1353,3)</f>
        <v>WAK</v>
      </c>
    </row>
    <row r="1354" spans="1:17">
      <c r="A1354" s="17" t="s">
        <v>3859</v>
      </c>
      <c r="B1354" s="17" t="s">
        <v>2402</v>
      </c>
      <c r="C1354" s="13" t="s">
        <v>2403</v>
      </c>
      <c r="D1354" s="13" t="s">
        <v>2403</v>
      </c>
      <c r="E1354" s="17" t="s">
        <v>351</v>
      </c>
      <c r="F1354" s="17" t="s">
        <v>129</v>
      </c>
      <c r="G1354" s="17" t="s">
        <v>129</v>
      </c>
      <c r="H1354" s="7">
        <v>595993.69056000002</v>
      </c>
      <c r="I1354" s="7">
        <v>305988.20536000002</v>
      </c>
      <c r="J1354" s="80">
        <v>167.89087262591801</v>
      </c>
      <c r="K1354" s="80">
        <v>-21.435206790365498</v>
      </c>
      <c r="L1354" s="71">
        <v>255</v>
      </c>
      <c r="M1354" s="73">
        <v>1</v>
      </c>
      <c r="N1354" s="73">
        <v>1</v>
      </c>
      <c r="O1354" s="73">
        <v>1</v>
      </c>
      <c r="P1354" s="17" t="s">
        <v>47</v>
      </c>
      <c r="Q1354" t="str">
        <f>LEFT(B1354,3)</f>
        <v>WAK</v>
      </c>
    </row>
    <row r="1355" spans="1:17">
      <c r="A1355" s="3" t="s">
        <v>3860</v>
      </c>
      <c r="B1355" s="3" t="s">
        <v>2406</v>
      </c>
      <c r="C1355" s="3" t="s">
        <v>2407</v>
      </c>
      <c r="D1355" s="3" t="s">
        <v>2408</v>
      </c>
      <c r="E1355" s="3" t="s">
        <v>373</v>
      </c>
      <c r="F1355" s="3" t="s">
        <v>129</v>
      </c>
      <c r="G1355" s="3" t="s">
        <v>129</v>
      </c>
      <c r="H1355" s="4">
        <v>529118</v>
      </c>
      <c r="I1355" s="7">
        <v>379414</v>
      </c>
      <c r="J1355" s="79">
        <v>167.24009000000001</v>
      </c>
      <c r="K1355" s="79">
        <v>-20.77806</v>
      </c>
      <c r="L1355" s="71">
        <v>0</v>
      </c>
      <c r="M1355" s="73">
        <v>1</v>
      </c>
      <c r="N1355" s="73">
        <v>1</v>
      </c>
      <c r="O1355" s="73">
        <v>0</v>
      </c>
      <c r="P1355" s="17" t="s">
        <v>47</v>
      </c>
      <c r="Q1355" t="str">
        <f>LEFT(B1355,3)</f>
        <v>WAN</v>
      </c>
    </row>
    <row r="1356" spans="1:17">
      <c r="A1356" s="13" t="s">
        <v>3861</v>
      </c>
      <c r="B1356" s="13" t="s">
        <v>2410</v>
      </c>
      <c r="C1356" s="13" t="s">
        <v>2411</v>
      </c>
      <c r="D1356" s="13" t="s">
        <v>2411</v>
      </c>
      <c r="E1356" s="17" t="s">
        <v>29</v>
      </c>
      <c r="F1356" s="17" t="s">
        <v>43</v>
      </c>
      <c r="G1356" s="17" t="s">
        <v>30</v>
      </c>
      <c r="H1356" s="7">
        <v>445189</v>
      </c>
      <c r="I1356" s="7">
        <v>212350</v>
      </c>
      <c r="J1356" s="80">
        <v>166.43851998270901</v>
      </c>
      <c r="K1356" s="80">
        <v>-22.291058923036999</v>
      </c>
      <c r="L1356" s="71">
        <v>15</v>
      </c>
      <c r="M1356" s="73">
        <v>3</v>
      </c>
      <c r="N1356" s="73">
        <v>3</v>
      </c>
      <c r="O1356" s="73">
        <v>1</v>
      </c>
      <c r="P1356" s="17" t="s">
        <v>37</v>
      </c>
      <c r="Q1356" t="str">
        <f>LEFT(B1356,3)</f>
        <v>WAR</v>
      </c>
    </row>
    <row r="1357" spans="1:17">
      <c r="A1357" s="13" t="s">
        <v>3862</v>
      </c>
      <c r="B1357" s="13" t="s">
        <v>2410</v>
      </c>
      <c r="C1357" s="13" t="s">
        <v>2411</v>
      </c>
      <c r="D1357" s="13" t="s">
        <v>2411</v>
      </c>
      <c r="E1357" s="17" t="s">
        <v>29</v>
      </c>
      <c r="F1357" s="17" t="s">
        <v>43</v>
      </c>
      <c r="G1357" s="17" t="s">
        <v>30</v>
      </c>
      <c r="H1357" s="7">
        <v>445189</v>
      </c>
      <c r="I1357" s="7">
        <v>212350</v>
      </c>
      <c r="J1357" s="80">
        <v>166.43851998270901</v>
      </c>
      <c r="K1357" s="80">
        <v>-22.291058923036999</v>
      </c>
      <c r="L1357" s="71">
        <v>105</v>
      </c>
      <c r="M1357" s="73">
        <v>3</v>
      </c>
      <c r="N1357" s="73">
        <v>3</v>
      </c>
      <c r="O1357" s="73">
        <v>1</v>
      </c>
      <c r="P1357" s="17" t="s">
        <v>37</v>
      </c>
      <c r="Q1357" t="str">
        <f>LEFT(B1357,3)</f>
        <v>WAR</v>
      </c>
    </row>
    <row r="1358" spans="1:17">
      <c r="A1358" s="13" t="s">
        <v>3863</v>
      </c>
      <c r="B1358" s="13" t="s">
        <v>2410</v>
      </c>
      <c r="C1358" s="13" t="s">
        <v>2411</v>
      </c>
      <c r="D1358" s="13" t="s">
        <v>2411</v>
      </c>
      <c r="E1358" s="17" t="s">
        <v>29</v>
      </c>
      <c r="F1358" s="17" t="s">
        <v>43</v>
      </c>
      <c r="G1358" s="17" t="s">
        <v>30</v>
      </c>
      <c r="H1358" s="7">
        <v>445189</v>
      </c>
      <c r="I1358" s="7">
        <v>212350</v>
      </c>
      <c r="J1358" s="80">
        <v>166.43851998270901</v>
      </c>
      <c r="K1358" s="80">
        <v>-22.291058923036999</v>
      </c>
      <c r="L1358" s="71">
        <v>312</v>
      </c>
      <c r="M1358" s="73">
        <v>3</v>
      </c>
      <c r="N1358" s="73">
        <v>3</v>
      </c>
      <c r="O1358" s="73">
        <v>0</v>
      </c>
      <c r="P1358" s="17" t="s">
        <v>37</v>
      </c>
      <c r="Q1358" t="str">
        <f>LEFT(B1358,3)</f>
        <v>WAR</v>
      </c>
    </row>
    <row r="1359" spans="1:17">
      <c r="A1359" s="17" t="s">
        <v>3864</v>
      </c>
      <c r="B1359" s="17" t="s">
        <v>2414</v>
      </c>
      <c r="C1359" s="13" t="s">
        <v>1480</v>
      </c>
      <c r="D1359" s="13" t="s">
        <v>2415</v>
      </c>
      <c r="E1359" s="17" t="s">
        <v>437</v>
      </c>
      <c r="F1359" s="17" t="s">
        <v>68</v>
      </c>
      <c r="G1359" s="17" t="s">
        <v>68</v>
      </c>
      <c r="H1359" s="7">
        <v>255525</v>
      </c>
      <c r="I1359" s="7">
        <v>398609</v>
      </c>
      <c r="J1359" s="80">
        <v>164.61405341188799</v>
      </c>
      <c r="K1359" s="80">
        <v>-20.6035233412643</v>
      </c>
      <c r="L1359" s="71">
        <v>127</v>
      </c>
      <c r="M1359" s="73">
        <v>1</v>
      </c>
      <c r="N1359" s="73">
        <v>1</v>
      </c>
      <c r="O1359" s="73">
        <v>1</v>
      </c>
      <c r="P1359" s="17" t="s">
        <v>47</v>
      </c>
      <c r="Q1359" t="str">
        <f>LEFT(B1359,3)</f>
        <v>WAY</v>
      </c>
    </row>
    <row r="1360" spans="1:17">
      <c r="A1360" s="17" t="s">
        <v>3865</v>
      </c>
      <c r="B1360" s="17" t="s">
        <v>2414</v>
      </c>
      <c r="C1360" s="13" t="s">
        <v>1480</v>
      </c>
      <c r="D1360" s="13" t="s">
        <v>2415</v>
      </c>
      <c r="E1360" s="17" t="s">
        <v>437</v>
      </c>
      <c r="F1360" s="17" t="s">
        <v>68</v>
      </c>
      <c r="G1360" s="17" t="s">
        <v>68</v>
      </c>
      <c r="H1360" s="7">
        <v>255525</v>
      </c>
      <c r="I1360" s="7">
        <v>398609</v>
      </c>
      <c r="J1360" s="80">
        <v>164.61405341188799</v>
      </c>
      <c r="K1360" s="80">
        <v>-20.6035233412643</v>
      </c>
      <c r="L1360" s="71">
        <v>279</v>
      </c>
      <c r="M1360" s="73">
        <v>1</v>
      </c>
      <c r="N1360" s="73">
        <v>1</v>
      </c>
      <c r="O1360" s="73">
        <v>1</v>
      </c>
      <c r="P1360" s="17" t="s">
        <v>47</v>
      </c>
      <c r="Q1360" t="str">
        <f>LEFT(B1360,3)</f>
        <v>WAY</v>
      </c>
    </row>
    <row r="1361" spans="1:17">
      <c r="A1361" s="17" t="s">
        <v>3866</v>
      </c>
      <c r="B1361" s="17" t="s">
        <v>2418</v>
      </c>
      <c r="C1361" s="13" t="s">
        <v>2419</v>
      </c>
      <c r="D1361" s="13" t="s">
        <v>2419</v>
      </c>
      <c r="E1361" s="17" t="s">
        <v>331</v>
      </c>
      <c r="F1361" s="17" t="s">
        <v>43</v>
      </c>
      <c r="G1361" s="17" t="s">
        <v>43</v>
      </c>
      <c r="H1361" s="7">
        <v>548463.86357000005</v>
      </c>
      <c r="I1361" s="7">
        <v>174307.88642</v>
      </c>
      <c r="J1361" s="80">
        <v>167.44408715027299</v>
      </c>
      <c r="K1361" s="80">
        <v>-22.628962780157</v>
      </c>
      <c r="L1361" s="71">
        <v>0</v>
      </c>
      <c r="M1361" s="73">
        <v>1</v>
      </c>
      <c r="N1361" s="73">
        <v>1</v>
      </c>
      <c r="O1361" s="73">
        <v>1</v>
      </c>
      <c r="P1361" s="17" t="s">
        <v>47</v>
      </c>
      <c r="Q1361" t="str">
        <f>LEFT(B1361,3)</f>
        <v>WDE</v>
      </c>
    </row>
    <row r="1362" spans="1:17">
      <c r="A1362" s="17" t="s">
        <v>3867</v>
      </c>
      <c r="B1362" s="17" t="s">
        <v>2418</v>
      </c>
      <c r="C1362" s="13" t="s">
        <v>2419</v>
      </c>
      <c r="D1362" s="13" t="s">
        <v>2419</v>
      </c>
      <c r="E1362" s="17" t="s">
        <v>331</v>
      </c>
      <c r="F1362" s="17" t="s">
        <v>43</v>
      </c>
      <c r="G1362" s="17" t="s">
        <v>43</v>
      </c>
      <c r="H1362" s="7">
        <v>548463.86357000005</v>
      </c>
      <c r="I1362" s="7">
        <v>174307.88642</v>
      </c>
      <c r="J1362" s="80">
        <v>167.44408715027299</v>
      </c>
      <c r="K1362" s="80">
        <v>-22.628962780157</v>
      </c>
      <c r="L1362" s="71">
        <v>260</v>
      </c>
      <c r="M1362" s="73">
        <v>1</v>
      </c>
      <c r="N1362" s="73">
        <v>1</v>
      </c>
      <c r="O1362" s="73">
        <v>1</v>
      </c>
      <c r="P1362" s="17" t="s">
        <v>47</v>
      </c>
      <c r="Q1362" t="str">
        <f>LEFT(B1362,3)</f>
        <v>WDE</v>
      </c>
    </row>
    <row r="1363" spans="1:17">
      <c r="A1363" s="17" t="s">
        <v>3868</v>
      </c>
      <c r="B1363" s="17" t="s">
        <v>2422</v>
      </c>
      <c r="C1363" s="13" t="s">
        <v>2423</v>
      </c>
      <c r="D1363" s="13" t="s">
        <v>2423</v>
      </c>
      <c r="E1363" s="17" t="s">
        <v>373</v>
      </c>
      <c r="F1363" s="17" t="s">
        <v>129</v>
      </c>
      <c r="G1363" s="17" t="s">
        <v>129</v>
      </c>
      <c r="H1363" s="7">
        <v>515427.01225999999</v>
      </c>
      <c r="I1363" s="7">
        <v>356616.96840999997</v>
      </c>
      <c r="J1363" s="80">
        <v>167.110160731685</v>
      </c>
      <c r="K1363" s="80">
        <v>-20.9848989661612</v>
      </c>
      <c r="L1363" s="71">
        <v>110</v>
      </c>
      <c r="M1363" s="73">
        <v>1</v>
      </c>
      <c r="N1363" s="73">
        <v>1</v>
      </c>
      <c r="O1363" s="73">
        <v>1</v>
      </c>
      <c r="P1363" s="17" t="s">
        <v>47</v>
      </c>
      <c r="Q1363" t="str">
        <f>LEFT(B1363,3)</f>
        <v>WED</v>
      </c>
    </row>
    <row r="1364" spans="1:17">
      <c r="A1364" s="17" t="s">
        <v>3869</v>
      </c>
      <c r="B1364" s="17" t="s">
        <v>2422</v>
      </c>
      <c r="C1364" s="13" t="s">
        <v>2423</v>
      </c>
      <c r="D1364" s="13" t="s">
        <v>2423</v>
      </c>
      <c r="E1364" s="17" t="s">
        <v>373</v>
      </c>
      <c r="F1364" s="17" t="s">
        <v>129</v>
      </c>
      <c r="G1364" s="17" t="s">
        <v>129</v>
      </c>
      <c r="H1364" s="7">
        <v>515427.01225999999</v>
      </c>
      <c r="I1364" s="7">
        <v>356616.96840999997</v>
      </c>
      <c r="J1364" s="80">
        <v>167.110160731685</v>
      </c>
      <c r="K1364" s="80">
        <v>-20.9848989661612</v>
      </c>
      <c r="L1364" s="71">
        <v>300</v>
      </c>
      <c r="M1364" s="73">
        <v>1</v>
      </c>
      <c r="N1364" s="73">
        <v>1</v>
      </c>
      <c r="O1364" s="73">
        <v>1</v>
      </c>
      <c r="P1364" s="17" t="s">
        <v>47</v>
      </c>
      <c r="Q1364" t="str">
        <f>LEFT(B1364,3)</f>
        <v>WED</v>
      </c>
    </row>
    <row r="1365" spans="1:17">
      <c r="A1365" s="17" t="s">
        <v>3870</v>
      </c>
      <c r="B1365" s="17" t="s">
        <v>2426</v>
      </c>
      <c r="C1365" s="13" t="s">
        <v>3871</v>
      </c>
      <c r="D1365" s="13" t="s">
        <v>3871</v>
      </c>
      <c r="E1365" s="17" t="s">
        <v>373</v>
      </c>
      <c r="F1365" s="17" t="s">
        <v>129</v>
      </c>
      <c r="G1365" s="17" t="s">
        <v>129</v>
      </c>
      <c r="H1365" s="7">
        <v>531097.4976</v>
      </c>
      <c r="I1365" s="7">
        <v>363398.60995000001</v>
      </c>
      <c r="J1365" s="80">
        <v>167.26034057976401</v>
      </c>
      <c r="K1365" s="80">
        <v>-20.9225683214089</v>
      </c>
      <c r="L1365" s="71">
        <v>40</v>
      </c>
      <c r="M1365" s="73">
        <v>2</v>
      </c>
      <c r="N1365" s="73">
        <v>2</v>
      </c>
      <c r="O1365" s="73">
        <v>1</v>
      </c>
      <c r="P1365" s="17" t="s">
        <v>47</v>
      </c>
      <c r="Q1365" t="str">
        <f>LEFT(B1365,3)</f>
        <v>WEE</v>
      </c>
    </row>
    <row r="1366" spans="1:17">
      <c r="A1366" s="17" t="s">
        <v>3872</v>
      </c>
      <c r="B1366" s="17" t="s">
        <v>2426</v>
      </c>
      <c r="C1366" s="13" t="s">
        <v>3871</v>
      </c>
      <c r="D1366" s="13" t="s">
        <v>3871</v>
      </c>
      <c r="E1366" s="17" t="s">
        <v>373</v>
      </c>
      <c r="F1366" s="17" t="s">
        <v>129</v>
      </c>
      <c r="G1366" s="17" t="s">
        <v>129</v>
      </c>
      <c r="H1366" s="7">
        <v>531097.4976</v>
      </c>
      <c r="I1366" s="7">
        <v>363398.60995000001</v>
      </c>
      <c r="J1366" s="80">
        <v>167.26034057976401</v>
      </c>
      <c r="K1366" s="80">
        <v>-20.9225683214089</v>
      </c>
      <c r="L1366" s="71">
        <v>105</v>
      </c>
      <c r="M1366" s="73">
        <v>2</v>
      </c>
      <c r="N1366" s="73">
        <v>2</v>
      </c>
      <c r="O1366" s="73">
        <v>1</v>
      </c>
      <c r="P1366" s="17" t="s">
        <v>47</v>
      </c>
      <c r="Q1366" t="str">
        <f>LEFT(B1366,3)</f>
        <v>WEE</v>
      </c>
    </row>
    <row r="1367" spans="1:17">
      <c r="A1367" s="17" t="s">
        <v>3873</v>
      </c>
      <c r="B1367" s="17" t="s">
        <v>2426</v>
      </c>
      <c r="C1367" s="13" t="s">
        <v>3871</v>
      </c>
      <c r="D1367" s="13" t="s">
        <v>3871</v>
      </c>
      <c r="E1367" s="17" t="s">
        <v>373</v>
      </c>
      <c r="F1367" s="17" t="s">
        <v>129</v>
      </c>
      <c r="G1367" s="17" t="s">
        <v>129</v>
      </c>
      <c r="H1367" s="7">
        <v>531097.4976</v>
      </c>
      <c r="I1367" s="7">
        <v>363398.60995000001</v>
      </c>
      <c r="J1367" s="80">
        <v>167.26034057976401</v>
      </c>
      <c r="K1367" s="80">
        <v>-20.9225683214089</v>
      </c>
      <c r="L1367" s="71">
        <v>320</v>
      </c>
      <c r="M1367" s="73">
        <v>2</v>
      </c>
      <c r="N1367" s="73">
        <v>2</v>
      </c>
      <c r="O1367" s="73">
        <v>0</v>
      </c>
      <c r="P1367" s="17" t="s">
        <v>47</v>
      </c>
      <c r="Q1367" t="str">
        <f>LEFT(B1367,3)</f>
        <v>WEE</v>
      </c>
    </row>
    <row r="1368" spans="1:17">
      <c r="A1368" s="17" t="s">
        <v>3874</v>
      </c>
      <c r="B1368" s="6" t="s">
        <v>2429</v>
      </c>
      <c r="C1368" s="6" t="s">
        <v>3875</v>
      </c>
      <c r="D1368" s="6" t="s">
        <v>2430</v>
      </c>
      <c r="E1368" s="6" t="s">
        <v>178</v>
      </c>
      <c r="F1368" s="6" t="s">
        <v>68</v>
      </c>
      <c r="G1368" s="6" t="s">
        <v>68</v>
      </c>
      <c r="H1368" s="7">
        <v>285786</v>
      </c>
      <c r="I1368" s="7">
        <v>342073</v>
      </c>
      <c r="J1368" s="8">
        <v>164.900522</v>
      </c>
      <c r="K1368" s="8">
        <v>-21.116344000000002</v>
      </c>
      <c r="L1368" s="71">
        <v>45</v>
      </c>
      <c r="M1368" s="73">
        <v>1</v>
      </c>
      <c r="N1368" s="73">
        <v>1</v>
      </c>
      <c r="O1368" s="73">
        <v>0</v>
      </c>
      <c r="P1368" s="17" t="s">
        <v>37</v>
      </c>
      <c r="Q1368" t="str">
        <f>LEFT(B1368,3)</f>
        <v>WEP</v>
      </c>
    </row>
    <row r="1369" spans="1:17">
      <c r="A1369" s="17" t="s">
        <v>3876</v>
      </c>
      <c r="B1369" s="6" t="s">
        <v>2429</v>
      </c>
      <c r="C1369" s="6" t="s">
        <v>3875</v>
      </c>
      <c r="D1369" s="6" t="s">
        <v>2430</v>
      </c>
      <c r="E1369" s="6" t="s">
        <v>178</v>
      </c>
      <c r="F1369" s="6" t="s">
        <v>68</v>
      </c>
      <c r="G1369" s="6" t="s">
        <v>68</v>
      </c>
      <c r="H1369" s="7">
        <v>285786</v>
      </c>
      <c r="I1369" s="7">
        <v>342073</v>
      </c>
      <c r="J1369" s="8">
        <v>164.900522</v>
      </c>
      <c r="K1369" s="8">
        <v>-21.116344000000002</v>
      </c>
      <c r="L1369" s="71">
        <v>165</v>
      </c>
      <c r="M1369" s="73">
        <v>1</v>
      </c>
      <c r="N1369" s="73">
        <v>1</v>
      </c>
      <c r="O1369" s="73">
        <v>0</v>
      </c>
      <c r="P1369" s="17" t="s">
        <v>37</v>
      </c>
      <c r="Q1369" t="str">
        <f>LEFT(B1369,3)</f>
        <v>WEP</v>
      </c>
    </row>
    <row r="1370" spans="1:17">
      <c r="A1370" s="17" t="s">
        <v>3877</v>
      </c>
      <c r="B1370" s="6" t="s">
        <v>2429</v>
      </c>
      <c r="C1370" s="6" t="s">
        <v>3875</v>
      </c>
      <c r="D1370" s="6" t="s">
        <v>2430</v>
      </c>
      <c r="E1370" s="6" t="s">
        <v>178</v>
      </c>
      <c r="F1370" s="6" t="s">
        <v>68</v>
      </c>
      <c r="G1370" s="6" t="s">
        <v>68</v>
      </c>
      <c r="H1370" s="7">
        <v>285786</v>
      </c>
      <c r="I1370" s="7">
        <v>342073</v>
      </c>
      <c r="J1370" s="8">
        <v>164.900522</v>
      </c>
      <c r="K1370" s="8">
        <v>-21.116344000000002</v>
      </c>
      <c r="L1370" s="71">
        <v>280</v>
      </c>
      <c r="M1370" s="73">
        <v>1</v>
      </c>
      <c r="N1370" s="73">
        <v>1</v>
      </c>
      <c r="O1370" s="73">
        <v>0</v>
      </c>
      <c r="P1370" s="17" t="s">
        <v>37</v>
      </c>
      <c r="Q1370" t="str">
        <f>LEFT(B1370,3)</f>
        <v>WEP</v>
      </c>
    </row>
    <row r="1371" spans="1:17">
      <c r="A1371" s="17" t="s">
        <v>3878</v>
      </c>
      <c r="B1371" s="17" t="s">
        <v>2432</v>
      </c>
      <c r="C1371" s="13" t="s">
        <v>2433</v>
      </c>
      <c r="D1371" s="13" t="s">
        <v>2433</v>
      </c>
      <c r="E1371" s="17" t="s">
        <v>351</v>
      </c>
      <c r="F1371" s="17" t="s">
        <v>129</v>
      </c>
      <c r="G1371" s="17" t="s">
        <v>129</v>
      </c>
      <c r="H1371" s="7">
        <v>616551.82405000005</v>
      </c>
      <c r="I1371" s="7">
        <v>303515.83306999999</v>
      </c>
      <c r="J1371" s="80">
        <v>168.089504337487</v>
      </c>
      <c r="K1371" s="80">
        <v>-21.455169375536201</v>
      </c>
      <c r="L1371" s="71">
        <v>160</v>
      </c>
      <c r="M1371" s="73">
        <v>1</v>
      </c>
      <c r="N1371" s="73">
        <v>1</v>
      </c>
      <c r="O1371" s="73">
        <v>1</v>
      </c>
      <c r="P1371" s="17" t="s">
        <v>47</v>
      </c>
      <c r="Q1371" t="str">
        <f>LEFT(B1371,3)</f>
        <v>WKN</v>
      </c>
    </row>
    <row r="1372" spans="1:17">
      <c r="A1372" s="17" t="s">
        <v>3879</v>
      </c>
      <c r="B1372" s="17" t="s">
        <v>2432</v>
      </c>
      <c r="C1372" s="13" t="s">
        <v>2433</v>
      </c>
      <c r="D1372" s="13" t="s">
        <v>2433</v>
      </c>
      <c r="E1372" s="17" t="s">
        <v>351</v>
      </c>
      <c r="F1372" s="17" t="s">
        <v>129</v>
      </c>
      <c r="G1372" s="17" t="s">
        <v>129</v>
      </c>
      <c r="H1372" s="7">
        <v>616551.82405000005</v>
      </c>
      <c r="I1372" s="7">
        <v>303515.83306999999</v>
      </c>
      <c r="J1372" s="80">
        <v>168.089504337487</v>
      </c>
      <c r="K1372" s="80">
        <v>-21.455169375536201</v>
      </c>
      <c r="L1372" s="71">
        <v>245</v>
      </c>
      <c r="M1372" s="73">
        <v>1</v>
      </c>
      <c r="N1372" s="73">
        <v>1</v>
      </c>
      <c r="O1372" s="73">
        <v>1</v>
      </c>
      <c r="P1372" s="17" t="s">
        <v>47</v>
      </c>
      <c r="Q1372" t="str">
        <f>LEFT(B1372,3)</f>
        <v>WKN</v>
      </c>
    </row>
    <row r="1373" spans="1:17">
      <c r="A1373" s="17" t="s">
        <v>3880</v>
      </c>
      <c r="B1373" s="17" t="s">
        <v>2436</v>
      </c>
      <c r="C1373" s="13" t="s">
        <v>142</v>
      </c>
      <c r="D1373" s="13" t="s">
        <v>2437</v>
      </c>
      <c r="E1373" s="17" t="s">
        <v>142</v>
      </c>
      <c r="F1373" s="17" t="s">
        <v>43</v>
      </c>
      <c r="G1373" s="17" t="s">
        <v>43</v>
      </c>
      <c r="H1373" s="7">
        <v>494103.9803</v>
      </c>
      <c r="I1373" s="7">
        <v>227320.98813000001</v>
      </c>
      <c r="J1373" s="80">
        <v>166.91234170492501</v>
      </c>
      <c r="K1373" s="80">
        <v>-22.153949156349601</v>
      </c>
      <c r="L1373" s="71">
        <v>105</v>
      </c>
      <c r="M1373" s="73">
        <v>1</v>
      </c>
      <c r="N1373" s="73">
        <v>1</v>
      </c>
      <c r="O1373" s="73">
        <v>1</v>
      </c>
      <c r="P1373" s="17" t="s">
        <v>47</v>
      </c>
      <c r="Q1373" t="str">
        <f>LEFT(B1373,3)</f>
        <v>YAC</v>
      </c>
    </row>
    <row r="1374" spans="1:17">
      <c r="A1374" s="17" t="s">
        <v>3881</v>
      </c>
      <c r="B1374" s="17" t="s">
        <v>2436</v>
      </c>
      <c r="C1374" s="13" t="s">
        <v>142</v>
      </c>
      <c r="D1374" s="13" t="s">
        <v>2437</v>
      </c>
      <c r="E1374" s="17" t="s">
        <v>142</v>
      </c>
      <c r="F1374" s="17" t="s">
        <v>43</v>
      </c>
      <c r="G1374" s="17" t="s">
        <v>43</v>
      </c>
      <c r="H1374" s="7">
        <v>494103.9803</v>
      </c>
      <c r="I1374" s="7">
        <v>227320.98813000001</v>
      </c>
      <c r="J1374" s="80">
        <v>166.91234170492501</v>
      </c>
      <c r="K1374" s="80">
        <v>-22.153949156349601</v>
      </c>
      <c r="L1374" s="71">
        <v>280</v>
      </c>
      <c r="M1374" s="77">
        <v>1</v>
      </c>
      <c r="N1374" s="77">
        <v>1</v>
      </c>
      <c r="O1374" s="73">
        <v>1</v>
      </c>
      <c r="P1374" s="17" t="s">
        <v>47</v>
      </c>
      <c r="Q1374" t="str">
        <f>LEFT(B1374,3)</f>
        <v>YAC</v>
      </c>
    </row>
    <row r="1375" spans="1:17">
      <c r="A1375" s="17" t="s">
        <v>3882</v>
      </c>
      <c r="B1375" s="17" t="s">
        <v>2439</v>
      </c>
      <c r="C1375" s="13" t="s">
        <v>2440</v>
      </c>
      <c r="D1375" s="13" t="s">
        <v>2441</v>
      </c>
      <c r="E1375" s="17" t="s">
        <v>684</v>
      </c>
      <c r="F1375" s="17" t="s">
        <v>68</v>
      </c>
      <c r="G1375" s="17" t="s">
        <v>68</v>
      </c>
      <c r="H1375" s="7">
        <v>272295</v>
      </c>
      <c r="I1375" s="7">
        <v>389320</v>
      </c>
      <c r="J1375" s="80">
        <v>164.77422205125399</v>
      </c>
      <c r="K1375" s="80">
        <v>-20.688687310369399</v>
      </c>
      <c r="L1375" s="71">
        <v>87</v>
      </c>
      <c r="M1375" s="77">
        <v>1</v>
      </c>
      <c r="N1375" s="77">
        <v>1</v>
      </c>
      <c r="O1375" s="73">
        <v>1</v>
      </c>
      <c r="P1375" s="17" t="s">
        <v>47</v>
      </c>
      <c r="Q1375" t="str">
        <f>LEFT(B1375,3)</f>
        <v>YAD</v>
      </c>
    </row>
    <row r="1376" spans="1:17">
      <c r="A1376" s="17" t="s">
        <v>3883</v>
      </c>
      <c r="B1376" s="17" t="s">
        <v>2439</v>
      </c>
      <c r="C1376" s="13" t="s">
        <v>2440</v>
      </c>
      <c r="D1376" s="13" t="s">
        <v>2441</v>
      </c>
      <c r="E1376" s="17" t="s">
        <v>684</v>
      </c>
      <c r="F1376" s="17" t="s">
        <v>68</v>
      </c>
      <c r="G1376" s="17" t="s">
        <v>68</v>
      </c>
      <c r="H1376" s="7">
        <v>272295</v>
      </c>
      <c r="I1376" s="7">
        <v>389320</v>
      </c>
      <c r="J1376" s="80">
        <v>164.77422205125399</v>
      </c>
      <c r="K1376" s="80">
        <v>-20.688687310369399</v>
      </c>
      <c r="L1376" s="71">
        <v>286</v>
      </c>
      <c r="M1376" s="77">
        <v>1</v>
      </c>
      <c r="N1376" s="77">
        <v>1</v>
      </c>
      <c r="O1376" s="73">
        <v>1</v>
      </c>
      <c r="P1376" s="17" t="s">
        <v>47</v>
      </c>
      <c r="Q1376" t="str">
        <f>LEFT(B1376,3)</f>
        <v>YAD</v>
      </c>
    </row>
    <row r="1377" spans="1:17">
      <c r="A1377" s="17" t="s">
        <v>3884</v>
      </c>
      <c r="B1377" s="17" t="s">
        <v>2444</v>
      </c>
      <c r="C1377" s="13" t="s">
        <v>2445</v>
      </c>
      <c r="D1377" s="13" t="s">
        <v>2445</v>
      </c>
      <c r="E1377" s="17" t="s">
        <v>297</v>
      </c>
      <c r="F1377" s="17" t="s">
        <v>68</v>
      </c>
      <c r="G1377" s="17" t="s">
        <v>68</v>
      </c>
      <c r="H1377" s="7">
        <v>260533.99030999999</v>
      </c>
      <c r="I1377" s="7">
        <v>416296.02354000002</v>
      </c>
      <c r="J1377" s="80">
        <v>164.66355279038501</v>
      </c>
      <c r="K1377" s="80">
        <v>-20.444171185082499</v>
      </c>
      <c r="L1377" s="71">
        <v>120</v>
      </c>
      <c r="M1377" s="77">
        <v>1</v>
      </c>
      <c r="N1377" s="77">
        <v>1</v>
      </c>
      <c r="O1377" s="73">
        <v>1</v>
      </c>
      <c r="P1377" s="17" t="s">
        <v>47</v>
      </c>
      <c r="Q1377" t="str">
        <f>LEFT(B1377,3)</f>
        <v>YAM</v>
      </c>
    </row>
    <row r="1378" spans="1:17">
      <c r="A1378" s="17" t="s">
        <v>3885</v>
      </c>
      <c r="B1378" s="17" t="s">
        <v>2444</v>
      </c>
      <c r="C1378" s="13" t="s">
        <v>2445</v>
      </c>
      <c r="D1378" s="13" t="s">
        <v>2445</v>
      </c>
      <c r="E1378" s="17" t="s">
        <v>297</v>
      </c>
      <c r="F1378" s="17" t="s">
        <v>68</v>
      </c>
      <c r="G1378" s="17" t="s">
        <v>68</v>
      </c>
      <c r="H1378" s="7">
        <v>260533.99030999999</v>
      </c>
      <c r="I1378" s="7">
        <v>416296.02354000002</v>
      </c>
      <c r="J1378" s="80">
        <v>164.66355279038501</v>
      </c>
      <c r="K1378" s="80">
        <v>-20.444171185082499</v>
      </c>
      <c r="L1378" s="71">
        <v>340</v>
      </c>
      <c r="M1378" s="77">
        <v>1</v>
      </c>
      <c r="N1378" s="77">
        <v>1</v>
      </c>
      <c r="O1378" s="73">
        <v>1</v>
      </c>
      <c r="P1378" s="17" t="s">
        <v>47</v>
      </c>
      <c r="Q1378" t="str">
        <f>LEFT(B1378,3)</f>
        <v>YAM</v>
      </c>
    </row>
    <row r="1379" spans="1:17">
      <c r="A1379" s="17" t="s">
        <v>3886</v>
      </c>
      <c r="B1379" s="17" t="s">
        <v>2448</v>
      </c>
      <c r="C1379" s="13" t="s">
        <v>854</v>
      </c>
      <c r="D1379" s="13" t="s">
        <v>854</v>
      </c>
      <c r="E1379" s="17" t="s">
        <v>142</v>
      </c>
      <c r="F1379" s="17" t="s">
        <v>43</v>
      </c>
      <c r="G1379" s="17" t="s">
        <v>43</v>
      </c>
      <c r="H1379" s="7">
        <v>497147.58782000002</v>
      </c>
      <c r="I1379" s="7">
        <v>226823.11217000001</v>
      </c>
      <c r="J1379" s="80">
        <v>166.94188178235001</v>
      </c>
      <c r="K1379" s="80">
        <v>-22.1582835499024</v>
      </c>
      <c r="L1379" s="71">
        <v>140</v>
      </c>
      <c r="M1379" s="73">
        <v>1</v>
      </c>
      <c r="N1379" s="73">
        <v>1</v>
      </c>
      <c r="O1379" s="73">
        <v>1</v>
      </c>
      <c r="P1379" s="17" t="s">
        <v>47</v>
      </c>
      <c r="Q1379" t="str">
        <f>LEFT(B1379,3)</f>
        <v>YAT</v>
      </c>
    </row>
    <row r="1380" spans="1:17">
      <c r="A1380" s="17" t="s">
        <v>3887</v>
      </c>
      <c r="B1380" s="17" t="s">
        <v>2451</v>
      </c>
      <c r="C1380" s="13" t="s">
        <v>2452</v>
      </c>
      <c r="D1380" s="13" t="s">
        <v>2453</v>
      </c>
      <c r="E1380" s="17" t="s">
        <v>56</v>
      </c>
      <c r="F1380" s="17" t="s">
        <v>43</v>
      </c>
      <c r="G1380" s="17" t="s">
        <v>50</v>
      </c>
      <c r="H1380" s="7">
        <v>438653</v>
      </c>
      <c r="I1380" s="7">
        <v>227058</v>
      </c>
      <c r="J1380" s="80">
        <v>166.374752</v>
      </c>
      <c r="K1380" s="80">
        <v>-22.158296</v>
      </c>
      <c r="L1380" s="71">
        <v>0</v>
      </c>
      <c r="M1380" s="73">
        <v>1</v>
      </c>
      <c r="N1380" s="73">
        <v>1</v>
      </c>
      <c r="O1380" s="73">
        <v>0</v>
      </c>
      <c r="P1380" s="17" t="s">
        <v>37</v>
      </c>
      <c r="Q1380" t="str">
        <f>LEFT(B1380,3)</f>
        <v>ZIC</v>
      </c>
    </row>
    <row r="1381" spans="1:17">
      <c r="A1381" s="17" t="s">
        <v>3888</v>
      </c>
      <c r="B1381" s="17" t="s">
        <v>2451</v>
      </c>
      <c r="C1381" s="13" t="s">
        <v>2452</v>
      </c>
      <c r="D1381" s="13" t="s">
        <v>2453</v>
      </c>
      <c r="E1381" s="17" t="s">
        <v>56</v>
      </c>
      <c r="F1381" s="17" t="s">
        <v>43</v>
      </c>
      <c r="G1381" s="17" t="s">
        <v>50</v>
      </c>
      <c r="H1381" s="7">
        <v>438653</v>
      </c>
      <c r="I1381" s="7">
        <v>227058</v>
      </c>
      <c r="J1381" s="80">
        <v>166.374752</v>
      </c>
      <c r="K1381" s="80">
        <v>-22.158296</v>
      </c>
      <c r="L1381" s="71">
        <v>120</v>
      </c>
      <c r="M1381" s="73">
        <v>1</v>
      </c>
      <c r="N1381" s="73">
        <v>1</v>
      </c>
      <c r="O1381" s="73">
        <v>0</v>
      </c>
      <c r="P1381" s="17" t="s">
        <v>37</v>
      </c>
      <c r="Q1381" t="str">
        <f>LEFT(B1381,3)</f>
        <v>ZIC</v>
      </c>
    </row>
    <row r="1382" spans="1:17">
      <c r="A1382" s="17" t="s">
        <v>3889</v>
      </c>
      <c r="B1382" s="17" t="s">
        <v>2451</v>
      </c>
      <c r="C1382" s="13" t="s">
        <v>2452</v>
      </c>
      <c r="D1382" s="13" t="s">
        <v>2453</v>
      </c>
      <c r="E1382" s="17" t="s">
        <v>56</v>
      </c>
      <c r="F1382" s="17" t="s">
        <v>43</v>
      </c>
      <c r="G1382" s="17" t="s">
        <v>50</v>
      </c>
      <c r="H1382" s="7">
        <v>438653</v>
      </c>
      <c r="I1382" s="7">
        <v>227058</v>
      </c>
      <c r="J1382" s="80">
        <v>166.374752</v>
      </c>
      <c r="K1382" s="80">
        <v>-22.158296</v>
      </c>
      <c r="L1382" s="71">
        <v>240</v>
      </c>
      <c r="M1382" s="73">
        <v>1</v>
      </c>
      <c r="N1382" s="73">
        <v>1</v>
      </c>
      <c r="O1382" s="73">
        <v>0</v>
      </c>
      <c r="P1382" s="17" t="s">
        <v>37</v>
      </c>
      <c r="Q1382" t="str">
        <f>LEFT(B1382,3)</f>
        <v>ZIC</v>
      </c>
    </row>
    <row r="1383" spans="1:17">
      <c r="A1383" s="17" t="s">
        <v>3890</v>
      </c>
      <c r="B1383" s="17" t="s">
        <v>2455</v>
      </c>
      <c r="C1383" s="13" t="s">
        <v>2456</v>
      </c>
      <c r="D1383" s="13" t="s">
        <v>2457</v>
      </c>
      <c r="E1383" s="17" t="s">
        <v>56</v>
      </c>
      <c r="F1383" s="17" t="s">
        <v>43</v>
      </c>
      <c r="G1383" s="17" t="s">
        <v>50</v>
      </c>
      <c r="H1383" s="7">
        <v>438640</v>
      </c>
      <c r="I1383" s="7">
        <v>228218</v>
      </c>
      <c r="J1383" s="80">
        <v>166.37459899999999</v>
      </c>
      <c r="K1383" s="80">
        <v>-22.14791</v>
      </c>
      <c r="L1383" s="71">
        <v>30</v>
      </c>
      <c r="M1383" s="73">
        <v>1</v>
      </c>
      <c r="N1383" s="73">
        <v>1</v>
      </c>
      <c r="O1383" s="73">
        <v>0</v>
      </c>
      <c r="P1383" s="17" t="s">
        <v>37</v>
      </c>
      <c r="Q1383" t="str">
        <f>LEFT(B1383,3)</f>
        <v>ZIZ</v>
      </c>
    </row>
    <row r="1384" spans="1:17">
      <c r="A1384" s="17" t="s">
        <v>3891</v>
      </c>
      <c r="B1384" s="17" t="s">
        <v>2455</v>
      </c>
      <c r="C1384" s="13" t="s">
        <v>2456</v>
      </c>
      <c r="D1384" s="13" t="s">
        <v>2457</v>
      </c>
      <c r="E1384" s="17" t="s">
        <v>56</v>
      </c>
      <c r="F1384" s="17" t="s">
        <v>43</v>
      </c>
      <c r="G1384" s="17" t="s">
        <v>50</v>
      </c>
      <c r="H1384" s="7">
        <v>438640</v>
      </c>
      <c r="I1384" s="7">
        <v>228218</v>
      </c>
      <c r="J1384" s="80">
        <v>166.37459899999999</v>
      </c>
      <c r="K1384" s="80">
        <v>-22.14791</v>
      </c>
      <c r="L1384" s="71">
        <v>180</v>
      </c>
      <c r="M1384" s="73">
        <v>1</v>
      </c>
      <c r="N1384" s="73">
        <v>1</v>
      </c>
      <c r="O1384" s="73">
        <v>0</v>
      </c>
      <c r="P1384" s="17" t="s">
        <v>37</v>
      </c>
      <c r="Q1384" t="str">
        <f>LEFT(B1384,3)</f>
        <v>ZIZ</v>
      </c>
    </row>
    <row r="1385" spans="1:17">
      <c r="A1385" s="17" t="s">
        <v>3892</v>
      </c>
      <c r="B1385" s="17" t="s">
        <v>2455</v>
      </c>
      <c r="C1385" s="13" t="s">
        <v>2456</v>
      </c>
      <c r="D1385" s="13" t="s">
        <v>2457</v>
      </c>
      <c r="E1385" s="17" t="s">
        <v>56</v>
      </c>
      <c r="F1385" s="17" t="s">
        <v>43</v>
      </c>
      <c r="G1385" s="17" t="s">
        <v>50</v>
      </c>
      <c r="H1385" s="7">
        <v>438640</v>
      </c>
      <c r="I1385" s="7">
        <v>228218</v>
      </c>
      <c r="J1385" s="80">
        <v>166.37459899999999</v>
      </c>
      <c r="K1385" s="80">
        <v>-22.14791</v>
      </c>
      <c r="L1385" s="71">
        <v>280</v>
      </c>
      <c r="M1385" s="73">
        <v>1</v>
      </c>
      <c r="N1385" s="73">
        <v>1</v>
      </c>
      <c r="O1385" s="73">
        <v>0</v>
      </c>
      <c r="P1385" s="17" t="s">
        <v>37</v>
      </c>
      <c r="Q1385" t="str">
        <f>LEFT(B1385,3)</f>
        <v>ZIZ</v>
      </c>
    </row>
    <row r="1386" spans="1:17">
      <c r="A1386" s="17" t="s">
        <v>3893</v>
      </c>
      <c r="B1386" s="17" t="s">
        <v>2459</v>
      </c>
      <c r="C1386" s="13" t="s">
        <v>2460</v>
      </c>
      <c r="D1386" s="13" t="s">
        <v>2460</v>
      </c>
      <c r="E1386" s="17" t="s">
        <v>191</v>
      </c>
      <c r="F1386" s="17" t="s">
        <v>68</v>
      </c>
      <c r="G1386" s="17" t="s">
        <v>43</v>
      </c>
      <c r="H1386" s="7">
        <v>333971</v>
      </c>
      <c r="I1386" s="7">
        <v>290024</v>
      </c>
      <c r="J1386" s="80">
        <v>165.36232249929699</v>
      </c>
      <c r="K1386" s="80">
        <v>-21.588890792829002</v>
      </c>
      <c r="L1386" s="71">
        <v>60</v>
      </c>
      <c r="M1386" s="73">
        <v>1</v>
      </c>
      <c r="N1386" s="73">
        <v>1</v>
      </c>
      <c r="O1386" s="73">
        <v>1</v>
      </c>
      <c r="P1386" s="17" t="s">
        <v>47</v>
      </c>
      <c r="Q1386" t="str">
        <f>LEFT(B1386,3)</f>
        <v>ZOU</v>
      </c>
    </row>
    <row r="1387" spans="1:17">
      <c r="A1387" s="17" t="s">
        <v>3894</v>
      </c>
      <c r="B1387" s="17" t="s">
        <v>2459</v>
      </c>
      <c r="C1387" s="13" t="s">
        <v>2460</v>
      </c>
      <c r="D1387" s="13" t="s">
        <v>2460</v>
      </c>
      <c r="E1387" s="17" t="s">
        <v>191</v>
      </c>
      <c r="F1387" s="17" t="s">
        <v>68</v>
      </c>
      <c r="G1387" s="17" t="s">
        <v>43</v>
      </c>
      <c r="H1387" s="7">
        <v>333971</v>
      </c>
      <c r="I1387" s="7">
        <v>290024</v>
      </c>
      <c r="J1387" s="80">
        <v>165.36232249929699</v>
      </c>
      <c r="K1387" s="80">
        <v>-21.588890792829002</v>
      </c>
      <c r="L1387" s="71">
        <v>170</v>
      </c>
      <c r="M1387" s="73">
        <v>1</v>
      </c>
      <c r="N1387" s="73">
        <v>1</v>
      </c>
      <c r="O1387" s="73">
        <v>1</v>
      </c>
      <c r="P1387" s="17" t="s">
        <v>47</v>
      </c>
      <c r="Q1387" t="str">
        <f>LEFT(B1387,3)</f>
        <v>ZOU</v>
      </c>
    </row>
    <row r="1388" spans="1:17">
      <c r="A1388" s="17" t="s">
        <v>3895</v>
      </c>
      <c r="B1388" s="17" t="s">
        <v>2459</v>
      </c>
      <c r="C1388" s="13" t="s">
        <v>2460</v>
      </c>
      <c r="D1388" s="13" t="s">
        <v>2460</v>
      </c>
      <c r="E1388" s="17" t="s">
        <v>191</v>
      </c>
      <c r="F1388" s="17" t="s">
        <v>68</v>
      </c>
      <c r="G1388" s="17" t="s">
        <v>43</v>
      </c>
      <c r="H1388" s="7">
        <v>333971</v>
      </c>
      <c r="I1388" s="7">
        <v>290024</v>
      </c>
      <c r="J1388" s="80">
        <v>165.36232249929699</v>
      </c>
      <c r="K1388" s="80">
        <v>-21.588890792829002</v>
      </c>
      <c r="L1388" s="71">
        <v>264</v>
      </c>
      <c r="M1388" s="73">
        <v>1</v>
      </c>
      <c r="N1388" s="73">
        <v>1</v>
      </c>
      <c r="O1388" s="73">
        <v>1</v>
      </c>
      <c r="P1388" s="17" t="s">
        <v>47</v>
      </c>
      <c r="Q1388" t="str">
        <f>LEFT(B1388,3)</f>
        <v>ZOU</v>
      </c>
    </row>
    <row r="1389" spans="1:17">
      <c r="A1389" s="17" t="s">
        <v>3896</v>
      </c>
      <c r="B1389" s="17" t="s">
        <v>2463</v>
      </c>
      <c r="C1389" s="13" t="s">
        <v>2464</v>
      </c>
      <c r="D1389" s="13" t="s">
        <v>2464</v>
      </c>
      <c r="E1389" s="17" t="s">
        <v>49</v>
      </c>
      <c r="F1389" s="17" t="s">
        <v>43</v>
      </c>
      <c r="G1389" s="17" t="s">
        <v>50</v>
      </c>
      <c r="H1389" s="7">
        <v>445682.30566000001</v>
      </c>
      <c r="I1389" s="7">
        <v>223826.68534</v>
      </c>
      <c r="J1389" s="80">
        <v>166.442988488216</v>
      </c>
      <c r="K1389" s="80">
        <v>-22.1873992454689</v>
      </c>
      <c r="L1389" s="71">
        <v>0</v>
      </c>
      <c r="M1389" s="73">
        <v>2</v>
      </c>
      <c r="N1389" s="73">
        <v>3</v>
      </c>
      <c r="O1389" s="73">
        <v>1</v>
      </c>
      <c r="P1389" s="17" t="s">
        <v>37</v>
      </c>
      <c r="Q1389" t="str">
        <f>LEFT(B1389,3)</f>
        <v>ZPA</v>
      </c>
    </row>
    <row r="1390" spans="1:17">
      <c r="A1390" s="17" t="s">
        <v>3897</v>
      </c>
      <c r="B1390" s="17" t="s">
        <v>2463</v>
      </c>
      <c r="C1390" s="13" t="s">
        <v>2464</v>
      </c>
      <c r="D1390" s="13" t="s">
        <v>2464</v>
      </c>
      <c r="E1390" s="17" t="s">
        <v>49</v>
      </c>
      <c r="F1390" s="17" t="s">
        <v>43</v>
      </c>
      <c r="G1390" s="17" t="s">
        <v>50</v>
      </c>
      <c r="H1390" s="7">
        <v>445682.30566000001</v>
      </c>
      <c r="I1390" s="7">
        <v>223826.68534</v>
      </c>
      <c r="J1390" s="80">
        <v>166.442988488216</v>
      </c>
      <c r="K1390" s="80">
        <v>-22.1873992454689</v>
      </c>
      <c r="L1390" s="71">
        <v>180</v>
      </c>
      <c r="M1390" s="73">
        <v>2</v>
      </c>
      <c r="N1390" s="73">
        <v>3</v>
      </c>
      <c r="O1390" s="73">
        <v>1</v>
      </c>
      <c r="P1390" s="17" t="s">
        <v>37</v>
      </c>
      <c r="Q1390" t="str">
        <f>LEFT(B1390,3)</f>
        <v>ZPA</v>
      </c>
    </row>
    <row r="1391" spans="1:17">
      <c r="A1391" s="17" t="s">
        <v>3898</v>
      </c>
      <c r="B1391" s="17" t="s">
        <v>2463</v>
      </c>
      <c r="C1391" s="13" t="s">
        <v>2464</v>
      </c>
      <c r="D1391" s="13" t="s">
        <v>2464</v>
      </c>
      <c r="E1391" s="17" t="s">
        <v>49</v>
      </c>
      <c r="F1391" s="17" t="s">
        <v>43</v>
      </c>
      <c r="G1391" s="17" t="s">
        <v>50</v>
      </c>
      <c r="H1391" s="7">
        <v>445682.30566000001</v>
      </c>
      <c r="I1391" s="7">
        <v>223826.68534</v>
      </c>
      <c r="J1391" s="80">
        <v>166.442988488216</v>
      </c>
      <c r="K1391" s="80">
        <v>-22.1873992454689</v>
      </c>
      <c r="L1391" s="71">
        <v>290</v>
      </c>
      <c r="M1391" s="73">
        <v>2</v>
      </c>
      <c r="N1391" s="73">
        <v>3</v>
      </c>
      <c r="O1391" s="73">
        <v>1</v>
      </c>
      <c r="P1391" s="17" t="s">
        <v>37</v>
      </c>
      <c r="Q1391" t="str">
        <f>LEFT(B1391,3)</f>
        <v>ZPA</v>
      </c>
    </row>
    <row r="1392" spans="1:17">
      <c r="A1392" s="17" t="s">
        <v>3899</v>
      </c>
      <c r="B1392" s="17" t="s">
        <v>2467</v>
      </c>
      <c r="C1392" s="13" t="s">
        <v>845</v>
      </c>
      <c r="D1392" s="13" t="s">
        <v>845</v>
      </c>
      <c r="E1392" s="17" t="s">
        <v>93</v>
      </c>
      <c r="F1392" s="17" t="s">
        <v>43</v>
      </c>
      <c r="G1392" s="17" t="s">
        <v>50</v>
      </c>
      <c r="H1392" s="7">
        <v>494016.90919999999</v>
      </c>
      <c r="I1392" s="7">
        <v>206521.99432999999</v>
      </c>
      <c r="J1392" s="80">
        <v>166.91267551441899</v>
      </c>
      <c r="K1392" s="80">
        <v>-22.341783420974298</v>
      </c>
      <c r="L1392" s="71">
        <v>0</v>
      </c>
      <c r="M1392" s="73">
        <v>2</v>
      </c>
      <c r="N1392" s="73">
        <v>3</v>
      </c>
      <c r="O1392" s="73">
        <v>1</v>
      </c>
      <c r="P1392" s="17" t="s">
        <v>37</v>
      </c>
      <c r="Q1392" t="str">
        <f>LEFT(B1392,3)</f>
        <v>ZTI</v>
      </c>
    </row>
    <row r="1393" spans="17:17">
      <c r="Q1393" t="str">
        <f>LEFT(B1393,3)</f>
        <v/>
      </c>
    </row>
  </sheetData>
  <autoFilter ref="A1:Q1393" xr:uid="{9777EE52-752A-4DC2-BD97-9FCBAE3C26AF}">
    <sortState xmlns:xlrd2="http://schemas.microsoft.com/office/spreadsheetml/2017/richdata2" ref="A2:Q1393">
      <sortCondition ref="A1:A1393"/>
    </sortState>
  </autoFilter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751A-ABD3-4D9E-9ED1-941510C17182}">
  <dimension ref="A1:E343"/>
  <sheetViews>
    <sheetView topLeftCell="A297" workbookViewId="0">
      <selection activeCell="G334" sqref="G334"/>
    </sheetView>
  </sheetViews>
  <sheetFormatPr defaultColWidth="9.140625" defaultRowHeight="15"/>
  <cols>
    <col min="1" max="1" width="29.5703125" bestFit="1" customWidth="1"/>
    <col min="2" max="2" width="21" customWidth="1"/>
    <col min="4" max="4" width="9.28515625" style="70" bestFit="1" customWidth="1"/>
  </cols>
  <sheetData>
    <row r="1" spans="1:5" ht="15.75">
      <c r="A1" s="31" t="s">
        <v>3900</v>
      </c>
      <c r="B1" s="32" t="s">
        <v>3901</v>
      </c>
      <c r="C1" s="32" t="s">
        <v>27</v>
      </c>
      <c r="D1" s="58" t="s">
        <v>3902</v>
      </c>
      <c r="E1" s="33" t="s">
        <v>3903</v>
      </c>
    </row>
    <row r="2" spans="1:5" ht="15.75">
      <c r="A2" s="34" t="s">
        <v>3904</v>
      </c>
      <c r="B2" s="34" t="s">
        <v>3905</v>
      </c>
      <c r="C2" s="34" t="s">
        <v>1677</v>
      </c>
      <c r="D2" s="59" t="s">
        <v>3390</v>
      </c>
      <c r="E2" s="35" t="s">
        <v>3906</v>
      </c>
    </row>
    <row r="3" spans="1:5" ht="15.75">
      <c r="A3" s="36" t="s">
        <v>3904</v>
      </c>
      <c r="B3" s="37" t="s">
        <v>3907</v>
      </c>
      <c r="C3" s="37" t="s">
        <v>2458</v>
      </c>
      <c r="D3" s="60" t="s">
        <v>3908</v>
      </c>
      <c r="E3" s="38" t="s">
        <v>3906</v>
      </c>
    </row>
    <row r="4" spans="1:5" ht="15.75">
      <c r="A4" s="39" t="s">
        <v>3904</v>
      </c>
      <c r="B4" s="40" t="s">
        <v>3907</v>
      </c>
      <c r="C4" s="40" t="s">
        <v>2458</v>
      </c>
      <c r="D4" s="57" t="s">
        <v>3909</v>
      </c>
      <c r="E4" s="38" t="s">
        <v>3906</v>
      </c>
    </row>
    <row r="5" spans="1:5" ht="15.75">
      <c r="A5" s="41" t="s">
        <v>3904</v>
      </c>
      <c r="B5" s="42" t="s">
        <v>3905</v>
      </c>
      <c r="C5" s="42" t="s">
        <v>1677</v>
      </c>
      <c r="D5" s="61" t="s">
        <v>3910</v>
      </c>
      <c r="E5" s="38" t="s">
        <v>3906</v>
      </c>
    </row>
    <row r="6" spans="1:5" ht="15.75">
      <c r="A6" s="39" t="s">
        <v>3904</v>
      </c>
      <c r="B6" s="40" t="s">
        <v>3905</v>
      </c>
      <c r="C6" s="40" t="s">
        <v>1677</v>
      </c>
      <c r="D6" s="57" t="s">
        <v>3911</v>
      </c>
      <c r="E6" s="38" t="s">
        <v>3906</v>
      </c>
    </row>
    <row r="7" spans="1:5" ht="15.75">
      <c r="A7" s="43" t="s">
        <v>3904</v>
      </c>
      <c r="B7" s="44" t="s">
        <v>3907</v>
      </c>
      <c r="C7" s="44" t="s">
        <v>2458</v>
      </c>
      <c r="D7" s="62" t="s">
        <v>3912</v>
      </c>
      <c r="E7" s="38" t="s">
        <v>3906</v>
      </c>
    </row>
    <row r="8" spans="1:5" ht="15.75">
      <c r="A8" s="39" t="s">
        <v>3904</v>
      </c>
      <c r="B8" s="40" t="s">
        <v>3913</v>
      </c>
      <c r="C8" s="40" t="s">
        <v>1677</v>
      </c>
      <c r="D8" s="57" t="s">
        <v>3914</v>
      </c>
      <c r="E8" s="38" t="s">
        <v>3906</v>
      </c>
    </row>
    <row r="9" spans="1:5" ht="15.75">
      <c r="A9" s="43" t="s">
        <v>3904</v>
      </c>
      <c r="B9" s="44" t="s">
        <v>3913</v>
      </c>
      <c r="C9" s="44" t="s">
        <v>1677</v>
      </c>
      <c r="D9" s="62" t="s">
        <v>3915</v>
      </c>
      <c r="E9" s="38" t="s">
        <v>3906</v>
      </c>
    </row>
    <row r="10" spans="1:5" ht="15.75">
      <c r="A10" s="41" t="s">
        <v>3916</v>
      </c>
      <c r="B10" s="42" t="s">
        <v>675</v>
      </c>
      <c r="C10" s="42" t="s">
        <v>677</v>
      </c>
      <c r="D10" s="61" t="s">
        <v>3917</v>
      </c>
      <c r="E10" s="38" t="s">
        <v>3906</v>
      </c>
    </row>
    <row r="11" spans="1:5" ht="15.75">
      <c r="A11" s="39" t="s">
        <v>3916</v>
      </c>
      <c r="B11" s="40" t="s">
        <v>675</v>
      </c>
      <c r="C11" s="40" t="s">
        <v>677</v>
      </c>
      <c r="D11" s="57" t="s">
        <v>3918</v>
      </c>
      <c r="E11" s="38" t="s">
        <v>3906</v>
      </c>
    </row>
    <row r="12" spans="1:5" ht="15.75">
      <c r="A12" s="41" t="s">
        <v>3916</v>
      </c>
      <c r="B12" s="42" t="s">
        <v>3919</v>
      </c>
      <c r="C12" s="42">
        <v>116</v>
      </c>
      <c r="D12" s="61" t="s">
        <v>3920</v>
      </c>
      <c r="E12" s="38" t="s">
        <v>3906</v>
      </c>
    </row>
    <row r="13" spans="1:5" ht="15.75">
      <c r="A13" s="39" t="s">
        <v>3916</v>
      </c>
      <c r="B13" s="40" t="s">
        <v>3919</v>
      </c>
      <c r="C13" s="40">
        <v>116</v>
      </c>
      <c r="D13" s="57" t="s">
        <v>3921</v>
      </c>
      <c r="E13" s="38" t="s">
        <v>3906</v>
      </c>
    </row>
    <row r="14" spans="1:5" ht="15.75">
      <c r="A14" s="41" t="s">
        <v>3916</v>
      </c>
      <c r="B14" s="42" t="s">
        <v>3919</v>
      </c>
      <c r="C14" s="42">
        <v>116</v>
      </c>
      <c r="D14" s="61" t="s">
        <v>3922</v>
      </c>
      <c r="E14" s="38" t="s">
        <v>3906</v>
      </c>
    </row>
    <row r="15" spans="1:5" ht="15.75">
      <c r="A15" s="39" t="s">
        <v>3916</v>
      </c>
      <c r="B15" s="40" t="s">
        <v>2151</v>
      </c>
      <c r="C15" s="40" t="s">
        <v>2153</v>
      </c>
      <c r="D15" s="57" t="s">
        <v>3923</v>
      </c>
      <c r="E15" s="38" t="s">
        <v>3906</v>
      </c>
    </row>
    <row r="16" spans="1:5" ht="15.75">
      <c r="A16" s="41" t="s">
        <v>3916</v>
      </c>
      <c r="B16" s="42" t="s">
        <v>2151</v>
      </c>
      <c r="C16" s="42" t="s">
        <v>2153</v>
      </c>
      <c r="D16" s="61" t="s">
        <v>3924</v>
      </c>
      <c r="E16" s="38" t="s">
        <v>3906</v>
      </c>
    </row>
    <row r="17" spans="1:5" ht="15.75">
      <c r="A17" s="39" t="s">
        <v>3916</v>
      </c>
      <c r="B17" s="40" t="s">
        <v>3925</v>
      </c>
      <c r="C17" s="40">
        <v>116</v>
      </c>
      <c r="D17" s="57" t="s">
        <v>3926</v>
      </c>
      <c r="E17" s="38" t="s">
        <v>3906</v>
      </c>
    </row>
    <row r="18" spans="1:5" ht="15.75">
      <c r="A18" s="43" t="s">
        <v>3916</v>
      </c>
      <c r="B18" s="44" t="s">
        <v>3925</v>
      </c>
      <c r="C18" s="44">
        <v>116</v>
      </c>
      <c r="D18" s="62" t="s">
        <v>3927</v>
      </c>
      <c r="E18" s="38" t="s">
        <v>3906</v>
      </c>
    </row>
    <row r="19" spans="1:5" ht="15.75">
      <c r="A19" s="39" t="s">
        <v>3916</v>
      </c>
      <c r="B19" s="40" t="s">
        <v>3928</v>
      </c>
      <c r="C19" s="40" t="s">
        <v>268</v>
      </c>
      <c r="D19" s="57" t="s">
        <v>3929</v>
      </c>
      <c r="E19" s="38" t="s">
        <v>3906</v>
      </c>
    </row>
    <row r="20" spans="1:5" ht="15.75">
      <c r="A20" s="45" t="s">
        <v>3916</v>
      </c>
      <c r="B20" s="46" t="s">
        <v>3928</v>
      </c>
      <c r="C20" s="46" t="s">
        <v>268</v>
      </c>
      <c r="D20" s="63" t="s">
        <v>3930</v>
      </c>
      <c r="E20" s="35" t="s">
        <v>3906</v>
      </c>
    </row>
    <row r="21" spans="1:5" ht="15.75">
      <c r="A21" s="47" t="s">
        <v>3916</v>
      </c>
      <c r="B21" s="48" t="s">
        <v>3928</v>
      </c>
      <c r="C21" s="48" t="s">
        <v>268</v>
      </c>
      <c r="D21" s="64" t="s">
        <v>3931</v>
      </c>
      <c r="E21" s="35" t="s">
        <v>3906</v>
      </c>
    </row>
    <row r="22" spans="1:5" ht="15.75">
      <c r="A22" s="45" t="s">
        <v>3916</v>
      </c>
      <c r="B22" s="46" t="s">
        <v>3928</v>
      </c>
      <c r="C22" s="46" t="s">
        <v>268</v>
      </c>
      <c r="D22" s="63" t="s">
        <v>3932</v>
      </c>
      <c r="E22" s="35" t="s">
        <v>3906</v>
      </c>
    </row>
    <row r="23" spans="1:5" ht="15.75">
      <c r="A23" s="47" t="s">
        <v>3916</v>
      </c>
      <c r="B23" s="48" t="s">
        <v>3928</v>
      </c>
      <c r="C23" s="48" t="s">
        <v>268</v>
      </c>
      <c r="D23" s="64" t="s">
        <v>3933</v>
      </c>
      <c r="E23" s="35" t="s">
        <v>3906</v>
      </c>
    </row>
    <row r="24" spans="1:5" ht="15.75">
      <c r="A24" s="45" t="s">
        <v>3916</v>
      </c>
      <c r="B24" s="46" t="s">
        <v>3928</v>
      </c>
      <c r="C24" s="46" t="s">
        <v>268</v>
      </c>
      <c r="D24" s="63" t="s">
        <v>3934</v>
      </c>
      <c r="E24" s="35" t="s">
        <v>3906</v>
      </c>
    </row>
    <row r="25" spans="1:5" ht="15.75">
      <c r="A25" s="47" t="s">
        <v>3916</v>
      </c>
      <c r="B25" s="48" t="s">
        <v>3935</v>
      </c>
      <c r="C25" s="48" t="s">
        <v>411</v>
      </c>
      <c r="D25" s="64" t="s">
        <v>3936</v>
      </c>
      <c r="E25" s="35" t="s">
        <v>3906</v>
      </c>
    </row>
    <row r="26" spans="1:5" ht="15.75">
      <c r="A26" s="45" t="s">
        <v>3916</v>
      </c>
      <c r="B26" s="46" t="s">
        <v>3935</v>
      </c>
      <c r="C26" s="46" t="s">
        <v>411</v>
      </c>
      <c r="D26" s="63" t="s">
        <v>3937</v>
      </c>
      <c r="E26" s="35" t="s">
        <v>3906</v>
      </c>
    </row>
    <row r="27" spans="1:5" ht="15.75">
      <c r="A27" s="47" t="s">
        <v>3916</v>
      </c>
      <c r="B27" s="48" t="s">
        <v>3935</v>
      </c>
      <c r="C27" s="48" t="s">
        <v>411</v>
      </c>
      <c r="D27" s="64" t="s">
        <v>3938</v>
      </c>
      <c r="E27" s="35" t="s">
        <v>3906</v>
      </c>
    </row>
    <row r="28" spans="1:5" ht="15.75">
      <c r="A28" s="45" t="s">
        <v>3916</v>
      </c>
      <c r="B28" s="46" t="s">
        <v>3935</v>
      </c>
      <c r="C28" s="46" t="s">
        <v>411</v>
      </c>
      <c r="D28" s="63" t="s">
        <v>3939</v>
      </c>
      <c r="E28" s="35" t="s">
        <v>3906</v>
      </c>
    </row>
    <row r="29" spans="1:5" ht="15.75">
      <c r="A29" s="47" t="s">
        <v>3916</v>
      </c>
      <c r="B29" s="48" t="s">
        <v>676</v>
      </c>
      <c r="C29" s="48" t="s">
        <v>677</v>
      </c>
      <c r="D29" s="64" t="s">
        <v>3940</v>
      </c>
      <c r="E29" s="35" t="s">
        <v>3906</v>
      </c>
    </row>
    <row r="30" spans="1:5" ht="15.75">
      <c r="A30" s="45" t="s">
        <v>3916</v>
      </c>
      <c r="B30" s="46" t="s">
        <v>676</v>
      </c>
      <c r="C30" s="46" t="s">
        <v>677</v>
      </c>
      <c r="D30" s="63" t="s">
        <v>3941</v>
      </c>
      <c r="E30" s="35" t="s">
        <v>3906</v>
      </c>
    </row>
    <row r="31" spans="1:5" ht="15.75">
      <c r="A31" s="47" t="s">
        <v>3916</v>
      </c>
      <c r="B31" s="48" t="s">
        <v>1888</v>
      </c>
      <c r="C31" s="48" t="s">
        <v>1887</v>
      </c>
      <c r="D31" s="64" t="s">
        <v>3942</v>
      </c>
      <c r="E31" s="35" t="s">
        <v>3906</v>
      </c>
    </row>
    <row r="32" spans="1:5" ht="15.75">
      <c r="A32" s="45" t="s">
        <v>3916</v>
      </c>
      <c r="B32" s="46" t="s">
        <v>1888</v>
      </c>
      <c r="C32" s="46" t="s">
        <v>1887</v>
      </c>
      <c r="D32" s="63" t="s">
        <v>3943</v>
      </c>
      <c r="E32" s="35" t="s">
        <v>3906</v>
      </c>
    </row>
    <row r="33" spans="1:5" ht="15.75">
      <c r="A33" s="47" t="s">
        <v>3916</v>
      </c>
      <c r="B33" s="48" t="s">
        <v>1888</v>
      </c>
      <c r="C33" s="48" t="s">
        <v>1887</v>
      </c>
      <c r="D33" s="64" t="s">
        <v>3944</v>
      </c>
      <c r="E33" s="35" t="s">
        <v>3906</v>
      </c>
    </row>
    <row r="34" spans="1:5" ht="15.75">
      <c r="A34" s="45" t="s">
        <v>3916</v>
      </c>
      <c r="B34" s="46" t="s">
        <v>2152</v>
      </c>
      <c r="C34" s="46" t="s">
        <v>2153</v>
      </c>
      <c r="D34" s="63" t="s">
        <v>3945</v>
      </c>
      <c r="E34" s="35" t="s">
        <v>3906</v>
      </c>
    </row>
    <row r="35" spans="1:5" ht="15.75">
      <c r="A35" s="47" t="s">
        <v>3916</v>
      </c>
      <c r="B35" s="48" t="s">
        <v>3946</v>
      </c>
      <c r="C35" s="48" t="s">
        <v>2372</v>
      </c>
      <c r="D35" s="64" t="s">
        <v>3947</v>
      </c>
      <c r="E35" s="35" t="s">
        <v>3906</v>
      </c>
    </row>
    <row r="36" spans="1:5" ht="15.75">
      <c r="A36" s="47" t="s">
        <v>3916</v>
      </c>
      <c r="B36" s="48" t="s">
        <v>676</v>
      </c>
      <c r="C36" s="48" t="s">
        <v>677</v>
      </c>
      <c r="D36" s="64" t="s">
        <v>3948</v>
      </c>
      <c r="E36" s="35" t="s">
        <v>3906</v>
      </c>
    </row>
    <row r="37" spans="1:5" ht="15.75">
      <c r="A37" s="45" t="s">
        <v>3916</v>
      </c>
      <c r="B37" s="46" t="s">
        <v>676</v>
      </c>
      <c r="C37" s="46" t="s">
        <v>677</v>
      </c>
      <c r="D37" s="63" t="s">
        <v>3949</v>
      </c>
      <c r="E37" s="35" t="s">
        <v>3906</v>
      </c>
    </row>
    <row r="38" spans="1:5" ht="15.75">
      <c r="A38" s="47" t="s">
        <v>3916</v>
      </c>
      <c r="B38" s="48" t="s">
        <v>676</v>
      </c>
      <c r="C38" s="48" t="s">
        <v>677</v>
      </c>
      <c r="D38" s="64" t="s">
        <v>3950</v>
      </c>
      <c r="E38" s="35" t="s">
        <v>3906</v>
      </c>
    </row>
    <row r="39" spans="1:5" ht="15.75">
      <c r="A39" s="45" t="s">
        <v>3916</v>
      </c>
      <c r="B39" s="46" t="s">
        <v>676</v>
      </c>
      <c r="C39" s="46" t="s">
        <v>677</v>
      </c>
      <c r="D39" s="63" t="s">
        <v>3951</v>
      </c>
      <c r="E39" s="35" t="s">
        <v>3906</v>
      </c>
    </row>
    <row r="40" spans="1:5" ht="15.75">
      <c r="A40" s="45" t="s">
        <v>3916</v>
      </c>
      <c r="B40" s="46" t="s">
        <v>2152</v>
      </c>
      <c r="C40" s="46" t="s">
        <v>2153</v>
      </c>
      <c r="D40" s="63" t="s">
        <v>3952</v>
      </c>
      <c r="E40" s="35" t="s">
        <v>3906</v>
      </c>
    </row>
    <row r="41" spans="1:5" ht="15.75">
      <c r="A41" s="36" t="s">
        <v>3916</v>
      </c>
      <c r="B41" s="37" t="s">
        <v>3953</v>
      </c>
      <c r="C41" s="37" t="s">
        <v>268</v>
      </c>
      <c r="D41" s="60" t="s">
        <v>2571</v>
      </c>
      <c r="E41" s="38" t="s">
        <v>3906</v>
      </c>
    </row>
    <row r="42" spans="1:5" ht="15.75">
      <c r="A42" s="41" t="s">
        <v>3916</v>
      </c>
      <c r="B42" s="40" t="s">
        <v>3953</v>
      </c>
      <c r="C42" s="40" t="s">
        <v>268</v>
      </c>
      <c r="D42" s="57" t="s">
        <v>2572</v>
      </c>
      <c r="E42" s="38" t="s">
        <v>3906</v>
      </c>
    </row>
    <row r="43" spans="1:5" ht="15.75">
      <c r="A43" s="41" t="s">
        <v>3916</v>
      </c>
      <c r="B43" s="49" t="s">
        <v>3953</v>
      </c>
      <c r="C43" s="49" t="s">
        <v>268</v>
      </c>
      <c r="D43" s="65" t="s">
        <v>2573</v>
      </c>
      <c r="E43" s="35" t="s">
        <v>3906</v>
      </c>
    </row>
    <row r="44" spans="1:5" ht="15.75">
      <c r="A44" s="41" t="s">
        <v>3916</v>
      </c>
      <c r="B44" s="48" t="s">
        <v>3919</v>
      </c>
      <c r="C44" s="48">
        <v>116</v>
      </c>
      <c r="D44" s="64">
        <v>1160281</v>
      </c>
      <c r="E44" s="35" t="s">
        <v>3906</v>
      </c>
    </row>
    <row r="45" spans="1:5" ht="15.75">
      <c r="A45" s="47" t="s">
        <v>3954</v>
      </c>
      <c r="B45" s="48" t="s">
        <v>3955</v>
      </c>
      <c r="C45" s="48" t="s">
        <v>2202</v>
      </c>
      <c r="D45" s="64" t="s">
        <v>3956</v>
      </c>
      <c r="E45" s="35" t="s">
        <v>3906</v>
      </c>
    </row>
    <row r="46" spans="1:5" ht="15.75">
      <c r="A46" s="50" t="s">
        <v>3954</v>
      </c>
      <c r="B46" s="51" t="s">
        <v>774</v>
      </c>
      <c r="C46" s="51" t="s">
        <v>2202</v>
      </c>
      <c r="D46" s="66" t="s">
        <v>3957</v>
      </c>
      <c r="E46" s="38" t="s">
        <v>3906</v>
      </c>
    </row>
    <row r="47" spans="1:5" ht="15.75">
      <c r="A47" s="52" t="s">
        <v>3954</v>
      </c>
      <c r="B47" s="52" t="s">
        <v>774</v>
      </c>
      <c r="C47" s="52" t="s">
        <v>2202</v>
      </c>
      <c r="D47" s="67" t="s">
        <v>3958</v>
      </c>
      <c r="E47" s="35" t="s">
        <v>3906</v>
      </c>
    </row>
    <row r="48" spans="1:5" ht="15.75">
      <c r="A48" s="36" t="s">
        <v>3959</v>
      </c>
      <c r="B48" s="37" t="s">
        <v>3960</v>
      </c>
      <c r="C48" s="37" t="s">
        <v>2321</v>
      </c>
      <c r="D48" s="60" t="s">
        <v>3961</v>
      </c>
      <c r="E48" s="38" t="s">
        <v>3906</v>
      </c>
    </row>
    <row r="49" spans="1:5" ht="15.75">
      <c r="A49" s="39" t="s">
        <v>3959</v>
      </c>
      <c r="B49" s="40" t="s">
        <v>3960</v>
      </c>
      <c r="C49" s="40" t="s">
        <v>2321</v>
      </c>
      <c r="D49" s="57" t="s">
        <v>3962</v>
      </c>
      <c r="E49" s="38" t="s">
        <v>3906</v>
      </c>
    </row>
    <row r="50" spans="1:5" ht="15.75">
      <c r="A50" s="41" t="s">
        <v>3959</v>
      </c>
      <c r="B50" s="42" t="s">
        <v>3960</v>
      </c>
      <c r="C50" s="42" t="s">
        <v>2321</v>
      </c>
      <c r="D50" s="61" t="s">
        <v>3805</v>
      </c>
      <c r="E50" s="38" t="s">
        <v>3906</v>
      </c>
    </row>
    <row r="51" spans="1:5" ht="15.75">
      <c r="A51" s="39" t="s">
        <v>3959</v>
      </c>
      <c r="B51" s="40" t="s">
        <v>3963</v>
      </c>
      <c r="C51" s="40" t="s">
        <v>2321</v>
      </c>
      <c r="D51" s="57" t="s">
        <v>3964</v>
      </c>
      <c r="E51" s="38" t="s">
        <v>3906</v>
      </c>
    </row>
    <row r="52" spans="1:5" ht="15.75">
      <c r="A52" s="43" t="s">
        <v>3959</v>
      </c>
      <c r="B52" s="44" t="s">
        <v>3963</v>
      </c>
      <c r="C52" s="44" t="s">
        <v>2321</v>
      </c>
      <c r="D52" s="62" t="s">
        <v>3965</v>
      </c>
      <c r="E52" s="38" t="s">
        <v>3906</v>
      </c>
    </row>
    <row r="53" spans="1:5" ht="15.75">
      <c r="A53" s="53" t="s">
        <v>3966</v>
      </c>
      <c r="B53" s="53" t="s">
        <v>3967</v>
      </c>
      <c r="C53" s="53" t="s">
        <v>1115</v>
      </c>
      <c r="D53" s="68" t="s">
        <v>3968</v>
      </c>
      <c r="E53" s="35" t="s">
        <v>3906</v>
      </c>
    </row>
    <row r="54" spans="1:5" ht="15.75">
      <c r="A54" s="50" t="s">
        <v>3966</v>
      </c>
      <c r="B54" s="51" t="s">
        <v>2214</v>
      </c>
      <c r="C54" s="51" t="s">
        <v>2215</v>
      </c>
      <c r="D54" s="66" t="s">
        <v>3969</v>
      </c>
      <c r="E54" s="38" t="s">
        <v>3906</v>
      </c>
    </row>
    <row r="55" spans="1:5" ht="15.75">
      <c r="A55" s="39" t="s">
        <v>3966</v>
      </c>
      <c r="B55" s="40" t="s">
        <v>2214</v>
      </c>
      <c r="C55" s="40" t="s">
        <v>2215</v>
      </c>
      <c r="D55" s="57" t="s">
        <v>3970</v>
      </c>
      <c r="E55" s="38" t="s">
        <v>3906</v>
      </c>
    </row>
    <row r="56" spans="1:5" ht="15.75">
      <c r="A56" s="43" t="s">
        <v>3971</v>
      </c>
      <c r="B56" s="44" t="s">
        <v>3972</v>
      </c>
      <c r="C56" s="44" t="s">
        <v>578</v>
      </c>
      <c r="D56" s="62" t="s">
        <v>3973</v>
      </c>
      <c r="E56" s="38" t="s">
        <v>3906</v>
      </c>
    </row>
    <row r="57" spans="1:5" ht="15.75">
      <c r="A57" s="39" t="s">
        <v>3971</v>
      </c>
      <c r="B57" s="40" t="s">
        <v>585</v>
      </c>
      <c r="C57" s="40" t="s">
        <v>588</v>
      </c>
      <c r="D57" s="57" t="s">
        <v>3974</v>
      </c>
      <c r="E57" s="38" t="s">
        <v>3906</v>
      </c>
    </row>
    <row r="58" spans="1:5" ht="15.75">
      <c r="A58" s="43" t="s">
        <v>3971</v>
      </c>
      <c r="B58" s="44" t="s">
        <v>585</v>
      </c>
      <c r="C58" s="44" t="s">
        <v>588</v>
      </c>
      <c r="D58" s="62" t="s">
        <v>3975</v>
      </c>
      <c r="E58" s="38" t="s">
        <v>3906</v>
      </c>
    </row>
    <row r="59" spans="1:5" ht="15.75">
      <c r="A59" s="39" t="s">
        <v>3971</v>
      </c>
      <c r="B59" s="40" t="s">
        <v>585</v>
      </c>
      <c r="C59" s="40" t="s">
        <v>588</v>
      </c>
      <c r="D59" s="57" t="s">
        <v>3976</v>
      </c>
      <c r="E59" s="38" t="s">
        <v>3906</v>
      </c>
    </row>
    <row r="60" spans="1:5" ht="15.75">
      <c r="A60" s="43" t="s">
        <v>3971</v>
      </c>
      <c r="B60" s="44" t="s">
        <v>620</v>
      </c>
      <c r="C60" s="44" t="s">
        <v>621</v>
      </c>
      <c r="D60" s="62" t="s">
        <v>3977</v>
      </c>
      <c r="E60" s="38" t="s">
        <v>3906</v>
      </c>
    </row>
    <row r="61" spans="1:5" ht="15.75">
      <c r="A61" s="39" t="s">
        <v>3971</v>
      </c>
      <c r="B61" s="40" t="s">
        <v>620</v>
      </c>
      <c r="C61" s="40" t="s">
        <v>621</v>
      </c>
      <c r="D61" s="57" t="s">
        <v>3978</v>
      </c>
      <c r="E61" s="38" t="s">
        <v>3906</v>
      </c>
    </row>
    <row r="62" spans="1:5" ht="15.75">
      <c r="A62" s="43" t="s">
        <v>3971</v>
      </c>
      <c r="B62" s="44" t="s">
        <v>620</v>
      </c>
      <c r="C62" s="44" t="s">
        <v>621</v>
      </c>
      <c r="D62" s="62" t="s">
        <v>3979</v>
      </c>
      <c r="E62" s="38" t="s">
        <v>3906</v>
      </c>
    </row>
    <row r="63" spans="1:5" ht="15.75">
      <c r="A63" s="39" t="s">
        <v>3971</v>
      </c>
      <c r="B63" s="40" t="s">
        <v>620</v>
      </c>
      <c r="C63" s="40" t="s">
        <v>621</v>
      </c>
      <c r="D63" s="57" t="s">
        <v>3980</v>
      </c>
      <c r="E63" s="38" t="s">
        <v>3906</v>
      </c>
    </row>
    <row r="64" spans="1:5" ht="15.75">
      <c r="A64" s="43" t="s">
        <v>3971</v>
      </c>
      <c r="B64" s="44" t="s">
        <v>896</v>
      </c>
      <c r="C64" s="44" t="s">
        <v>897</v>
      </c>
      <c r="D64" s="62" t="s">
        <v>3981</v>
      </c>
      <c r="E64" s="38" t="s">
        <v>3906</v>
      </c>
    </row>
    <row r="65" spans="1:5" ht="15.75">
      <c r="A65" s="39" t="s">
        <v>3971</v>
      </c>
      <c r="B65" s="40" t="s">
        <v>896</v>
      </c>
      <c r="C65" s="40" t="s">
        <v>897</v>
      </c>
      <c r="D65" s="57" t="s">
        <v>3982</v>
      </c>
      <c r="E65" s="38" t="s">
        <v>3906</v>
      </c>
    </row>
    <row r="66" spans="1:5" ht="15.75">
      <c r="A66" s="39" t="s">
        <v>3971</v>
      </c>
      <c r="B66" s="40" t="s">
        <v>3983</v>
      </c>
      <c r="C66" s="40" t="s">
        <v>2466</v>
      </c>
      <c r="D66" s="57" t="s">
        <v>3984</v>
      </c>
      <c r="E66" s="38" t="s">
        <v>3906</v>
      </c>
    </row>
    <row r="67" spans="1:5" ht="15.75">
      <c r="A67" s="43" t="s">
        <v>3971</v>
      </c>
      <c r="B67" s="44" t="s">
        <v>3983</v>
      </c>
      <c r="C67" s="44" t="s">
        <v>2466</v>
      </c>
      <c r="D67" s="62" t="s">
        <v>3985</v>
      </c>
      <c r="E67" s="38" t="s">
        <v>3906</v>
      </c>
    </row>
    <row r="68" spans="1:5" ht="15.75">
      <c r="A68" s="39" t="s">
        <v>3971</v>
      </c>
      <c r="B68" s="40" t="s">
        <v>3983</v>
      </c>
      <c r="C68" s="40" t="s">
        <v>2466</v>
      </c>
      <c r="D68" s="57" t="s">
        <v>3986</v>
      </c>
      <c r="E68" s="38" t="s">
        <v>3906</v>
      </c>
    </row>
    <row r="69" spans="1:5" ht="15.75">
      <c r="A69" s="43" t="s">
        <v>3987</v>
      </c>
      <c r="B69" s="44" t="s">
        <v>3988</v>
      </c>
      <c r="C69" s="44" t="s">
        <v>665</v>
      </c>
      <c r="D69" s="62" t="s">
        <v>3989</v>
      </c>
      <c r="E69" s="38" t="s">
        <v>3906</v>
      </c>
    </row>
    <row r="70" spans="1:5" ht="15.75">
      <c r="A70" s="39" t="s">
        <v>3987</v>
      </c>
      <c r="B70" s="40" t="s">
        <v>3988</v>
      </c>
      <c r="C70" s="40" t="s">
        <v>665</v>
      </c>
      <c r="D70" s="57" t="s">
        <v>3990</v>
      </c>
      <c r="E70" s="38" t="s">
        <v>3906</v>
      </c>
    </row>
    <row r="71" spans="1:5" ht="15.75">
      <c r="A71" s="43" t="s">
        <v>3987</v>
      </c>
      <c r="B71" s="44" t="s">
        <v>3988</v>
      </c>
      <c r="C71" s="44" t="s">
        <v>665</v>
      </c>
      <c r="D71" s="62" t="s">
        <v>3991</v>
      </c>
      <c r="E71" s="38" t="s">
        <v>3906</v>
      </c>
    </row>
    <row r="72" spans="1:5" ht="15.75">
      <c r="A72" s="39" t="s">
        <v>3992</v>
      </c>
      <c r="B72" s="40" t="s">
        <v>865</v>
      </c>
      <c r="C72" s="40" t="s">
        <v>867</v>
      </c>
      <c r="D72" s="57" t="s">
        <v>3993</v>
      </c>
      <c r="E72" s="38" t="s">
        <v>3906</v>
      </c>
    </row>
    <row r="73" spans="1:5" ht="15.75">
      <c r="A73" s="41" t="s">
        <v>3992</v>
      </c>
      <c r="B73" s="42" t="s">
        <v>865</v>
      </c>
      <c r="C73" s="42" t="s">
        <v>867</v>
      </c>
      <c r="D73" s="61" t="s">
        <v>3994</v>
      </c>
      <c r="E73" s="38" t="s">
        <v>3906</v>
      </c>
    </row>
    <row r="74" spans="1:5" ht="15.75">
      <c r="A74" s="41" t="s">
        <v>3992</v>
      </c>
      <c r="B74" s="42" t="s">
        <v>865</v>
      </c>
      <c r="C74" s="42" t="s">
        <v>867</v>
      </c>
      <c r="D74" s="61" t="s">
        <v>2893</v>
      </c>
      <c r="E74" s="38" t="s">
        <v>3906</v>
      </c>
    </row>
    <row r="75" spans="1:5" ht="15.75">
      <c r="A75" s="39" t="s">
        <v>3992</v>
      </c>
      <c r="B75" s="40" t="s">
        <v>865</v>
      </c>
      <c r="C75" s="40" t="s">
        <v>867</v>
      </c>
      <c r="D75" s="57" t="s">
        <v>2894</v>
      </c>
      <c r="E75" s="38" t="s">
        <v>3906</v>
      </c>
    </row>
    <row r="76" spans="1:5" ht="15.75">
      <c r="A76" s="39" t="s">
        <v>3992</v>
      </c>
      <c r="B76" s="40" t="s">
        <v>866</v>
      </c>
      <c r="C76" s="40" t="s">
        <v>867</v>
      </c>
      <c r="D76" s="57" t="s">
        <v>3995</v>
      </c>
      <c r="E76" s="38" t="s">
        <v>3906</v>
      </c>
    </row>
    <row r="77" spans="1:5" ht="15.75">
      <c r="A77" s="43" t="s">
        <v>3992</v>
      </c>
      <c r="B77" s="44" t="s">
        <v>866</v>
      </c>
      <c r="C77" s="44" t="s">
        <v>867</v>
      </c>
      <c r="D77" s="62" t="s">
        <v>3996</v>
      </c>
      <c r="E77" s="38" t="s">
        <v>3906</v>
      </c>
    </row>
    <row r="78" spans="1:5" ht="15.75">
      <c r="A78" s="39" t="s">
        <v>3997</v>
      </c>
      <c r="B78" s="40" t="s">
        <v>1351</v>
      </c>
      <c r="C78" s="40" t="s">
        <v>1353</v>
      </c>
      <c r="D78" s="57" t="s">
        <v>3188</v>
      </c>
      <c r="E78" s="38" t="s">
        <v>3906</v>
      </c>
    </row>
    <row r="79" spans="1:5" ht="15.75">
      <c r="A79" s="41" t="s">
        <v>3997</v>
      </c>
      <c r="B79" s="42" t="s">
        <v>1351</v>
      </c>
      <c r="C79" s="42" t="s">
        <v>1353</v>
      </c>
      <c r="D79" s="61" t="s">
        <v>3998</v>
      </c>
      <c r="E79" s="38" t="s">
        <v>3906</v>
      </c>
    </row>
    <row r="80" spans="1:5" ht="15.75">
      <c r="A80" s="39" t="s">
        <v>3997</v>
      </c>
      <c r="B80" s="40" t="s">
        <v>1352</v>
      </c>
      <c r="C80" s="40" t="s">
        <v>1353</v>
      </c>
      <c r="D80" s="57" t="s">
        <v>3999</v>
      </c>
      <c r="E80" s="38" t="s">
        <v>3906</v>
      </c>
    </row>
    <row r="81" spans="1:5" ht="15.75">
      <c r="A81" s="41" t="s">
        <v>4000</v>
      </c>
      <c r="B81" s="42" t="s">
        <v>207</v>
      </c>
      <c r="C81" s="42" t="s">
        <v>209</v>
      </c>
      <c r="D81" s="61" t="s">
        <v>2541</v>
      </c>
      <c r="E81" s="38" t="s">
        <v>3906</v>
      </c>
    </row>
    <row r="82" spans="1:5" ht="15.75">
      <c r="A82" s="39" t="s">
        <v>4000</v>
      </c>
      <c r="B82" s="40" t="s">
        <v>1451</v>
      </c>
      <c r="C82" s="40" t="s">
        <v>1453</v>
      </c>
      <c r="D82" s="57" t="s">
        <v>3254</v>
      </c>
      <c r="E82" s="38" t="s">
        <v>3906</v>
      </c>
    </row>
    <row r="83" spans="1:5" ht="15.75">
      <c r="A83" s="39" t="s">
        <v>4000</v>
      </c>
      <c r="B83" s="40" t="s">
        <v>207</v>
      </c>
      <c r="C83" s="40" t="s">
        <v>209</v>
      </c>
      <c r="D83" s="57" t="s">
        <v>4001</v>
      </c>
      <c r="E83" s="38" t="s">
        <v>3906</v>
      </c>
    </row>
    <row r="84" spans="1:5" ht="15.75">
      <c r="A84" s="41" t="s">
        <v>4000</v>
      </c>
      <c r="B84" s="42" t="s">
        <v>1241</v>
      </c>
      <c r="C84" s="42" t="s">
        <v>1242</v>
      </c>
      <c r="D84" s="61" t="s">
        <v>4002</v>
      </c>
      <c r="E84" s="38" t="s">
        <v>3906</v>
      </c>
    </row>
    <row r="85" spans="1:5" ht="15.75">
      <c r="A85" s="39" t="s">
        <v>4000</v>
      </c>
      <c r="B85" s="40" t="s">
        <v>1241</v>
      </c>
      <c r="C85" s="40" t="s">
        <v>1242</v>
      </c>
      <c r="D85" s="57" t="s">
        <v>4003</v>
      </c>
      <c r="E85" s="38" t="s">
        <v>3906</v>
      </c>
    </row>
    <row r="86" spans="1:5" ht="15.75">
      <c r="A86" s="41" t="s">
        <v>4000</v>
      </c>
      <c r="B86" s="42" t="s">
        <v>1241</v>
      </c>
      <c r="C86" s="42" t="s">
        <v>1242</v>
      </c>
      <c r="D86" s="61" t="s">
        <v>4004</v>
      </c>
      <c r="E86" s="38" t="s">
        <v>3906</v>
      </c>
    </row>
    <row r="87" spans="1:5" ht="15.75">
      <c r="A87" s="39" t="s">
        <v>4000</v>
      </c>
      <c r="B87" s="40" t="s">
        <v>1241</v>
      </c>
      <c r="C87" s="40" t="s">
        <v>1242</v>
      </c>
      <c r="D87" s="57" t="s">
        <v>4005</v>
      </c>
      <c r="E87" s="38" t="s">
        <v>3906</v>
      </c>
    </row>
    <row r="88" spans="1:5" ht="15.75">
      <c r="A88" s="41" t="s">
        <v>4000</v>
      </c>
      <c r="B88" s="42" t="s">
        <v>1241</v>
      </c>
      <c r="C88" s="42" t="s">
        <v>1242</v>
      </c>
      <c r="D88" s="61" t="s">
        <v>4006</v>
      </c>
      <c r="E88" s="38" t="s">
        <v>3906</v>
      </c>
    </row>
    <row r="89" spans="1:5" ht="15.75">
      <c r="A89" s="39" t="s">
        <v>4000</v>
      </c>
      <c r="B89" s="40" t="s">
        <v>1241</v>
      </c>
      <c r="C89" s="40" t="s">
        <v>1242</v>
      </c>
      <c r="D89" s="57" t="s">
        <v>4007</v>
      </c>
      <c r="E89" s="38" t="s">
        <v>3906</v>
      </c>
    </row>
    <row r="90" spans="1:5" ht="15.75">
      <c r="A90" s="41" t="s">
        <v>4000</v>
      </c>
      <c r="B90" s="42" t="s">
        <v>1241</v>
      </c>
      <c r="C90" s="42" t="s">
        <v>1242</v>
      </c>
      <c r="D90" s="61" t="s">
        <v>4008</v>
      </c>
      <c r="E90" s="38" t="s">
        <v>3906</v>
      </c>
    </row>
    <row r="91" spans="1:5" ht="15.75">
      <c r="A91" s="39" t="s">
        <v>4000</v>
      </c>
      <c r="B91" s="40" t="s">
        <v>1241</v>
      </c>
      <c r="C91" s="40" t="s">
        <v>1242</v>
      </c>
      <c r="D91" s="57" t="s">
        <v>4009</v>
      </c>
      <c r="E91" s="38" t="s">
        <v>3906</v>
      </c>
    </row>
    <row r="92" spans="1:5" ht="15.75">
      <c r="A92" s="41" t="s">
        <v>4000</v>
      </c>
      <c r="B92" s="42" t="s">
        <v>1451</v>
      </c>
      <c r="C92" s="42" t="s">
        <v>1453</v>
      </c>
      <c r="D92" s="61" t="s">
        <v>4010</v>
      </c>
      <c r="E92" s="38" t="s">
        <v>3906</v>
      </c>
    </row>
    <row r="93" spans="1:5" ht="15.75">
      <c r="A93" s="39" t="s">
        <v>4000</v>
      </c>
      <c r="B93" s="40" t="s">
        <v>1451</v>
      </c>
      <c r="C93" s="40" t="s">
        <v>1453</v>
      </c>
      <c r="D93" s="57" t="s">
        <v>4011</v>
      </c>
      <c r="E93" s="38" t="s">
        <v>3906</v>
      </c>
    </row>
    <row r="94" spans="1:5" ht="15.75">
      <c r="A94" s="41" t="s">
        <v>4000</v>
      </c>
      <c r="B94" s="42" t="s">
        <v>4012</v>
      </c>
      <c r="C94" s="42" t="s">
        <v>262</v>
      </c>
      <c r="D94" s="61" t="s">
        <v>4013</v>
      </c>
      <c r="E94" s="38" t="s">
        <v>3906</v>
      </c>
    </row>
    <row r="95" spans="1:5" ht="15.75">
      <c r="A95" s="43" t="s">
        <v>4000</v>
      </c>
      <c r="B95" s="44" t="s">
        <v>208</v>
      </c>
      <c r="C95" s="44" t="s">
        <v>209</v>
      </c>
      <c r="D95" s="62" t="s">
        <v>4014</v>
      </c>
      <c r="E95" s="38" t="s">
        <v>3906</v>
      </c>
    </row>
    <row r="96" spans="1:5" ht="15.75">
      <c r="A96" s="39" t="s">
        <v>4000</v>
      </c>
      <c r="B96" s="40" t="s">
        <v>208</v>
      </c>
      <c r="C96" s="40" t="s">
        <v>209</v>
      </c>
      <c r="D96" s="57" t="s">
        <v>4015</v>
      </c>
      <c r="E96" s="38" t="s">
        <v>3906</v>
      </c>
    </row>
    <row r="97" spans="1:5" ht="15.75">
      <c r="A97" s="43" t="s">
        <v>4000</v>
      </c>
      <c r="B97" s="44" t="s">
        <v>1452</v>
      </c>
      <c r="C97" s="44" t="s">
        <v>1453</v>
      </c>
      <c r="D97" s="62" t="s">
        <v>4016</v>
      </c>
      <c r="E97" s="38" t="s">
        <v>3906</v>
      </c>
    </row>
    <row r="98" spans="1:5" ht="15.75">
      <c r="A98" s="39" t="s">
        <v>4000</v>
      </c>
      <c r="B98" s="40" t="s">
        <v>1452</v>
      </c>
      <c r="C98" s="40" t="s">
        <v>1453</v>
      </c>
      <c r="D98" s="57" t="s">
        <v>4017</v>
      </c>
      <c r="E98" s="38" t="s">
        <v>3906</v>
      </c>
    </row>
    <row r="99" spans="1:5" ht="15.75">
      <c r="A99" s="43" t="s">
        <v>4000</v>
      </c>
      <c r="B99" s="44" t="s">
        <v>4012</v>
      </c>
      <c r="C99" s="44" t="s">
        <v>262</v>
      </c>
      <c r="D99" s="62" t="s">
        <v>4018</v>
      </c>
      <c r="E99" s="38" t="s">
        <v>3906</v>
      </c>
    </row>
    <row r="100" spans="1:5" ht="15.75">
      <c r="A100" s="39" t="s">
        <v>4019</v>
      </c>
      <c r="B100" s="40" t="s">
        <v>98</v>
      </c>
      <c r="C100" s="40" t="s">
        <v>314</v>
      </c>
      <c r="D100" s="57" t="s">
        <v>4020</v>
      </c>
      <c r="E100" s="38" t="s">
        <v>3906</v>
      </c>
    </row>
    <row r="101" spans="1:5" ht="15.75">
      <c r="A101" s="41" t="s">
        <v>4019</v>
      </c>
      <c r="B101" s="42" t="s">
        <v>98</v>
      </c>
      <c r="C101" s="42" t="s">
        <v>314</v>
      </c>
      <c r="D101" s="61" t="s">
        <v>4021</v>
      </c>
      <c r="E101" s="38" t="s">
        <v>3906</v>
      </c>
    </row>
    <row r="102" spans="1:5" ht="15.75">
      <c r="A102" s="39" t="s">
        <v>4019</v>
      </c>
      <c r="B102" s="40" t="s">
        <v>2915</v>
      </c>
      <c r="C102" s="40" t="s">
        <v>905</v>
      </c>
      <c r="D102" s="57" t="s">
        <v>4022</v>
      </c>
      <c r="E102" s="38" t="s">
        <v>3906</v>
      </c>
    </row>
    <row r="103" spans="1:5" ht="15.75">
      <c r="A103" s="41" t="s">
        <v>4019</v>
      </c>
      <c r="B103" s="42" t="s">
        <v>2915</v>
      </c>
      <c r="C103" s="42" t="s">
        <v>905</v>
      </c>
      <c r="D103" s="61" t="s">
        <v>4023</v>
      </c>
      <c r="E103" s="38" t="s">
        <v>3906</v>
      </c>
    </row>
    <row r="104" spans="1:5" ht="15.75">
      <c r="A104" s="41" t="s">
        <v>4019</v>
      </c>
      <c r="B104" s="42" t="s">
        <v>98</v>
      </c>
      <c r="C104" s="42" t="s">
        <v>314</v>
      </c>
      <c r="D104" s="61" t="s">
        <v>2597</v>
      </c>
      <c r="E104" s="38" t="s">
        <v>3906</v>
      </c>
    </row>
    <row r="105" spans="1:5" ht="15.75">
      <c r="A105" s="39" t="s">
        <v>4019</v>
      </c>
      <c r="B105" s="40" t="s">
        <v>2915</v>
      </c>
      <c r="C105" s="40" t="s">
        <v>905</v>
      </c>
      <c r="D105" s="57" t="s">
        <v>2916</v>
      </c>
      <c r="E105" s="38" t="s">
        <v>3906</v>
      </c>
    </row>
    <row r="106" spans="1:5" ht="15.75">
      <c r="A106" s="39" t="s">
        <v>4019</v>
      </c>
      <c r="B106" s="40" t="s">
        <v>313</v>
      </c>
      <c r="C106" s="40" t="s">
        <v>314</v>
      </c>
      <c r="D106" s="57" t="s">
        <v>4024</v>
      </c>
      <c r="E106" s="38" t="s">
        <v>3906</v>
      </c>
    </row>
    <row r="107" spans="1:5" ht="15.75">
      <c r="A107" s="43" t="s">
        <v>4019</v>
      </c>
      <c r="B107" s="44" t="s">
        <v>4025</v>
      </c>
      <c r="C107" s="44" t="s">
        <v>905</v>
      </c>
      <c r="D107" s="62" t="s">
        <v>4026</v>
      </c>
      <c r="E107" s="38" t="s">
        <v>3906</v>
      </c>
    </row>
    <row r="108" spans="1:5" ht="15.75">
      <c r="A108" s="39" t="s">
        <v>4027</v>
      </c>
      <c r="B108" s="40" t="s">
        <v>3925</v>
      </c>
      <c r="C108" s="40">
        <v>116</v>
      </c>
      <c r="D108" s="57" t="s">
        <v>4028</v>
      </c>
      <c r="E108" s="38" t="s">
        <v>3906</v>
      </c>
    </row>
    <row r="109" spans="1:5" ht="15.75">
      <c r="A109" s="39" t="s">
        <v>4029</v>
      </c>
      <c r="B109" s="40" t="s">
        <v>614</v>
      </c>
      <c r="C109" s="40" t="s">
        <v>616</v>
      </c>
      <c r="D109" s="57" t="s">
        <v>4030</v>
      </c>
      <c r="E109" s="38" t="s">
        <v>3906</v>
      </c>
    </row>
    <row r="110" spans="1:5" ht="15.75">
      <c r="A110" s="41" t="s">
        <v>4029</v>
      </c>
      <c r="B110" s="42" t="s">
        <v>614</v>
      </c>
      <c r="C110" s="42" t="s">
        <v>616</v>
      </c>
      <c r="D110" s="61" t="s">
        <v>4031</v>
      </c>
      <c r="E110" s="38" t="s">
        <v>3906</v>
      </c>
    </row>
    <row r="111" spans="1:5" ht="15.75">
      <c r="A111" s="41" t="s">
        <v>4029</v>
      </c>
      <c r="B111" s="42" t="s">
        <v>614</v>
      </c>
      <c r="C111" s="42" t="s">
        <v>616</v>
      </c>
      <c r="D111" s="61" t="s">
        <v>2758</v>
      </c>
      <c r="E111" s="38" t="s">
        <v>3906</v>
      </c>
    </row>
    <row r="112" spans="1:5" ht="15.75">
      <c r="A112" s="39" t="s">
        <v>4029</v>
      </c>
      <c r="B112" s="40" t="s">
        <v>614</v>
      </c>
      <c r="C112" s="40" t="s">
        <v>616</v>
      </c>
      <c r="D112" s="57" t="s">
        <v>2759</v>
      </c>
      <c r="E112" s="38" t="s">
        <v>3906</v>
      </c>
    </row>
    <row r="113" spans="1:5" ht="15.75">
      <c r="A113" s="39" t="s">
        <v>4029</v>
      </c>
      <c r="B113" s="40" t="s">
        <v>615</v>
      </c>
      <c r="C113" s="40" t="s">
        <v>616</v>
      </c>
      <c r="D113" s="57" t="s">
        <v>4032</v>
      </c>
      <c r="E113" s="38" t="s">
        <v>3906</v>
      </c>
    </row>
    <row r="114" spans="1:5" ht="15.75">
      <c r="A114" s="43" t="s">
        <v>4029</v>
      </c>
      <c r="B114" s="44" t="s">
        <v>615</v>
      </c>
      <c r="C114" s="44" t="s">
        <v>616</v>
      </c>
      <c r="D114" s="62" t="s">
        <v>4033</v>
      </c>
      <c r="E114" s="38" t="s">
        <v>3906</v>
      </c>
    </row>
    <row r="115" spans="1:5" ht="15.75">
      <c r="A115" s="43" t="s">
        <v>4034</v>
      </c>
      <c r="B115" s="44" t="s">
        <v>4035</v>
      </c>
      <c r="C115" s="44" t="s">
        <v>452</v>
      </c>
      <c r="D115" s="62" t="s">
        <v>4036</v>
      </c>
      <c r="E115" s="38" t="s">
        <v>3906</v>
      </c>
    </row>
    <row r="116" spans="1:5" ht="15.75">
      <c r="A116" s="39" t="s">
        <v>4034</v>
      </c>
      <c r="B116" s="40" t="s">
        <v>4035</v>
      </c>
      <c r="C116" s="40" t="s">
        <v>452</v>
      </c>
      <c r="D116" s="57" t="s">
        <v>4037</v>
      </c>
      <c r="E116" s="38" t="s">
        <v>3906</v>
      </c>
    </row>
    <row r="117" spans="1:5" ht="15.75">
      <c r="A117" s="43" t="s">
        <v>4034</v>
      </c>
      <c r="B117" s="44" t="s">
        <v>4038</v>
      </c>
      <c r="C117" s="44" t="s">
        <v>569</v>
      </c>
      <c r="D117" s="62" t="s">
        <v>4039</v>
      </c>
      <c r="E117" s="38" t="s">
        <v>3906</v>
      </c>
    </row>
    <row r="118" spans="1:5" ht="15.75">
      <c r="A118" s="39" t="s">
        <v>4034</v>
      </c>
      <c r="B118" s="40" t="s">
        <v>4038</v>
      </c>
      <c r="C118" s="40" t="s">
        <v>569</v>
      </c>
      <c r="D118" s="57" t="s">
        <v>4040</v>
      </c>
      <c r="E118" s="38" t="s">
        <v>3906</v>
      </c>
    </row>
    <row r="119" spans="1:5" ht="15.75">
      <c r="A119" s="43" t="s">
        <v>4034</v>
      </c>
      <c r="B119" s="44" t="s">
        <v>4038</v>
      </c>
      <c r="C119" s="44" t="s">
        <v>569</v>
      </c>
      <c r="D119" s="62" t="s">
        <v>4041</v>
      </c>
      <c r="E119" s="38" t="s">
        <v>3906</v>
      </c>
    </row>
    <row r="120" spans="1:5" ht="15.75">
      <c r="A120" s="39" t="s">
        <v>4034</v>
      </c>
      <c r="B120" s="40" t="s">
        <v>4038</v>
      </c>
      <c r="C120" s="40" t="s">
        <v>569</v>
      </c>
      <c r="D120" s="57" t="s">
        <v>4042</v>
      </c>
      <c r="E120" s="38" t="s">
        <v>3906</v>
      </c>
    </row>
    <row r="121" spans="1:5" ht="15.75">
      <c r="A121" s="39" t="s">
        <v>4034</v>
      </c>
      <c r="B121" s="40" t="s">
        <v>4043</v>
      </c>
      <c r="C121" s="40" t="s">
        <v>2039</v>
      </c>
      <c r="D121" s="57" t="s">
        <v>4044</v>
      </c>
      <c r="E121" s="38" t="s">
        <v>3906</v>
      </c>
    </row>
    <row r="122" spans="1:5" ht="15.75">
      <c r="A122" s="43" t="s">
        <v>4034</v>
      </c>
      <c r="B122" s="44" t="s">
        <v>4043</v>
      </c>
      <c r="C122" s="44" t="s">
        <v>2039</v>
      </c>
      <c r="D122" s="62" t="s">
        <v>4045</v>
      </c>
      <c r="E122" s="38" t="s">
        <v>3906</v>
      </c>
    </row>
    <row r="123" spans="1:5" ht="15.75">
      <c r="A123" s="39" t="s">
        <v>4034</v>
      </c>
      <c r="B123" s="40" t="s">
        <v>4043</v>
      </c>
      <c r="C123" s="40" t="s">
        <v>2039</v>
      </c>
      <c r="D123" s="57" t="s">
        <v>4046</v>
      </c>
      <c r="E123" s="38" t="s">
        <v>3906</v>
      </c>
    </row>
    <row r="124" spans="1:5" ht="15.75">
      <c r="A124" s="43" t="s">
        <v>4034</v>
      </c>
      <c r="B124" s="44" t="s">
        <v>4043</v>
      </c>
      <c r="C124" s="44" t="s">
        <v>2039</v>
      </c>
      <c r="D124" s="62" t="s">
        <v>4047</v>
      </c>
      <c r="E124" s="38" t="s">
        <v>3906</v>
      </c>
    </row>
    <row r="125" spans="1:5" ht="15.75">
      <c r="A125" s="39" t="s">
        <v>4034</v>
      </c>
      <c r="B125" s="40" t="s">
        <v>4048</v>
      </c>
      <c r="C125" s="40" t="s">
        <v>2043</v>
      </c>
      <c r="D125" s="57" t="s">
        <v>4049</v>
      </c>
      <c r="E125" s="38" t="s">
        <v>3906</v>
      </c>
    </row>
    <row r="126" spans="1:5" ht="15.75">
      <c r="A126" s="43" t="s">
        <v>4034</v>
      </c>
      <c r="B126" s="44" t="s">
        <v>4048</v>
      </c>
      <c r="C126" s="44" t="s">
        <v>2043</v>
      </c>
      <c r="D126" s="62" t="s">
        <v>4050</v>
      </c>
      <c r="E126" s="38" t="s">
        <v>3906</v>
      </c>
    </row>
    <row r="127" spans="1:5" ht="15.75">
      <c r="A127" s="43" t="s">
        <v>4034</v>
      </c>
      <c r="B127" s="44" t="s">
        <v>2058</v>
      </c>
      <c r="C127" s="44" t="s">
        <v>2059</v>
      </c>
      <c r="D127" s="62" t="s">
        <v>4051</v>
      </c>
      <c r="E127" s="38" t="s">
        <v>3906</v>
      </c>
    </row>
    <row r="128" spans="1:5" ht="15.75">
      <c r="A128" s="39" t="s">
        <v>4034</v>
      </c>
      <c r="B128" s="40" t="s">
        <v>2292</v>
      </c>
      <c r="C128" s="40" t="s">
        <v>2293</v>
      </c>
      <c r="D128" s="57" t="s">
        <v>4052</v>
      </c>
      <c r="E128" s="38" t="s">
        <v>3906</v>
      </c>
    </row>
    <row r="129" spans="1:5" ht="15.75">
      <c r="A129" s="39" t="s">
        <v>4053</v>
      </c>
      <c r="B129" s="40" t="s">
        <v>339</v>
      </c>
      <c r="C129" s="40" t="s">
        <v>2141</v>
      </c>
      <c r="D129" s="57" t="s">
        <v>4054</v>
      </c>
      <c r="E129" s="38" t="s">
        <v>3906</v>
      </c>
    </row>
    <row r="130" spans="1:5" ht="15.75">
      <c r="A130" s="41" t="s">
        <v>4053</v>
      </c>
      <c r="B130" s="42" t="s">
        <v>339</v>
      </c>
      <c r="C130" s="42" t="s">
        <v>2141</v>
      </c>
      <c r="D130" s="61" t="s">
        <v>4055</v>
      </c>
      <c r="E130" s="38" t="s">
        <v>3906</v>
      </c>
    </row>
    <row r="131" spans="1:5" ht="15.75">
      <c r="A131" s="39" t="s">
        <v>4053</v>
      </c>
      <c r="B131" s="40" t="s">
        <v>339</v>
      </c>
      <c r="C131" s="40" t="s">
        <v>2141</v>
      </c>
      <c r="D131" s="57" t="s">
        <v>4056</v>
      </c>
      <c r="E131" s="38" t="s">
        <v>3906</v>
      </c>
    </row>
    <row r="132" spans="1:5" ht="15.75">
      <c r="A132" s="34" t="s">
        <v>4053</v>
      </c>
      <c r="B132" s="34" t="s">
        <v>339</v>
      </c>
      <c r="C132" s="34" t="s">
        <v>2141</v>
      </c>
      <c r="D132" s="59" t="s">
        <v>4057</v>
      </c>
      <c r="E132" s="35" t="s">
        <v>3906</v>
      </c>
    </row>
    <row r="133" spans="1:5" ht="15.75">
      <c r="A133" s="54" t="s">
        <v>4053</v>
      </c>
      <c r="B133" s="55" t="s">
        <v>339</v>
      </c>
      <c r="C133" s="55" t="s">
        <v>2141</v>
      </c>
      <c r="D133" s="69" t="s">
        <v>4058</v>
      </c>
      <c r="E133" s="38" t="s">
        <v>3906</v>
      </c>
    </row>
    <row r="134" spans="1:5" ht="15.75">
      <c r="A134" s="41" t="s">
        <v>4053</v>
      </c>
      <c r="B134" s="42" t="s">
        <v>339</v>
      </c>
      <c r="C134" s="42" t="s">
        <v>2141</v>
      </c>
      <c r="D134" s="61" t="s">
        <v>4059</v>
      </c>
      <c r="E134" s="38" t="s">
        <v>3906</v>
      </c>
    </row>
    <row r="135" spans="1:5" ht="15.75">
      <c r="A135" s="41" t="s">
        <v>4053</v>
      </c>
      <c r="B135" s="42" t="s">
        <v>339</v>
      </c>
      <c r="C135" s="42" t="s">
        <v>2141</v>
      </c>
      <c r="D135" s="61" t="s">
        <v>3699</v>
      </c>
      <c r="E135" s="38" t="s">
        <v>3906</v>
      </c>
    </row>
    <row r="136" spans="1:5" ht="15.75">
      <c r="A136" s="39" t="s">
        <v>4053</v>
      </c>
      <c r="B136" s="40" t="s">
        <v>339</v>
      </c>
      <c r="C136" s="40" t="s">
        <v>2141</v>
      </c>
      <c r="D136" s="57" t="s">
        <v>3700</v>
      </c>
      <c r="E136" s="38" t="s">
        <v>3906</v>
      </c>
    </row>
    <row r="137" spans="1:5" ht="15.75">
      <c r="A137" s="34" t="s">
        <v>4053</v>
      </c>
      <c r="B137" s="34" t="s">
        <v>339</v>
      </c>
      <c r="C137" s="34" t="s">
        <v>2141</v>
      </c>
      <c r="D137" s="59" t="s">
        <v>3701</v>
      </c>
      <c r="E137" s="35" t="s">
        <v>3906</v>
      </c>
    </row>
    <row r="138" spans="1:5" ht="15.75">
      <c r="A138" s="54" t="s">
        <v>4053</v>
      </c>
      <c r="B138" s="55" t="s">
        <v>4060</v>
      </c>
      <c r="C138" s="55" t="s">
        <v>2141</v>
      </c>
      <c r="D138" s="69" t="s">
        <v>4061</v>
      </c>
      <c r="E138" s="38" t="s">
        <v>3906</v>
      </c>
    </row>
    <row r="139" spans="1:5" ht="15.75">
      <c r="A139" s="53" t="s">
        <v>4053</v>
      </c>
      <c r="B139" s="53" t="s">
        <v>4060</v>
      </c>
      <c r="C139" s="53" t="s">
        <v>2141</v>
      </c>
      <c r="D139" s="68" t="s">
        <v>4062</v>
      </c>
      <c r="E139" s="35" t="s">
        <v>3906</v>
      </c>
    </row>
    <row r="140" spans="1:5" ht="15.75">
      <c r="A140" s="52" t="s">
        <v>4053</v>
      </c>
      <c r="B140" s="52" t="s">
        <v>4060</v>
      </c>
      <c r="C140" s="52" t="s">
        <v>2141</v>
      </c>
      <c r="D140" s="67" t="s">
        <v>4063</v>
      </c>
      <c r="E140" s="35" t="s">
        <v>3906</v>
      </c>
    </row>
    <row r="141" spans="1:5" ht="15.75">
      <c r="A141" s="50" t="s">
        <v>4053</v>
      </c>
      <c r="B141" s="51" t="s">
        <v>4060</v>
      </c>
      <c r="C141" s="51" t="s">
        <v>2141</v>
      </c>
      <c r="D141" s="66" t="s">
        <v>4064</v>
      </c>
      <c r="E141" s="38" t="s">
        <v>3906</v>
      </c>
    </row>
    <row r="142" spans="1:5" ht="15.75">
      <c r="A142" s="39" t="s">
        <v>4053</v>
      </c>
      <c r="B142" s="40" t="s">
        <v>4060</v>
      </c>
      <c r="C142" s="40" t="s">
        <v>2141</v>
      </c>
      <c r="D142" s="57" t="s">
        <v>4065</v>
      </c>
      <c r="E142" s="38" t="s">
        <v>3906</v>
      </c>
    </row>
    <row r="143" spans="1:5" ht="15.75">
      <c r="A143" s="43" t="s">
        <v>4053</v>
      </c>
      <c r="B143" s="44" t="s">
        <v>4060</v>
      </c>
      <c r="C143" s="44" t="s">
        <v>2141</v>
      </c>
      <c r="D143" s="62" t="s">
        <v>4066</v>
      </c>
      <c r="E143" s="38" t="s">
        <v>3906</v>
      </c>
    </row>
    <row r="144" spans="1:5" ht="15.75">
      <c r="A144" s="39" t="s">
        <v>4067</v>
      </c>
      <c r="B144" s="40" t="s">
        <v>4068</v>
      </c>
      <c r="C144" s="40" t="s">
        <v>1907</v>
      </c>
      <c r="D144" s="57" t="s">
        <v>3546</v>
      </c>
      <c r="E144" s="38" t="s">
        <v>3906</v>
      </c>
    </row>
    <row r="145" spans="1:5" ht="15.75">
      <c r="A145" s="39" t="s">
        <v>4067</v>
      </c>
      <c r="B145" s="40" t="s">
        <v>995</v>
      </c>
      <c r="C145" s="40" t="s">
        <v>996</v>
      </c>
      <c r="D145" s="57" t="s">
        <v>4069</v>
      </c>
      <c r="E145" s="38" t="s">
        <v>3906</v>
      </c>
    </row>
    <row r="146" spans="1:5" ht="15.75">
      <c r="A146" s="41" t="s">
        <v>4067</v>
      </c>
      <c r="B146" s="42" t="s">
        <v>995</v>
      </c>
      <c r="C146" s="42" t="s">
        <v>996</v>
      </c>
      <c r="D146" s="61" t="s">
        <v>4070</v>
      </c>
      <c r="E146" s="38" t="s">
        <v>3906</v>
      </c>
    </row>
    <row r="147" spans="1:5" ht="15.75">
      <c r="A147" s="39" t="s">
        <v>4067</v>
      </c>
      <c r="B147" s="40" t="s">
        <v>4071</v>
      </c>
      <c r="C147" s="40" t="s">
        <v>957</v>
      </c>
      <c r="D147" s="57" t="s">
        <v>4072</v>
      </c>
      <c r="E147" s="38" t="s">
        <v>3906</v>
      </c>
    </row>
    <row r="148" spans="1:5" ht="15.75">
      <c r="A148" s="41" t="s">
        <v>4067</v>
      </c>
      <c r="B148" s="42" t="s">
        <v>4071</v>
      </c>
      <c r="C148" s="42" t="s">
        <v>957</v>
      </c>
      <c r="D148" s="61" t="s">
        <v>4073</v>
      </c>
      <c r="E148" s="38" t="s">
        <v>3906</v>
      </c>
    </row>
    <row r="149" spans="1:5" ht="15.75">
      <c r="A149" s="39" t="s">
        <v>4067</v>
      </c>
      <c r="B149" s="40" t="s">
        <v>4068</v>
      </c>
      <c r="C149" s="40" t="s">
        <v>1907</v>
      </c>
      <c r="D149" s="57" t="s">
        <v>4074</v>
      </c>
      <c r="E149" s="38" t="s">
        <v>3906</v>
      </c>
    </row>
    <row r="150" spans="1:5" ht="15.75">
      <c r="A150" s="41" t="s">
        <v>4067</v>
      </c>
      <c r="B150" s="42" t="s">
        <v>4068</v>
      </c>
      <c r="C150" s="42" t="s">
        <v>1907</v>
      </c>
      <c r="D150" s="61" t="s">
        <v>4075</v>
      </c>
      <c r="E150" s="38" t="s">
        <v>3906</v>
      </c>
    </row>
    <row r="151" spans="1:5" ht="15.75">
      <c r="A151" s="39" t="s">
        <v>4067</v>
      </c>
      <c r="B151" s="40" t="s">
        <v>995</v>
      </c>
      <c r="C151" s="40" t="s">
        <v>996</v>
      </c>
      <c r="D151" s="57" t="s">
        <v>4076</v>
      </c>
      <c r="E151" s="38" t="s">
        <v>3906</v>
      </c>
    </row>
    <row r="152" spans="1:5" ht="15.75">
      <c r="A152" s="43" t="s">
        <v>4067</v>
      </c>
      <c r="B152" s="44" t="s">
        <v>995</v>
      </c>
      <c r="C152" s="44" t="s">
        <v>996</v>
      </c>
      <c r="D152" s="62" t="s">
        <v>4077</v>
      </c>
      <c r="E152" s="38" t="s">
        <v>3906</v>
      </c>
    </row>
    <row r="153" spans="1:5" ht="15.75">
      <c r="A153" s="39" t="s">
        <v>4067</v>
      </c>
      <c r="B153" s="40" t="s">
        <v>4078</v>
      </c>
      <c r="C153" s="40" t="s">
        <v>957</v>
      </c>
      <c r="D153" s="57" t="s">
        <v>4079</v>
      </c>
      <c r="E153" s="38" t="s">
        <v>3906</v>
      </c>
    </row>
    <row r="154" spans="1:5" ht="15.75">
      <c r="A154" s="43" t="s">
        <v>4067</v>
      </c>
      <c r="B154" s="44" t="s">
        <v>4078</v>
      </c>
      <c r="C154" s="44" t="s">
        <v>957</v>
      </c>
      <c r="D154" s="62" t="s">
        <v>4080</v>
      </c>
      <c r="E154" s="38" t="s">
        <v>3906</v>
      </c>
    </row>
    <row r="155" spans="1:5" ht="15.75">
      <c r="A155" s="39" t="s">
        <v>4067</v>
      </c>
      <c r="B155" s="40" t="s">
        <v>4081</v>
      </c>
      <c r="C155" s="40" t="s">
        <v>1907</v>
      </c>
      <c r="D155" s="57" t="s">
        <v>4082</v>
      </c>
      <c r="E155" s="38" t="s">
        <v>3906</v>
      </c>
    </row>
    <row r="156" spans="1:5" ht="15.75">
      <c r="A156" s="43" t="s">
        <v>4067</v>
      </c>
      <c r="B156" s="44" t="s">
        <v>4081</v>
      </c>
      <c r="C156" s="44" t="s">
        <v>1907</v>
      </c>
      <c r="D156" s="62" t="s">
        <v>4083</v>
      </c>
      <c r="E156" s="38" t="s">
        <v>3906</v>
      </c>
    </row>
    <row r="157" spans="1:5" ht="15.75">
      <c r="A157" s="39" t="s">
        <v>4067</v>
      </c>
      <c r="B157" s="40" t="s">
        <v>4081</v>
      </c>
      <c r="C157" s="40" t="s">
        <v>1907</v>
      </c>
      <c r="D157" s="57" t="s">
        <v>4084</v>
      </c>
      <c r="E157" s="38" t="s">
        <v>3906</v>
      </c>
    </row>
    <row r="158" spans="1:5" ht="15.75">
      <c r="A158" s="41" t="s">
        <v>4085</v>
      </c>
      <c r="B158" s="42" t="s">
        <v>79</v>
      </c>
      <c r="C158" s="42" t="s">
        <v>81</v>
      </c>
      <c r="D158" s="61" t="s">
        <v>2487</v>
      </c>
      <c r="E158" s="38" t="s">
        <v>3906</v>
      </c>
    </row>
    <row r="159" spans="1:5" ht="15.75">
      <c r="A159" s="39" t="s">
        <v>4086</v>
      </c>
      <c r="B159" s="40" t="s">
        <v>79</v>
      </c>
      <c r="C159" s="40" t="s">
        <v>81</v>
      </c>
      <c r="D159" s="57" t="s">
        <v>4087</v>
      </c>
      <c r="E159" s="38" t="s">
        <v>3906</v>
      </c>
    </row>
    <row r="160" spans="1:5" ht="15.75">
      <c r="A160" s="41" t="s">
        <v>4086</v>
      </c>
      <c r="B160" s="42" t="s">
        <v>4088</v>
      </c>
      <c r="C160" s="42" t="s">
        <v>1746</v>
      </c>
      <c r="D160" s="61" t="s">
        <v>4089</v>
      </c>
      <c r="E160" s="38" t="s">
        <v>3906</v>
      </c>
    </row>
    <row r="161" spans="1:5" ht="15.75">
      <c r="A161" s="39" t="s">
        <v>4086</v>
      </c>
      <c r="B161" s="40" t="s">
        <v>4088</v>
      </c>
      <c r="C161" s="40" t="s">
        <v>1746</v>
      </c>
      <c r="D161" s="57" t="s">
        <v>4090</v>
      </c>
      <c r="E161" s="38" t="s">
        <v>3906</v>
      </c>
    </row>
    <row r="162" spans="1:5" ht="15.75">
      <c r="A162" s="41" t="s">
        <v>4086</v>
      </c>
      <c r="B162" s="42" t="s">
        <v>4088</v>
      </c>
      <c r="C162" s="42" t="s">
        <v>1746</v>
      </c>
      <c r="D162" s="61" t="s">
        <v>4091</v>
      </c>
      <c r="E162" s="38" t="s">
        <v>3906</v>
      </c>
    </row>
    <row r="163" spans="1:5" ht="15.75">
      <c r="A163" s="43" t="s">
        <v>4086</v>
      </c>
      <c r="B163" s="44" t="s">
        <v>80</v>
      </c>
      <c r="C163" s="44" t="s">
        <v>81</v>
      </c>
      <c r="D163" s="62" t="s">
        <v>4092</v>
      </c>
      <c r="E163" s="38" t="s">
        <v>3906</v>
      </c>
    </row>
    <row r="164" spans="1:5" ht="15.75">
      <c r="A164" s="47" t="s">
        <v>4086</v>
      </c>
      <c r="B164" s="48" t="s">
        <v>4088</v>
      </c>
      <c r="C164" s="48" t="s">
        <v>1746</v>
      </c>
      <c r="D164" s="64" t="s">
        <v>4093</v>
      </c>
      <c r="E164" s="35" t="s">
        <v>3906</v>
      </c>
    </row>
    <row r="165" spans="1:5" ht="15.75">
      <c r="A165" s="45" t="s">
        <v>4086</v>
      </c>
      <c r="B165" s="46" t="s">
        <v>4088</v>
      </c>
      <c r="C165" s="46" t="s">
        <v>1746</v>
      </c>
      <c r="D165" s="63" t="s">
        <v>4094</v>
      </c>
      <c r="E165" s="35" t="s">
        <v>3906</v>
      </c>
    </row>
    <row r="166" spans="1:5" ht="15.75">
      <c r="A166" s="47" t="s">
        <v>4086</v>
      </c>
      <c r="B166" s="48" t="s">
        <v>4088</v>
      </c>
      <c r="C166" s="48" t="s">
        <v>1746</v>
      </c>
      <c r="D166" s="64" t="s">
        <v>4095</v>
      </c>
      <c r="E166" s="35" t="s">
        <v>3906</v>
      </c>
    </row>
    <row r="167" spans="1:5" ht="15.75">
      <c r="A167" s="47" t="s">
        <v>4096</v>
      </c>
      <c r="B167" s="48" t="s">
        <v>1002</v>
      </c>
      <c r="C167" s="48" t="s">
        <v>1004</v>
      </c>
      <c r="D167" s="64" t="s">
        <v>4097</v>
      </c>
      <c r="E167" s="35" t="s">
        <v>3906</v>
      </c>
    </row>
    <row r="168" spans="1:5" ht="15.75">
      <c r="A168" s="56" t="s">
        <v>4096</v>
      </c>
      <c r="B168" s="49" t="s">
        <v>1002</v>
      </c>
      <c r="C168" s="49" t="s">
        <v>1004</v>
      </c>
      <c r="D168" s="65" t="s">
        <v>4098</v>
      </c>
      <c r="E168" s="35" t="s">
        <v>3906</v>
      </c>
    </row>
    <row r="169" spans="1:5" ht="15.75">
      <c r="A169" s="47" t="s">
        <v>4096</v>
      </c>
      <c r="B169" s="48" t="s">
        <v>4099</v>
      </c>
      <c r="C169" s="48" t="s">
        <v>1776</v>
      </c>
      <c r="D169" s="64" t="s">
        <v>4100</v>
      </c>
      <c r="E169" s="35" t="s">
        <v>3906</v>
      </c>
    </row>
    <row r="170" spans="1:5" ht="15.75">
      <c r="A170" s="56" t="s">
        <v>4096</v>
      </c>
      <c r="B170" s="49" t="s">
        <v>4099</v>
      </c>
      <c r="C170" s="49" t="s">
        <v>1776</v>
      </c>
      <c r="D170" s="65" t="s">
        <v>4101</v>
      </c>
      <c r="E170" s="35" t="s">
        <v>3906</v>
      </c>
    </row>
    <row r="171" spans="1:5" ht="15.75">
      <c r="A171" s="47" t="s">
        <v>4096</v>
      </c>
      <c r="B171" s="48" t="s">
        <v>4102</v>
      </c>
      <c r="C171" s="48" t="s">
        <v>1892</v>
      </c>
      <c r="D171" s="64" t="s">
        <v>4103</v>
      </c>
      <c r="E171" s="35" t="s">
        <v>3906</v>
      </c>
    </row>
    <row r="172" spans="1:5" ht="15.75">
      <c r="A172" s="56" t="s">
        <v>4096</v>
      </c>
      <c r="B172" s="49" t="s">
        <v>4102</v>
      </c>
      <c r="C172" s="49" t="s">
        <v>1892</v>
      </c>
      <c r="D172" s="65" t="s">
        <v>4104</v>
      </c>
      <c r="E172" s="35" t="s">
        <v>3906</v>
      </c>
    </row>
    <row r="173" spans="1:5" ht="15.75">
      <c r="A173" s="47" t="s">
        <v>4096</v>
      </c>
      <c r="B173" s="48" t="s">
        <v>4105</v>
      </c>
      <c r="C173" s="48" t="s">
        <v>1944</v>
      </c>
      <c r="D173" s="64" t="s">
        <v>4106</v>
      </c>
      <c r="E173" s="35" t="s">
        <v>3906</v>
      </c>
    </row>
    <row r="174" spans="1:5" ht="15.75">
      <c r="A174" s="56" t="s">
        <v>4096</v>
      </c>
      <c r="B174" s="49" t="s">
        <v>4105</v>
      </c>
      <c r="C174" s="49" t="s">
        <v>1944</v>
      </c>
      <c r="D174" s="65" t="s">
        <v>4107</v>
      </c>
      <c r="E174" s="35" t="s">
        <v>3906</v>
      </c>
    </row>
    <row r="175" spans="1:5" ht="15.75">
      <c r="A175" s="47" t="s">
        <v>4096</v>
      </c>
      <c r="B175" s="48" t="s">
        <v>4105</v>
      </c>
      <c r="C175" s="48" t="s">
        <v>1944</v>
      </c>
      <c r="D175" s="64" t="s">
        <v>4108</v>
      </c>
      <c r="E175" s="35" t="s">
        <v>3906</v>
      </c>
    </row>
    <row r="176" spans="1:5" ht="15.75">
      <c r="A176" s="56" t="s">
        <v>4096</v>
      </c>
      <c r="B176" s="49" t="s">
        <v>4105</v>
      </c>
      <c r="C176" s="49" t="s">
        <v>1944</v>
      </c>
      <c r="D176" s="65" t="s">
        <v>4109</v>
      </c>
      <c r="E176" s="35" t="s">
        <v>3906</v>
      </c>
    </row>
    <row r="177" spans="1:5" ht="15.75">
      <c r="A177" s="45" t="s">
        <v>4096</v>
      </c>
      <c r="B177" s="46" t="s">
        <v>1003</v>
      </c>
      <c r="C177" s="46" t="s">
        <v>1004</v>
      </c>
      <c r="D177" s="63" t="s">
        <v>4110</v>
      </c>
      <c r="E177" s="35" t="s">
        <v>3906</v>
      </c>
    </row>
    <row r="178" spans="1:5" ht="15.75">
      <c r="A178" s="47" t="s">
        <v>4096</v>
      </c>
      <c r="B178" s="48" t="s">
        <v>4111</v>
      </c>
      <c r="C178" s="48" t="s">
        <v>1776</v>
      </c>
      <c r="D178" s="64" t="s">
        <v>4112</v>
      </c>
      <c r="E178" s="35" t="s">
        <v>3906</v>
      </c>
    </row>
    <row r="179" spans="1:5" ht="15.75">
      <c r="A179" s="45" t="s">
        <v>4096</v>
      </c>
      <c r="B179" s="46" t="s">
        <v>4113</v>
      </c>
      <c r="C179" s="46" t="s">
        <v>1892</v>
      </c>
      <c r="D179" s="63" t="s">
        <v>4114</v>
      </c>
      <c r="E179" s="35" t="s">
        <v>3906</v>
      </c>
    </row>
    <row r="180" spans="1:5" ht="15.75">
      <c r="A180" s="47" t="s">
        <v>4096</v>
      </c>
      <c r="B180" s="48" t="s">
        <v>4115</v>
      </c>
      <c r="C180" s="48" t="s">
        <v>1944</v>
      </c>
      <c r="D180" s="64" t="s">
        <v>4116</v>
      </c>
      <c r="E180" s="35" t="s">
        <v>3906</v>
      </c>
    </row>
    <row r="181" spans="1:5" ht="15.75">
      <c r="A181" s="45" t="s">
        <v>4096</v>
      </c>
      <c r="B181" s="46" t="s">
        <v>4115</v>
      </c>
      <c r="C181" s="46" t="s">
        <v>1944</v>
      </c>
      <c r="D181" s="63" t="s">
        <v>4117</v>
      </c>
      <c r="E181" s="35" t="s">
        <v>3906</v>
      </c>
    </row>
    <row r="182" spans="1:5" ht="15.75">
      <c r="A182" s="47" t="s">
        <v>4118</v>
      </c>
      <c r="B182" s="48" t="s">
        <v>4119</v>
      </c>
      <c r="C182" s="48" t="s">
        <v>2168</v>
      </c>
      <c r="D182" s="64" t="s">
        <v>4120</v>
      </c>
      <c r="E182" s="35" t="s">
        <v>3906</v>
      </c>
    </row>
    <row r="183" spans="1:5" ht="15.75">
      <c r="A183" s="47" t="s">
        <v>4118</v>
      </c>
      <c r="B183" s="48" t="s">
        <v>4119</v>
      </c>
      <c r="C183" s="48" t="s">
        <v>2168</v>
      </c>
      <c r="D183" s="64" t="s">
        <v>3715</v>
      </c>
      <c r="E183" s="35" t="s">
        <v>3906</v>
      </c>
    </row>
    <row r="184" spans="1:5" ht="15.75">
      <c r="A184" s="45" t="s">
        <v>4118</v>
      </c>
      <c r="B184" s="46" t="s">
        <v>4121</v>
      </c>
      <c r="C184" s="46" t="s">
        <v>2168</v>
      </c>
      <c r="D184" s="63" t="s">
        <v>4122</v>
      </c>
      <c r="E184" s="35" t="s">
        <v>3906</v>
      </c>
    </row>
    <row r="185" spans="1:5" ht="15.75">
      <c r="A185" s="47" t="s">
        <v>4123</v>
      </c>
      <c r="B185" s="48" t="s">
        <v>1087</v>
      </c>
      <c r="C185" s="48" t="s">
        <v>1088</v>
      </c>
      <c r="D185" s="64" t="s">
        <v>4124</v>
      </c>
      <c r="E185" s="35" t="s">
        <v>3906</v>
      </c>
    </row>
    <row r="186" spans="1:5" ht="15.75">
      <c r="A186" s="56" t="s">
        <v>4123</v>
      </c>
      <c r="B186" s="49" t="s">
        <v>2174</v>
      </c>
      <c r="C186" s="49" t="s">
        <v>2176</v>
      </c>
      <c r="D186" s="65" t="s">
        <v>4125</v>
      </c>
      <c r="E186" s="35" t="s">
        <v>4126</v>
      </c>
    </row>
    <row r="187" spans="1:5" ht="15.75">
      <c r="A187" s="47" t="s">
        <v>4123</v>
      </c>
      <c r="B187" s="48" t="s">
        <v>2174</v>
      </c>
      <c r="C187" s="48" t="s">
        <v>2176</v>
      </c>
      <c r="D187" s="64" t="s">
        <v>4127</v>
      </c>
      <c r="E187" s="35" t="s">
        <v>4126</v>
      </c>
    </row>
    <row r="188" spans="1:5" ht="15.75">
      <c r="A188" s="47" t="s">
        <v>4123</v>
      </c>
      <c r="B188" s="48" t="s">
        <v>1086</v>
      </c>
      <c r="C188" s="48" t="s">
        <v>1088</v>
      </c>
      <c r="D188" s="64" t="s">
        <v>3028</v>
      </c>
      <c r="E188" s="35" t="s">
        <v>4126</v>
      </c>
    </row>
    <row r="189" spans="1:5" ht="15.75">
      <c r="A189" s="56" t="s">
        <v>4123</v>
      </c>
      <c r="B189" s="49" t="s">
        <v>2174</v>
      </c>
      <c r="C189" s="49" t="s">
        <v>2176</v>
      </c>
      <c r="D189" s="65" t="s">
        <v>3720</v>
      </c>
      <c r="E189" s="35" t="s">
        <v>4126</v>
      </c>
    </row>
    <row r="190" spans="1:5" ht="15.75">
      <c r="A190" s="47" t="s">
        <v>4123</v>
      </c>
      <c r="B190" s="48" t="s">
        <v>2174</v>
      </c>
      <c r="C190" s="48" t="s">
        <v>2176</v>
      </c>
      <c r="D190" s="64" t="s">
        <v>3721</v>
      </c>
      <c r="E190" s="35" t="s">
        <v>4126</v>
      </c>
    </row>
    <row r="191" spans="1:5" ht="15.75">
      <c r="A191" s="56" t="s">
        <v>4128</v>
      </c>
      <c r="B191" s="49" t="s">
        <v>2174</v>
      </c>
      <c r="C191" s="49" t="s">
        <v>2176</v>
      </c>
      <c r="D191" s="65" t="s">
        <v>4129</v>
      </c>
      <c r="E191" s="35" t="s">
        <v>4126</v>
      </c>
    </row>
    <row r="192" spans="1:5" ht="15.75">
      <c r="A192" s="56" t="s">
        <v>4128</v>
      </c>
      <c r="B192" s="49" t="s">
        <v>2174</v>
      </c>
      <c r="C192" s="49" t="s">
        <v>2176</v>
      </c>
      <c r="D192" s="65" t="s">
        <v>3722</v>
      </c>
      <c r="E192" s="35" t="s">
        <v>4126</v>
      </c>
    </row>
    <row r="193" spans="1:5" ht="15.75">
      <c r="A193" s="47" t="s">
        <v>4128</v>
      </c>
      <c r="B193" s="48" t="s">
        <v>2175</v>
      </c>
      <c r="C193" s="48" t="s">
        <v>2176</v>
      </c>
      <c r="D193" s="64" t="s">
        <v>4130</v>
      </c>
      <c r="E193" s="35" t="s">
        <v>4126</v>
      </c>
    </row>
    <row r="194" spans="1:5" ht="15.75">
      <c r="A194" s="47" t="s">
        <v>4131</v>
      </c>
      <c r="B194" s="48" t="s">
        <v>1888</v>
      </c>
      <c r="C194" s="48" t="s">
        <v>1887</v>
      </c>
      <c r="D194" s="64" t="s">
        <v>4132</v>
      </c>
      <c r="E194" s="35" t="s">
        <v>4126</v>
      </c>
    </row>
    <row r="195" spans="1:5" ht="15.75">
      <c r="A195" s="50" t="s">
        <v>4131</v>
      </c>
      <c r="B195" s="51" t="s">
        <v>1888</v>
      </c>
      <c r="C195" s="51" t="s">
        <v>1887</v>
      </c>
      <c r="D195" s="66" t="s">
        <v>4133</v>
      </c>
      <c r="E195" s="38" t="s">
        <v>4126</v>
      </c>
    </row>
    <row r="196" spans="1:5" ht="15.75">
      <c r="A196" s="39" t="s">
        <v>4131</v>
      </c>
      <c r="B196" s="40" t="s">
        <v>1888</v>
      </c>
      <c r="C196" s="40" t="s">
        <v>1887</v>
      </c>
      <c r="D196" s="57" t="s">
        <v>4134</v>
      </c>
      <c r="E196" s="38" t="s">
        <v>4126</v>
      </c>
    </row>
    <row r="197" spans="1:5" ht="15.75">
      <c r="A197" s="43" t="s">
        <v>4131</v>
      </c>
      <c r="B197" s="44" t="s">
        <v>1888</v>
      </c>
      <c r="C197" s="44" t="s">
        <v>1887</v>
      </c>
      <c r="D197" s="62" t="s">
        <v>4135</v>
      </c>
      <c r="E197" s="38" t="s">
        <v>4126</v>
      </c>
    </row>
    <row r="198" spans="1:5" ht="15.75">
      <c r="A198" s="41" t="s">
        <v>4136</v>
      </c>
      <c r="B198" s="42" t="s">
        <v>4137</v>
      </c>
      <c r="C198" s="42" t="s">
        <v>1004</v>
      </c>
      <c r="D198" s="61" t="s">
        <v>2977</v>
      </c>
      <c r="E198" s="38" t="s">
        <v>4126</v>
      </c>
    </row>
    <row r="199" spans="1:5" ht="15.75">
      <c r="A199" s="39" t="s">
        <v>4136</v>
      </c>
      <c r="B199" s="40" t="s">
        <v>4138</v>
      </c>
      <c r="C199" s="40" t="s">
        <v>1776</v>
      </c>
      <c r="D199" s="57" t="s">
        <v>3452</v>
      </c>
      <c r="E199" s="38" t="s">
        <v>4126</v>
      </c>
    </row>
    <row r="200" spans="1:5" ht="15.75">
      <c r="A200" s="41" t="s">
        <v>4136</v>
      </c>
      <c r="B200" s="42" t="s">
        <v>4102</v>
      </c>
      <c r="C200" s="42" t="s">
        <v>1892</v>
      </c>
      <c r="D200" s="61" t="s">
        <v>3535</v>
      </c>
      <c r="E200" s="38" t="s">
        <v>4126</v>
      </c>
    </row>
    <row r="201" spans="1:5" ht="15.75">
      <c r="A201" s="39" t="s">
        <v>4136</v>
      </c>
      <c r="B201" s="40" t="s">
        <v>4105</v>
      </c>
      <c r="C201" s="40" t="s">
        <v>1944</v>
      </c>
      <c r="D201" s="57" t="s">
        <v>3571</v>
      </c>
      <c r="E201" s="38" t="s">
        <v>4126</v>
      </c>
    </row>
    <row r="202" spans="1:5" ht="15.75">
      <c r="A202" s="41" t="s">
        <v>4136</v>
      </c>
      <c r="B202" s="42" t="s">
        <v>4105</v>
      </c>
      <c r="C202" s="42" t="s">
        <v>1944</v>
      </c>
      <c r="D202" s="61" t="s">
        <v>3572</v>
      </c>
      <c r="E202" s="38" t="s">
        <v>4126</v>
      </c>
    </row>
    <row r="203" spans="1:5" ht="15.75">
      <c r="A203" s="41" t="s">
        <v>4139</v>
      </c>
      <c r="B203" s="42" t="s">
        <v>4140</v>
      </c>
      <c r="C203" s="42" t="s">
        <v>1780</v>
      </c>
      <c r="D203" s="61" t="s">
        <v>4141</v>
      </c>
      <c r="E203" s="38" t="s">
        <v>4126</v>
      </c>
    </row>
    <row r="204" spans="1:5" ht="15.75">
      <c r="A204" s="39" t="s">
        <v>4139</v>
      </c>
      <c r="B204" s="40" t="s">
        <v>4140</v>
      </c>
      <c r="C204" s="40" t="s">
        <v>1780</v>
      </c>
      <c r="D204" s="57" t="s">
        <v>3454</v>
      </c>
      <c r="E204" s="38" t="s">
        <v>4126</v>
      </c>
    </row>
    <row r="205" spans="1:5" ht="15.75">
      <c r="A205" s="39" t="s">
        <v>4139</v>
      </c>
      <c r="B205" s="40" t="s">
        <v>4142</v>
      </c>
      <c r="C205" s="40" t="s">
        <v>1780</v>
      </c>
      <c r="D205" s="57" t="s">
        <v>4143</v>
      </c>
      <c r="E205" s="38" t="s">
        <v>4126</v>
      </c>
    </row>
    <row r="206" spans="1:5" ht="15.75">
      <c r="A206" s="39" t="s">
        <v>4144</v>
      </c>
      <c r="B206" s="40" t="s">
        <v>1901</v>
      </c>
      <c r="C206" s="40" t="s">
        <v>1903</v>
      </c>
      <c r="D206" s="57" t="s">
        <v>4145</v>
      </c>
      <c r="E206" s="38" t="s">
        <v>4126</v>
      </c>
    </row>
    <row r="207" spans="1:5" ht="15.75">
      <c r="A207" s="41" t="s">
        <v>4144</v>
      </c>
      <c r="B207" s="42" t="s">
        <v>1901</v>
      </c>
      <c r="C207" s="42" t="s">
        <v>1903</v>
      </c>
      <c r="D207" s="61" t="s">
        <v>4146</v>
      </c>
      <c r="E207" s="38" t="s">
        <v>4126</v>
      </c>
    </row>
    <row r="208" spans="1:5" ht="15.75">
      <c r="A208" s="41" t="s">
        <v>4144</v>
      </c>
      <c r="B208" s="42" t="s">
        <v>4147</v>
      </c>
      <c r="C208" s="42" t="s">
        <v>146</v>
      </c>
      <c r="D208" s="61" t="s">
        <v>2514</v>
      </c>
      <c r="E208" s="38" t="s">
        <v>4126</v>
      </c>
    </row>
    <row r="209" spans="1:5" ht="15.75">
      <c r="A209" s="39" t="s">
        <v>4144</v>
      </c>
      <c r="B209" s="40" t="s">
        <v>4147</v>
      </c>
      <c r="C209" s="40" t="s">
        <v>146</v>
      </c>
      <c r="D209" s="57" t="s">
        <v>2515</v>
      </c>
      <c r="E209" s="38" t="s">
        <v>4126</v>
      </c>
    </row>
    <row r="210" spans="1:5" ht="15.75">
      <c r="A210" s="41" t="s">
        <v>4144</v>
      </c>
      <c r="B210" s="42" t="s">
        <v>1901</v>
      </c>
      <c r="C210" s="42" t="s">
        <v>1903</v>
      </c>
      <c r="D210" s="61" t="s">
        <v>3542</v>
      </c>
      <c r="E210" s="38" t="s">
        <v>4126</v>
      </c>
    </row>
    <row r="211" spans="1:5" ht="15.75">
      <c r="A211" s="39" t="s">
        <v>4144</v>
      </c>
      <c r="B211" s="40" t="s">
        <v>1901</v>
      </c>
      <c r="C211" s="40" t="s">
        <v>1903</v>
      </c>
      <c r="D211" s="57" t="s">
        <v>3543</v>
      </c>
      <c r="E211" s="38" t="s">
        <v>4126</v>
      </c>
    </row>
    <row r="212" spans="1:5" ht="15.75">
      <c r="A212" s="39" t="s">
        <v>4148</v>
      </c>
      <c r="B212" s="40" t="s">
        <v>3935</v>
      </c>
      <c r="C212" s="40" t="s">
        <v>411</v>
      </c>
      <c r="D212" s="57" t="s">
        <v>4149</v>
      </c>
      <c r="E212" s="38" t="s">
        <v>4126</v>
      </c>
    </row>
    <row r="213" spans="1:5" ht="15.75">
      <c r="A213" s="39" t="s">
        <v>4148</v>
      </c>
      <c r="B213" s="40" t="s">
        <v>3935</v>
      </c>
      <c r="C213" s="40" t="s">
        <v>411</v>
      </c>
      <c r="D213" s="57" t="s">
        <v>4150</v>
      </c>
      <c r="E213" s="38" t="s">
        <v>4126</v>
      </c>
    </row>
    <row r="214" spans="1:5" ht="15.75">
      <c r="A214" s="43" t="s">
        <v>4148</v>
      </c>
      <c r="B214" s="44" t="s">
        <v>3935</v>
      </c>
      <c r="C214" s="44" t="s">
        <v>411</v>
      </c>
      <c r="D214" s="62" t="s">
        <v>4151</v>
      </c>
      <c r="E214" s="38" t="s">
        <v>4126</v>
      </c>
    </row>
    <row r="215" spans="1:5" ht="15.75">
      <c r="A215" s="39" t="s">
        <v>4148</v>
      </c>
      <c r="B215" s="40" t="s">
        <v>3925</v>
      </c>
      <c r="C215" s="40">
        <v>116</v>
      </c>
      <c r="D215" s="57" t="s">
        <v>4152</v>
      </c>
      <c r="E215" s="38" t="s">
        <v>4126</v>
      </c>
    </row>
    <row r="216" spans="1:5" ht="15.75">
      <c r="A216" s="43" t="s">
        <v>4148</v>
      </c>
      <c r="B216" s="44" t="s">
        <v>3925</v>
      </c>
      <c r="C216" s="44">
        <v>116</v>
      </c>
      <c r="D216" s="62" t="s">
        <v>4153</v>
      </c>
      <c r="E216" s="38" t="s">
        <v>4126</v>
      </c>
    </row>
    <row r="217" spans="1:5" ht="15.75">
      <c r="A217" s="43" t="s">
        <v>4154</v>
      </c>
      <c r="B217" s="44" t="s">
        <v>4155</v>
      </c>
      <c r="C217" s="44" t="s">
        <v>189</v>
      </c>
      <c r="D217" s="62" t="s">
        <v>4156</v>
      </c>
      <c r="E217" s="38" t="s">
        <v>4126</v>
      </c>
    </row>
    <row r="218" spans="1:5" ht="15.75">
      <c r="A218" s="39" t="s">
        <v>4154</v>
      </c>
      <c r="B218" s="40" t="s">
        <v>4157</v>
      </c>
      <c r="C218" s="40" t="s">
        <v>1230</v>
      </c>
      <c r="D218" s="57" t="s">
        <v>4158</v>
      </c>
      <c r="E218" s="38" t="s">
        <v>4126</v>
      </c>
    </row>
    <row r="219" spans="1:5" ht="15.75">
      <c r="A219" s="43" t="s">
        <v>4154</v>
      </c>
      <c r="B219" s="44" t="s">
        <v>4159</v>
      </c>
      <c r="C219" s="44" t="s">
        <v>1595</v>
      </c>
      <c r="D219" s="62" t="s">
        <v>4160</v>
      </c>
      <c r="E219" s="38" t="s">
        <v>4126</v>
      </c>
    </row>
    <row r="220" spans="1:5" ht="15.75">
      <c r="A220" s="39" t="s">
        <v>4154</v>
      </c>
      <c r="B220" s="40" t="s">
        <v>4043</v>
      </c>
      <c r="C220" s="40" t="s">
        <v>2039</v>
      </c>
      <c r="D220" s="57" t="s">
        <v>4161</v>
      </c>
      <c r="E220" s="38" t="s">
        <v>4126</v>
      </c>
    </row>
    <row r="221" spans="1:5" ht="15.75">
      <c r="A221" s="43" t="s">
        <v>4154</v>
      </c>
      <c r="B221" s="44" t="s">
        <v>4048</v>
      </c>
      <c r="C221" s="44" t="s">
        <v>2043</v>
      </c>
      <c r="D221" s="62" t="s">
        <v>4162</v>
      </c>
      <c r="E221" s="38" t="s">
        <v>4126</v>
      </c>
    </row>
    <row r="222" spans="1:5" ht="15.75">
      <c r="A222" s="39" t="s">
        <v>4154</v>
      </c>
      <c r="B222" s="40" t="s">
        <v>2367</v>
      </c>
      <c r="C222" s="40" t="s">
        <v>2368</v>
      </c>
      <c r="D222" s="57" t="s">
        <v>4163</v>
      </c>
      <c r="E222" s="38" t="s">
        <v>4126</v>
      </c>
    </row>
    <row r="223" spans="1:5" ht="15.75">
      <c r="A223" s="34" t="s">
        <v>4164</v>
      </c>
      <c r="B223" s="34" t="s">
        <v>4165</v>
      </c>
      <c r="C223" s="34" t="s">
        <v>411</v>
      </c>
      <c r="D223" s="59" t="s">
        <v>2651</v>
      </c>
      <c r="E223" s="35" t="s">
        <v>4126</v>
      </c>
    </row>
    <row r="224" spans="1:5" ht="15.75">
      <c r="A224" s="52" t="s">
        <v>4164</v>
      </c>
      <c r="B224" s="52" t="s">
        <v>3919</v>
      </c>
      <c r="C224" s="52">
        <v>116</v>
      </c>
      <c r="D224" s="67">
        <v>1160282</v>
      </c>
      <c r="E224" s="35" t="s">
        <v>4126</v>
      </c>
    </row>
    <row r="225" spans="1:5" ht="15.75">
      <c r="A225" s="36" t="s">
        <v>4164</v>
      </c>
      <c r="B225" s="37" t="s">
        <v>3919</v>
      </c>
      <c r="C225" s="37">
        <v>116</v>
      </c>
      <c r="D225" s="60">
        <v>1160283</v>
      </c>
      <c r="E225" s="38" t="s">
        <v>4126</v>
      </c>
    </row>
    <row r="226" spans="1:5" ht="15.75">
      <c r="A226" s="41" t="s">
        <v>4164</v>
      </c>
      <c r="B226" s="42" t="s">
        <v>675</v>
      </c>
      <c r="C226" s="42" t="s">
        <v>677</v>
      </c>
      <c r="D226" s="61" t="s">
        <v>4166</v>
      </c>
      <c r="E226" s="38" t="s">
        <v>4126</v>
      </c>
    </row>
    <row r="227" spans="1:5" ht="15.75">
      <c r="A227" s="39" t="s">
        <v>4164</v>
      </c>
      <c r="B227" s="40" t="s">
        <v>675</v>
      </c>
      <c r="C227" s="40" t="s">
        <v>677</v>
      </c>
      <c r="D227" s="57" t="s">
        <v>4167</v>
      </c>
      <c r="E227" s="38" t="s">
        <v>4126</v>
      </c>
    </row>
    <row r="228" spans="1:5" ht="15.75">
      <c r="A228" s="41" t="s">
        <v>4164</v>
      </c>
      <c r="B228" s="42" t="s">
        <v>675</v>
      </c>
      <c r="C228" s="42" t="s">
        <v>677</v>
      </c>
      <c r="D228" s="61" t="s">
        <v>4168</v>
      </c>
      <c r="E228" s="38" t="s">
        <v>4126</v>
      </c>
    </row>
    <row r="229" spans="1:5" ht="15.75">
      <c r="A229" s="39" t="s">
        <v>4164</v>
      </c>
      <c r="B229" s="40" t="s">
        <v>675</v>
      </c>
      <c r="C229" s="40" t="s">
        <v>677</v>
      </c>
      <c r="D229" s="57" t="s">
        <v>4169</v>
      </c>
      <c r="E229" s="38" t="s">
        <v>4126</v>
      </c>
    </row>
    <row r="230" spans="1:5" ht="15.75">
      <c r="A230" s="41" t="s">
        <v>4164</v>
      </c>
      <c r="B230" s="42" t="s">
        <v>3935</v>
      </c>
      <c r="C230" s="42" t="s">
        <v>411</v>
      </c>
      <c r="D230" s="61" t="s">
        <v>4170</v>
      </c>
      <c r="E230" s="38" t="s">
        <v>4126</v>
      </c>
    </row>
    <row r="231" spans="1:5" ht="15.75">
      <c r="A231" s="39" t="s">
        <v>4164</v>
      </c>
      <c r="B231" s="40" t="s">
        <v>3935</v>
      </c>
      <c r="C231" s="40" t="s">
        <v>411</v>
      </c>
      <c r="D231" s="57" t="s">
        <v>4171</v>
      </c>
      <c r="E231" s="38" t="s">
        <v>4126</v>
      </c>
    </row>
    <row r="232" spans="1:5" ht="15.75">
      <c r="A232" s="41" t="s">
        <v>4164</v>
      </c>
      <c r="B232" s="42" t="s">
        <v>4172</v>
      </c>
      <c r="C232" s="42" t="s">
        <v>448</v>
      </c>
      <c r="D232" s="61" t="s">
        <v>4173</v>
      </c>
      <c r="E232" s="38" t="s">
        <v>4126</v>
      </c>
    </row>
    <row r="233" spans="1:5" ht="15.75">
      <c r="A233" s="52" t="s">
        <v>4164</v>
      </c>
      <c r="B233" s="52" t="s">
        <v>4172</v>
      </c>
      <c r="C233" s="52" t="s">
        <v>448</v>
      </c>
      <c r="D233" s="67" t="s">
        <v>4174</v>
      </c>
      <c r="E233" s="35" t="s">
        <v>4126</v>
      </c>
    </row>
    <row r="234" spans="1:5" ht="15.75">
      <c r="A234" s="34" t="s">
        <v>4164</v>
      </c>
      <c r="B234" s="34" t="s">
        <v>4175</v>
      </c>
      <c r="C234" s="34" t="s">
        <v>1709</v>
      </c>
      <c r="D234" s="59" t="s">
        <v>4176</v>
      </c>
      <c r="E234" s="35" t="s">
        <v>4126</v>
      </c>
    </row>
    <row r="235" spans="1:5" ht="15.75">
      <c r="A235" s="52" t="s">
        <v>4164</v>
      </c>
      <c r="B235" s="52" t="s">
        <v>3919</v>
      </c>
      <c r="C235" s="52">
        <v>116</v>
      </c>
      <c r="D235" s="67" t="s">
        <v>4177</v>
      </c>
      <c r="E235" s="35" t="s">
        <v>4126</v>
      </c>
    </row>
    <row r="236" spans="1:5" ht="15.75">
      <c r="A236" s="34" t="s">
        <v>4164</v>
      </c>
      <c r="B236" s="34" t="s">
        <v>3919</v>
      </c>
      <c r="C236" s="34">
        <v>116</v>
      </c>
      <c r="D236" s="59" t="s">
        <v>4178</v>
      </c>
      <c r="E236" s="35" t="s">
        <v>4126</v>
      </c>
    </row>
    <row r="237" spans="1:5" ht="15.75">
      <c r="A237" s="52" t="s">
        <v>4164</v>
      </c>
      <c r="B237" s="52" t="s">
        <v>3919</v>
      </c>
      <c r="C237" s="52">
        <v>116</v>
      </c>
      <c r="D237" s="67" t="s">
        <v>4179</v>
      </c>
      <c r="E237" s="35" t="s">
        <v>4126</v>
      </c>
    </row>
    <row r="238" spans="1:5" ht="15.75">
      <c r="A238" s="56" t="s">
        <v>4164</v>
      </c>
      <c r="B238" s="49" t="s">
        <v>3919</v>
      </c>
      <c r="C238" s="49">
        <v>116</v>
      </c>
      <c r="D238" s="65" t="s">
        <v>4180</v>
      </c>
      <c r="E238" s="35" t="s">
        <v>4126</v>
      </c>
    </row>
    <row r="239" spans="1:5" ht="15.75">
      <c r="A239" s="47" t="s">
        <v>4164</v>
      </c>
      <c r="B239" s="48" t="s">
        <v>3919</v>
      </c>
      <c r="C239" s="48">
        <v>116</v>
      </c>
      <c r="D239" s="64" t="s">
        <v>4181</v>
      </c>
      <c r="E239" s="35" t="s">
        <v>4126</v>
      </c>
    </row>
    <row r="240" spans="1:5" ht="15.75">
      <c r="A240" s="56" t="s">
        <v>4164</v>
      </c>
      <c r="B240" s="49" t="s">
        <v>3919</v>
      </c>
      <c r="C240" s="49">
        <v>116</v>
      </c>
      <c r="D240" s="65" t="s">
        <v>4182</v>
      </c>
      <c r="E240" s="35" t="s">
        <v>4126</v>
      </c>
    </row>
    <row r="241" spans="1:5" ht="15.75">
      <c r="A241" s="47" t="s">
        <v>4164</v>
      </c>
      <c r="B241" s="48" t="s">
        <v>1888</v>
      </c>
      <c r="C241" s="48" t="s">
        <v>1887</v>
      </c>
      <c r="D241" s="64" t="s">
        <v>4183</v>
      </c>
      <c r="E241" s="35" t="s">
        <v>4126</v>
      </c>
    </row>
    <row r="242" spans="1:5" ht="15.75">
      <c r="A242" s="56" t="s">
        <v>4164</v>
      </c>
      <c r="B242" s="49" t="s">
        <v>1888</v>
      </c>
      <c r="C242" s="49" t="s">
        <v>1887</v>
      </c>
      <c r="D242" s="65" t="s">
        <v>4184</v>
      </c>
      <c r="E242" s="35" t="s">
        <v>4126</v>
      </c>
    </row>
    <row r="243" spans="1:5" ht="15.75">
      <c r="A243" s="47" t="s">
        <v>4164</v>
      </c>
      <c r="B243" s="48" t="s">
        <v>1888</v>
      </c>
      <c r="C243" s="48" t="s">
        <v>1887</v>
      </c>
      <c r="D243" s="64" t="s">
        <v>4185</v>
      </c>
      <c r="E243" s="35" t="s">
        <v>4126</v>
      </c>
    </row>
    <row r="244" spans="1:5" ht="15.75">
      <c r="A244" s="56" t="s">
        <v>4164</v>
      </c>
      <c r="B244" s="49" t="s">
        <v>1888</v>
      </c>
      <c r="C244" s="49" t="s">
        <v>1887</v>
      </c>
      <c r="D244" s="65" t="s">
        <v>4186</v>
      </c>
      <c r="E244" s="35" t="s">
        <v>4126</v>
      </c>
    </row>
    <row r="245" spans="1:5" ht="15.75">
      <c r="A245" s="47" t="s">
        <v>4164</v>
      </c>
      <c r="B245" s="48" t="s">
        <v>1888</v>
      </c>
      <c r="C245" s="48" t="s">
        <v>1887</v>
      </c>
      <c r="D245" s="64" t="s">
        <v>4187</v>
      </c>
      <c r="E245" s="35" t="s">
        <v>4126</v>
      </c>
    </row>
    <row r="246" spans="1:5" ht="15.75">
      <c r="A246" s="56" t="s">
        <v>4164</v>
      </c>
      <c r="B246" s="49" t="s">
        <v>1888</v>
      </c>
      <c r="C246" s="49" t="s">
        <v>1887</v>
      </c>
      <c r="D246" s="65" t="s">
        <v>4188</v>
      </c>
      <c r="E246" s="35" t="s">
        <v>4126</v>
      </c>
    </row>
    <row r="247" spans="1:5" ht="15.75">
      <c r="A247" s="47" t="s">
        <v>4164</v>
      </c>
      <c r="B247" s="48" t="s">
        <v>2151</v>
      </c>
      <c r="C247" s="48" t="s">
        <v>2153</v>
      </c>
      <c r="D247" s="64" t="s">
        <v>4189</v>
      </c>
      <c r="E247" s="35" t="s">
        <v>4126</v>
      </c>
    </row>
    <row r="248" spans="1:5" ht="15.75">
      <c r="A248" s="56" t="s">
        <v>4164</v>
      </c>
      <c r="B248" s="49" t="s">
        <v>2151</v>
      </c>
      <c r="C248" s="49" t="s">
        <v>2153</v>
      </c>
      <c r="D248" s="65" t="s">
        <v>4190</v>
      </c>
      <c r="E248" s="35" t="s">
        <v>4126</v>
      </c>
    </row>
    <row r="249" spans="1:5" ht="15.75">
      <c r="A249" s="47" t="s">
        <v>4164</v>
      </c>
      <c r="B249" s="48" t="s">
        <v>3925</v>
      </c>
      <c r="C249" s="48">
        <v>116</v>
      </c>
      <c r="D249" s="64" t="s">
        <v>4191</v>
      </c>
      <c r="E249" s="35" t="s">
        <v>4126</v>
      </c>
    </row>
    <row r="250" spans="1:5" ht="15.75">
      <c r="A250" s="47" t="s">
        <v>4164</v>
      </c>
      <c r="B250" s="48" t="s">
        <v>3925</v>
      </c>
      <c r="C250" s="48">
        <v>116</v>
      </c>
      <c r="D250" s="64" t="s">
        <v>4192</v>
      </c>
      <c r="E250" s="35" t="s">
        <v>4126</v>
      </c>
    </row>
    <row r="251" spans="1:5" ht="15.75">
      <c r="A251" s="45" t="s">
        <v>4164</v>
      </c>
      <c r="B251" s="46" t="s">
        <v>3925</v>
      </c>
      <c r="C251" s="46">
        <v>116</v>
      </c>
      <c r="D251" s="63" t="s">
        <v>4193</v>
      </c>
      <c r="E251" s="35" t="s">
        <v>4126</v>
      </c>
    </row>
    <row r="252" spans="1:5" ht="15.75">
      <c r="A252" s="47" t="s">
        <v>4164</v>
      </c>
      <c r="B252" s="48" t="s">
        <v>3925</v>
      </c>
      <c r="C252" s="48">
        <v>116</v>
      </c>
      <c r="D252" s="64" t="s">
        <v>4194</v>
      </c>
      <c r="E252" s="35" t="s">
        <v>4126</v>
      </c>
    </row>
    <row r="253" spans="1:5" ht="15.75">
      <c r="A253" s="45" t="s">
        <v>4164</v>
      </c>
      <c r="B253" s="46" t="s">
        <v>4172</v>
      </c>
      <c r="C253" s="46" t="s">
        <v>448</v>
      </c>
      <c r="D253" s="63" t="s">
        <v>4195</v>
      </c>
      <c r="E253" s="35" t="s">
        <v>4126</v>
      </c>
    </row>
    <row r="254" spans="1:5" ht="15.75">
      <c r="A254" s="47" t="s">
        <v>4164</v>
      </c>
      <c r="B254" s="48" t="s">
        <v>4172</v>
      </c>
      <c r="C254" s="48" t="s">
        <v>448</v>
      </c>
      <c r="D254" s="64" t="s">
        <v>4196</v>
      </c>
      <c r="E254" s="35" t="s">
        <v>4126</v>
      </c>
    </row>
    <row r="255" spans="1:5" ht="15.75">
      <c r="A255" s="45" t="s">
        <v>4164</v>
      </c>
      <c r="B255" s="46" t="s">
        <v>4172</v>
      </c>
      <c r="C255" s="46" t="s">
        <v>448</v>
      </c>
      <c r="D255" s="63" t="s">
        <v>4197</v>
      </c>
      <c r="E255" s="35" t="s">
        <v>4126</v>
      </c>
    </row>
    <row r="256" spans="1:5" ht="15.75">
      <c r="A256" s="47" t="s">
        <v>4164</v>
      </c>
      <c r="B256" s="48" t="s">
        <v>4175</v>
      </c>
      <c r="C256" s="48" t="s">
        <v>1709</v>
      </c>
      <c r="D256" s="64" t="s">
        <v>4198</v>
      </c>
      <c r="E256" s="35" t="s">
        <v>4126</v>
      </c>
    </row>
    <row r="257" spans="1:5" ht="15.75">
      <c r="A257" s="45" t="s">
        <v>4164</v>
      </c>
      <c r="B257" s="46" t="s">
        <v>4175</v>
      </c>
      <c r="C257" s="46" t="s">
        <v>1709</v>
      </c>
      <c r="D257" s="63" t="s">
        <v>4199</v>
      </c>
      <c r="E257" s="35" t="s">
        <v>4126</v>
      </c>
    </row>
    <row r="258" spans="1:5" ht="15.75">
      <c r="A258" s="45" t="s">
        <v>4164</v>
      </c>
      <c r="B258" s="46" t="s">
        <v>1888</v>
      </c>
      <c r="C258" s="46" t="s">
        <v>1887</v>
      </c>
      <c r="D258" s="63" t="s">
        <v>4200</v>
      </c>
      <c r="E258" s="35" t="s">
        <v>4126</v>
      </c>
    </row>
    <row r="259" spans="1:5" ht="15.75">
      <c r="A259" s="47" t="s">
        <v>4164</v>
      </c>
      <c r="B259" s="48" t="s">
        <v>1888</v>
      </c>
      <c r="C259" s="48" t="s">
        <v>1887</v>
      </c>
      <c r="D259" s="64" t="s">
        <v>4201</v>
      </c>
      <c r="E259" s="35" t="s">
        <v>4126</v>
      </c>
    </row>
    <row r="260" spans="1:5" ht="15.75">
      <c r="A260" s="47" t="s">
        <v>4202</v>
      </c>
      <c r="B260" s="48" t="s">
        <v>4203</v>
      </c>
      <c r="C260" s="48" t="s">
        <v>596</v>
      </c>
      <c r="D260" s="64" t="s">
        <v>4204</v>
      </c>
      <c r="E260" s="35" t="s">
        <v>4126</v>
      </c>
    </row>
    <row r="261" spans="1:5" ht="15.75">
      <c r="A261" s="56" t="s">
        <v>4202</v>
      </c>
      <c r="B261" s="49" t="s">
        <v>1738</v>
      </c>
      <c r="C261" s="49" t="s">
        <v>1738</v>
      </c>
      <c r="D261" s="65" t="s">
        <v>4205</v>
      </c>
      <c r="E261" s="35" t="s">
        <v>4126</v>
      </c>
    </row>
    <row r="262" spans="1:5" ht="15.75">
      <c r="A262" s="47" t="s">
        <v>4202</v>
      </c>
      <c r="B262" s="48" t="s">
        <v>1738</v>
      </c>
      <c r="C262" s="48" t="s">
        <v>1738</v>
      </c>
      <c r="D262" s="64" t="s">
        <v>4206</v>
      </c>
      <c r="E262" s="35" t="s">
        <v>4126</v>
      </c>
    </row>
    <row r="263" spans="1:5" ht="15.75">
      <c r="A263" s="56" t="s">
        <v>4202</v>
      </c>
      <c r="B263" s="49" t="s">
        <v>2460</v>
      </c>
      <c r="C263" s="49" t="s">
        <v>2462</v>
      </c>
      <c r="D263" s="65" t="s">
        <v>4207</v>
      </c>
      <c r="E263" s="35" t="s">
        <v>4126</v>
      </c>
    </row>
    <row r="264" spans="1:5" ht="15.75">
      <c r="A264" s="47" t="s">
        <v>4202</v>
      </c>
      <c r="B264" s="48" t="s">
        <v>1738</v>
      </c>
      <c r="C264" s="48" t="s">
        <v>1738</v>
      </c>
      <c r="D264" s="64" t="s">
        <v>3429</v>
      </c>
      <c r="E264" s="35" t="s">
        <v>4126</v>
      </c>
    </row>
    <row r="265" spans="1:5" ht="15.75">
      <c r="A265" s="56" t="s">
        <v>4202</v>
      </c>
      <c r="B265" s="49" t="s">
        <v>2460</v>
      </c>
      <c r="C265" s="49" t="s">
        <v>2462</v>
      </c>
      <c r="D265" s="65" t="s">
        <v>3894</v>
      </c>
      <c r="E265" s="35" t="s">
        <v>4126</v>
      </c>
    </row>
    <row r="266" spans="1:5" ht="15.75">
      <c r="A266" s="47" t="s">
        <v>4202</v>
      </c>
      <c r="B266" s="48" t="s">
        <v>4208</v>
      </c>
      <c r="C266" s="48" t="s">
        <v>596</v>
      </c>
      <c r="D266" s="64" t="s">
        <v>4209</v>
      </c>
      <c r="E266" s="35" t="s">
        <v>4126</v>
      </c>
    </row>
    <row r="267" spans="1:5" ht="15.75">
      <c r="A267" s="45" t="s">
        <v>4202</v>
      </c>
      <c r="B267" s="46" t="s">
        <v>1739</v>
      </c>
      <c r="C267" s="46" t="s">
        <v>1738</v>
      </c>
      <c r="D267" s="63" t="s">
        <v>4210</v>
      </c>
      <c r="E267" s="35" t="s">
        <v>4126</v>
      </c>
    </row>
    <row r="268" spans="1:5" ht="15.75">
      <c r="A268" s="47" t="s">
        <v>4202</v>
      </c>
      <c r="B268" s="48" t="s">
        <v>2461</v>
      </c>
      <c r="C268" s="48" t="s">
        <v>2462</v>
      </c>
      <c r="D268" s="64" t="s">
        <v>4211</v>
      </c>
      <c r="E268" s="35" t="s">
        <v>4126</v>
      </c>
    </row>
    <row r="269" spans="1:5" ht="15.75">
      <c r="A269" s="47" t="s">
        <v>4212</v>
      </c>
      <c r="B269" s="48" t="s">
        <v>783</v>
      </c>
      <c r="C269" s="48" t="s">
        <v>785</v>
      </c>
      <c r="D269" s="64" t="s">
        <v>4213</v>
      </c>
      <c r="E269" s="35" t="s">
        <v>4126</v>
      </c>
    </row>
    <row r="270" spans="1:5" ht="15.75">
      <c r="A270" s="56" t="s">
        <v>4212</v>
      </c>
      <c r="B270" s="49" t="s">
        <v>783</v>
      </c>
      <c r="C270" s="49" t="s">
        <v>785</v>
      </c>
      <c r="D270" s="65" t="s">
        <v>4214</v>
      </c>
      <c r="E270" s="35" t="s">
        <v>4126</v>
      </c>
    </row>
    <row r="271" spans="1:5" ht="15.75">
      <c r="A271" s="47" t="s">
        <v>4212</v>
      </c>
      <c r="B271" s="48" t="s">
        <v>783</v>
      </c>
      <c r="C271" s="48" t="s">
        <v>785</v>
      </c>
      <c r="D271" s="64" t="s">
        <v>2853</v>
      </c>
      <c r="E271" s="35" t="s">
        <v>4126</v>
      </c>
    </row>
    <row r="272" spans="1:5" ht="15.75">
      <c r="A272" s="56" t="s">
        <v>4212</v>
      </c>
      <c r="B272" s="49" t="s">
        <v>783</v>
      </c>
      <c r="C272" s="49" t="s">
        <v>785</v>
      </c>
      <c r="D272" s="65" t="s">
        <v>2854</v>
      </c>
      <c r="E272" s="35" t="s">
        <v>4126</v>
      </c>
    </row>
    <row r="273" spans="1:5" ht="15.75">
      <c r="A273" s="47" t="s">
        <v>4215</v>
      </c>
      <c r="B273" s="48" t="s">
        <v>2423</v>
      </c>
      <c r="C273" s="48" t="s">
        <v>2425</v>
      </c>
      <c r="D273" s="64" t="s">
        <v>4216</v>
      </c>
      <c r="E273" s="35" t="s">
        <v>4126</v>
      </c>
    </row>
    <row r="274" spans="1:5" ht="15.75">
      <c r="A274" s="56" t="s">
        <v>4215</v>
      </c>
      <c r="B274" s="49" t="s">
        <v>2423</v>
      </c>
      <c r="C274" s="49" t="s">
        <v>2425</v>
      </c>
      <c r="D274" s="65" t="s">
        <v>4217</v>
      </c>
      <c r="E274" s="35" t="s">
        <v>4126</v>
      </c>
    </row>
    <row r="275" spans="1:5" ht="15.75">
      <c r="A275" s="47" t="s">
        <v>4215</v>
      </c>
      <c r="B275" s="48" t="s">
        <v>2423</v>
      </c>
      <c r="C275" s="48" t="s">
        <v>2425</v>
      </c>
      <c r="D275" s="64" t="s">
        <v>3868</v>
      </c>
      <c r="E275" s="35" t="s">
        <v>4126</v>
      </c>
    </row>
    <row r="276" spans="1:5" ht="15.75">
      <c r="A276" s="56" t="s">
        <v>4215</v>
      </c>
      <c r="B276" s="49" t="s">
        <v>2423</v>
      </c>
      <c r="C276" s="49" t="s">
        <v>2425</v>
      </c>
      <c r="D276" s="65" t="s">
        <v>3869</v>
      </c>
      <c r="E276" s="35" t="s">
        <v>4126</v>
      </c>
    </row>
    <row r="277" spans="1:5" ht="15.75">
      <c r="A277" s="47" t="s">
        <v>4218</v>
      </c>
      <c r="B277" s="48" t="s">
        <v>584</v>
      </c>
      <c r="C277" s="48" t="s">
        <v>588</v>
      </c>
      <c r="D277" s="64" t="s">
        <v>4219</v>
      </c>
      <c r="E277" s="35" t="s">
        <v>4126</v>
      </c>
    </row>
    <row r="278" spans="1:5" ht="15.75">
      <c r="A278" s="36" t="s">
        <v>4218</v>
      </c>
      <c r="B278" s="37" t="s">
        <v>584</v>
      </c>
      <c r="C278" s="37" t="s">
        <v>588</v>
      </c>
      <c r="D278" s="60" t="s">
        <v>4220</v>
      </c>
      <c r="E278" s="38" t="s">
        <v>4126</v>
      </c>
    </row>
    <row r="279" spans="1:5" ht="15.75">
      <c r="A279" s="39" t="s">
        <v>4218</v>
      </c>
      <c r="B279" s="40" t="s">
        <v>584</v>
      </c>
      <c r="C279" s="40" t="s">
        <v>588</v>
      </c>
      <c r="D279" s="57" t="s">
        <v>4221</v>
      </c>
      <c r="E279" s="38" t="s">
        <v>4126</v>
      </c>
    </row>
    <row r="280" spans="1:5" ht="15.75">
      <c r="A280" s="41" t="s">
        <v>4218</v>
      </c>
      <c r="B280" s="42" t="s">
        <v>584</v>
      </c>
      <c r="C280" s="42" t="s">
        <v>588</v>
      </c>
      <c r="D280" s="61" t="s">
        <v>4222</v>
      </c>
      <c r="E280" s="38" t="s">
        <v>4126</v>
      </c>
    </row>
    <row r="281" spans="1:5" ht="15.75">
      <c r="A281" s="39" t="s">
        <v>4218</v>
      </c>
      <c r="B281" s="40" t="s">
        <v>619</v>
      </c>
      <c r="C281" s="40" t="s">
        <v>621</v>
      </c>
      <c r="D281" s="57" t="s">
        <v>4223</v>
      </c>
      <c r="E281" s="38" t="s">
        <v>4126</v>
      </c>
    </row>
    <row r="282" spans="1:5" ht="15.75">
      <c r="A282" s="41" t="s">
        <v>4218</v>
      </c>
      <c r="B282" s="42" t="s">
        <v>619</v>
      </c>
      <c r="C282" s="42" t="s">
        <v>621</v>
      </c>
      <c r="D282" s="61" t="s">
        <v>4224</v>
      </c>
      <c r="E282" s="38" t="s">
        <v>4126</v>
      </c>
    </row>
    <row r="283" spans="1:5" ht="15.75">
      <c r="A283" s="39" t="s">
        <v>4218</v>
      </c>
      <c r="B283" s="40" t="s">
        <v>586</v>
      </c>
      <c r="C283" s="40" t="s">
        <v>933</v>
      </c>
      <c r="D283" s="57" t="s">
        <v>4225</v>
      </c>
      <c r="E283" s="38" t="s">
        <v>4126</v>
      </c>
    </row>
    <row r="284" spans="1:5" ht="15.75">
      <c r="A284" s="41" t="s">
        <v>4218</v>
      </c>
      <c r="B284" s="42" t="s">
        <v>586</v>
      </c>
      <c r="C284" s="42" t="s">
        <v>933</v>
      </c>
      <c r="D284" s="61" t="s">
        <v>4226</v>
      </c>
      <c r="E284" s="38" t="s">
        <v>4126</v>
      </c>
    </row>
    <row r="285" spans="1:5" ht="15.75">
      <c r="A285" s="39" t="s">
        <v>4218</v>
      </c>
      <c r="B285" s="40" t="s">
        <v>4227</v>
      </c>
      <c r="C285" s="40" t="s">
        <v>578</v>
      </c>
      <c r="D285" s="57" t="s">
        <v>4228</v>
      </c>
      <c r="E285" s="38" t="s">
        <v>4126</v>
      </c>
    </row>
    <row r="286" spans="1:5" ht="15.75">
      <c r="A286" s="41" t="s">
        <v>4218</v>
      </c>
      <c r="B286" s="42" t="s">
        <v>4229</v>
      </c>
      <c r="C286" s="42" t="s">
        <v>1971</v>
      </c>
      <c r="D286" s="61" t="s">
        <v>4230</v>
      </c>
      <c r="E286" s="38" t="s">
        <v>4126</v>
      </c>
    </row>
    <row r="287" spans="1:5" ht="15.75">
      <c r="A287" s="39" t="s">
        <v>4218</v>
      </c>
      <c r="B287" s="40" t="s">
        <v>4229</v>
      </c>
      <c r="C287" s="40" t="s">
        <v>1971</v>
      </c>
      <c r="D287" s="57" t="s">
        <v>4231</v>
      </c>
      <c r="E287" s="38" t="s">
        <v>4126</v>
      </c>
    </row>
    <row r="288" spans="1:5" ht="15.75">
      <c r="A288" s="41" t="s">
        <v>4218</v>
      </c>
      <c r="B288" s="42" t="s">
        <v>4232</v>
      </c>
      <c r="C288" s="42" t="s">
        <v>2466</v>
      </c>
      <c r="D288" s="61" t="s">
        <v>4233</v>
      </c>
      <c r="E288" s="38" t="s">
        <v>4126</v>
      </c>
    </row>
    <row r="289" spans="1:5" ht="15.75">
      <c r="A289" s="39" t="s">
        <v>4218</v>
      </c>
      <c r="B289" s="40" t="s">
        <v>4232</v>
      </c>
      <c r="C289" s="40" t="s">
        <v>2466</v>
      </c>
      <c r="D289" s="57" t="s">
        <v>4234</v>
      </c>
      <c r="E289" s="38" t="s">
        <v>4126</v>
      </c>
    </row>
    <row r="290" spans="1:5" ht="15.75">
      <c r="A290" s="41" t="s">
        <v>4218</v>
      </c>
      <c r="B290" s="42" t="s">
        <v>4232</v>
      </c>
      <c r="C290" s="42" t="s">
        <v>2466</v>
      </c>
      <c r="D290" s="61" t="s">
        <v>4235</v>
      </c>
      <c r="E290" s="38" t="s">
        <v>4126</v>
      </c>
    </row>
    <row r="291" spans="1:5" ht="15.75">
      <c r="A291" s="39" t="s">
        <v>4218</v>
      </c>
      <c r="B291" s="40" t="s">
        <v>4232</v>
      </c>
      <c r="C291" s="40" t="s">
        <v>2466</v>
      </c>
      <c r="D291" s="57" t="s">
        <v>4236</v>
      </c>
      <c r="E291" s="38" t="s">
        <v>4126</v>
      </c>
    </row>
    <row r="292" spans="1:5" ht="15.75">
      <c r="A292" s="39" t="s">
        <v>4218</v>
      </c>
      <c r="B292" s="40" t="s">
        <v>584</v>
      </c>
      <c r="C292" s="40" t="s">
        <v>588</v>
      </c>
      <c r="D292" s="57" t="s">
        <v>2742</v>
      </c>
      <c r="E292" s="38" t="s">
        <v>4126</v>
      </c>
    </row>
    <row r="293" spans="1:5" ht="15.75">
      <c r="A293" s="41" t="s">
        <v>4218</v>
      </c>
      <c r="B293" s="42" t="s">
        <v>584</v>
      </c>
      <c r="C293" s="42" t="s">
        <v>588</v>
      </c>
      <c r="D293" s="61" t="s">
        <v>2743</v>
      </c>
      <c r="E293" s="38" t="s">
        <v>4126</v>
      </c>
    </row>
    <row r="294" spans="1:5" ht="15.75">
      <c r="A294" s="39" t="s">
        <v>4218</v>
      </c>
      <c r="B294" s="40" t="s">
        <v>586</v>
      </c>
      <c r="C294" s="40" t="s">
        <v>933</v>
      </c>
      <c r="D294" s="57" t="s">
        <v>2932</v>
      </c>
      <c r="E294" s="38" t="s">
        <v>4126</v>
      </c>
    </row>
    <row r="295" spans="1:5" ht="15.75">
      <c r="A295" s="41" t="s">
        <v>4218</v>
      </c>
      <c r="B295" s="42" t="s">
        <v>4237</v>
      </c>
      <c r="C295" s="42" t="s">
        <v>1971</v>
      </c>
      <c r="D295" s="61" t="s">
        <v>3587</v>
      </c>
      <c r="E295" s="38" t="s">
        <v>4126</v>
      </c>
    </row>
    <row r="296" spans="1:5" ht="15.75">
      <c r="A296" s="43" t="s">
        <v>4218</v>
      </c>
      <c r="B296" s="44" t="s">
        <v>585</v>
      </c>
      <c r="C296" s="44" t="s">
        <v>588</v>
      </c>
      <c r="D296" s="62" t="s">
        <v>4238</v>
      </c>
      <c r="E296" s="38" t="s">
        <v>4126</v>
      </c>
    </row>
    <row r="297" spans="1:5" ht="15.75">
      <c r="A297" s="39" t="s">
        <v>4218</v>
      </c>
      <c r="B297" s="40" t="s">
        <v>585</v>
      </c>
      <c r="C297" s="40" t="s">
        <v>588</v>
      </c>
      <c r="D297" s="57" t="s">
        <v>4239</v>
      </c>
      <c r="E297" s="38" t="s">
        <v>4126</v>
      </c>
    </row>
    <row r="298" spans="1:5" ht="15.75">
      <c r="A298" s="43" t="s">
        <v>4218</v>
      </c>
      <c r="B298" s="44" t="s">
        <v>585</v>
      </c>
      <c r="C298" s="44" t="s">
        <v>588</v>
      </c>
      <c r="D298" s="62" t="s">
        <v>4240</v>
      </c>
      <c r="E298" s="38" t="s">
        <v>4126</v>
      </c>
    </row>
    <row r="299" spans="1:5" ht="15.75">
      <c r="A299" s="43" t="s">
        <v>4218</v>
      </c>
      <c r="B299" s="44" t="s">
        <v>932</v>
      </c>
      <c r="C299" s="44" t="s">
        <v>933</v>
      </c>
      <c r="D299" s="62" t="s">
        <v>4241</v>
      </c>
      <c r="E299" s="38" t="s">
        <v>4126</v>
      </c>
    </row>
    <row r="300" spans="1:5" ht="15.75">
      <c r="A300" s="39" t="s">
        <v>4218</v>
      </c>
      <c r="B300" s="40" t="s">
        <v>932</v>
      </c>
      <c r="C300" s="40" t="s">
        <v>933</v>
      </c>
      <c r="D300" s="57" t="s">
        <v>4242</v>
      </c>
      <c r="E300" s="38" t="s">
        <v>4126</v>
      </c>
    </row>
    <row r="301" spans="1:5" ht="15.75">
      <c r="A301" s="43" t="s">
        <v>4218</v>
      </c>
      <c r="B301" s="44" t="s">
        <v>3972</v>
      </c>
      <c r="C301" s="44" t="s">
        <v>578</v>
      </c>
      <c r="D301" s="62" t="s">
        <v>4243</v>
      </c>
      <c r="E301" s="38" t="s">
        <v>4126</v>
      </c>
    </row>
    <row r="302" spans="1:5" ht="15.75">
      <c r="A302" s="39" t="s">
        <v>4218</v>
      </c>
      <c r="B302" s="40" t="s">
        <v>4244</v>
      </c>
      <c r="C302" s="40" t="s">
        <v>1971</v>
      </c>
      <c r="D302" s="57" t="s">
        <v>4245</v>
      </c>
      <c r="E302" s="38" t="s">
        <v>4126</v>
      </c>
    </row>
    <row r="303" spans="1:5" ht="15.75">
      <c r="A303" s="43" t="s">
        <v>4218</v>
      </c>
      <c r="B303" s="44" t="s">
        <v>4244</v>
      </c>
      <c r="C303" s="44" t="s">
        <v>1971</v>
      </c>
      <c r="D303" s="62" t="s">
        <v>4246</v>
      </c>
      <c r="E303" s="38" t="s">
        <v>4126</v>
      </c>
    </row>
    <row r="304" spans="1:5" ht="15.75">
      <c r="A304" s="39" t="s">
        <v>4218</v>
      </c>
      <c r="B304" s="40" t="s">
        <v>3983</v>
      </c>
      <c r="C304" s="40" t="s">
        <v>2466</v>
      </c>
      <c r="D304" s="57" t="s">
        <v>4247</v>
      </c>
      <c r="E304" s="38" t="s">
        <v>4126</v>
      </c>
    </row>
    <row r="305" spans="1:5" ht="15.75">
      <c r="A305" s="43" t="s">
        <v>4218</v>
      </c>
      <c r="B305" s="44" t="s">
        <v>3983</v>
      </c>
      <c r="C305" s="44" t="s">
        <v>2466</v>
      </c>
      <c r="D305" s="62" t="s">
        <v>4248</v>
      </c>
      <c r="E305" s="38" t="s">
        <v>4126</v>
      </c>
    </row>
    <row r="306" spans="1:5" ht="15.75">
      <c r="A306" s="39" t="s">
        <v>4249</v>
      </c>
      <c r="B306" s="40" t="s">
        <v>1051</v>
      </c>
      <c r="C306" s="40" t="s">
        <v>1052</v>
      </c>
      <c r="D306" s="57" t="s">
        <v>4250</v>
      </c>
      <c r="E306" s="38" t="s">
        <v>4126</v>
      </c>
    </row>
    <row r="307" spans="1:5" ht="15.75">
      <c r="A307" s="43" t="s">
        <v>4249</v>
      </c>
      <c r="B307" s="44" t="s">
        <v>1051</v>
      </c>
      <c r="C307" s="44" t="s">
        <v>1052</v>
      </c>
      <c r="D307" s="62" t="s">
        <v>4251</v>
      </c>
      <c r="E307" s="38" t="s">
        <v>4126</v>
      </c>
    </row>
    <row r="308" spans="1:5" ht="15.75">
      <c r="A308" s="39" t="s">
        <v>4249</v>
      </c>
      <c r="B308" s="40" t="s">
        <v>1051</v>
      </c>
      <c r="C308" s="40" t="s">
        <v>1052</v>
      </c>
      <c r="D308" s="57" t="s">
        <v>4252</v>
      </c>
      <c r="E308" s="38" t="s">
        <v>4126</v>
      </c>
    </row>
    <row r="309" spans="1:5" ht="15.75">
      <c r="A309" s="43" t="s">
        <v>4249</v>
      </c>
      <c r="B309" s="44" t="s">
        <v>1051</v>
      </c>
      <c r="C309" s="44" t="s">
        <v>1052</v>
      </c>
      <c r="D309" s="62" t="s">
        <v>4253</v>
      </c>
      <c r="E309" s="38" t="s">
        <v>4126</v>
      </c>
    </row>
    <row r="310" spans="1:5" ht="15.75">
      <c r="A310" s="39" t="s">
        <v>4249</v>
      </c>
      <c r="B310" s="40" t="s">
        <v>1051</v>
      </c>
      <c r="C310" s="40" t="s">
        <v>1052</v>
      </c>
      <c r="D310" s="57" t="s">
        <v>4254</v>
      </c>
      <c r="E310" s="38" t="s">
        <v>4126</v>
      </c>
    </row>
    <row r="311" spans="1:5" ht="15.75">
      <c r="A311" s="43" t="s">
        <v>4249</v>
      </c>
      <c r="B311" s="44" t="s">
        <v>1051</v>
      </c>
      <c r="C311" s="44" t="s">
        <v>1052</v>
      </c>
      <c r="D311" s="62" t="s">
        <v>4255</v>
      </c>
      <c r="E311" s="38" t="s">
        <v>4126</v>
      </c>
    </row>
    <row r="312" spans="1:5" ht="15.75">
      <c r="A312" s="39" t="s">
        <v>4249</v>
      </c>
      <c r="B312" s="40" t="s">
        <v>1180</v>
      </c>
      <c r="C312" s="40" t="s">
        <v>1181</v>
      </c>
      <c r="D312" s="57" t="s">
        <v>4256</v>
      </c>
      <c r="E312" s="38" t="s">
        <v>4126</v>
      </c>
    </row>
    <row r="313" spans="1:5" ht="15.75">
      <c r="A313" s="41" t="s">
        <v>4257</v>
      </c>
      <c r="B313" s="42" t="s">
        <v>480</v>
      </c>
      <c r="C313" s="42" t="s">
        <v>482</v>
      </c>
      <c r="D313" s="61" t="s">
        <v>4258</v>
      </c>
      <c r="E313" s="38" t="s">
        <v>4126</v>
      </c>
    </row>
    <row r="314" spans="1:5" ht="15.75">
      <c r="A314" s="39" t="s">
        <v>4257</v>
      </c>
      <c r="B314" s="40" t="s">
        <v>480</v>
      </c>
      <c r="C314" s="40" t="s">
        <v>482</v>
      </c>
      <c r="D314" s="57" t="s">
        <v>4259</v>
      </c>
      <c r="E314" s="38" t="s">
        <v>4126</v>
      </c>
    </row>
    <row r="315" spans="1:5" ht="15.75">
      <c r="A315" s="39" t="s">
        <v>4257</v>
      </c>
      <c r="B315" s="40" t="s">
        <v>481</v>
      </c>
      <c r="C315" s="40" t="s">
        <v>482</v>
      </c>
      <c r="D315" s="57" t="s">
        <v>4260</v>
      </c>
      <c r="E315" s="38" t="s">
        <v>4126</v>
      </c>
    </row>
    <row r="316" spans="1:5" ht="15.75">
      <c r="A316" s="43" t="s">
        <v>4257</v>
      </c>
      <c r="B316" s="44" t="s">
        <v>481</v>
      </c>
      <c r="C316" s="44" t="s">
        <v>482</v>
      </c>
      <c r="D316" s="62" t="s">
        <v>4261</v>
      </c>
      <c r="E316" s="38" t="s">
        <v>4126</v>
      </c>
    </row>
    <row r="317" spans="1:5" ht="15.75">
      <c r="A317" s="41" t="s">
        <v>4262</v>
      </c>
      <c r="B317" s="42" t="s">
        <v>1523</v>
      </c>
      <c r="C317" s="42" t="s">
        <v>1557</v>
      </c>
      <c r="D317" s="61" t="s">
        <v>4263</v>
      </c>
      <c r="E317" s="38" t="s">
        <v>4126</v>
      </c>
    </row>
    <row r="318" spans="1:5" ht="15.75">
      <c r="A318" s="39" t="s">
        <v>4262</v>
      </c>
      <c r="B318" s="40" t="s">
        <v>4264</v>
      </c>
      <c r="C318" s="40" t="s">
        <v>1557</v>
      </c>
      <c r="D318" s="57" t="s">
        <v>4265</v>
      </c>
      <c r="E318" s="38" t="s">
        <v>4126</v>
      </c>
    </row>
    <row r="319" spans="1:5" ht="15.75">
      <c r="A319" t="s">
        <v>4266</v>
      </c>
      <c r="B319" t="s">
        <v>1241</v>
      </c>
      <c r="C319" t="s">
        <v>1242</v>
      </c>
      <c r="D319" s="70" t="s">
        <v>4267</v>
      </c>
      <c r="E319" s="38" t="s">
        <v>4126</v>
      </c>
    </row>
    <row r="320" spans="1:5" ht="15.75">
      <c r="A320" t="s">
        <v>4266</v>
      </c>
      <c r="B320" t="s">
        <v>1241</v>
      </c>
      <c r="C320" t="s">
        <v>1242</v>
      </c>
      <c r="D320" s="70" t="s">
        <v>4268</v>
      </c>
      <c r="E320" s="38" t="s">
        <v>4126</v>
      </c>
    </row>
    <row r="321" spans="1:5" ht="15.75">
      <c r="A321" t="s">
        <v>4266</v>
      </c>
      <c r="B321" t="s">
        <v>1241</v>
      </c>
      <c r="C321" t="s">
        <v>1242</v>
      </c>
      <c r="D321" s="70" t="s">
        <v>4269</v>
      </c>
      <c r="E321" s="38" t="s">
        <v>4126</v>
      </c>
    </row>
    <row r="322" spans="1:5" ht="15.75">
      <c r="A322" t="s">
        <v>4266</v>
      </c>
      <c r="B322" t="s">
        <v>1241</v>
      </c>
      <c r="C322" t="s">
        <v>1242</v>
      </c>
      <c r="D322" s="70" t="s">
        <v>4270</v>
      </c>
      <c r="E322" s="38" t="s">
        <v>4126</v>
      </c>
    </row>
    <row r="323" spans="1:5" ht="15.75">
      <c r="A323" t="s">
        <v>4266</v>
      </c>
      <c r="B323" t="s">
        <v>1241</v>
      </c>
      <c r="C323" t="s">
        <v>1242</v>
      </c>
      <c r="D323" s="70" t="s">
        <v>4271</v>
      </c>
      <c r="E323" s="38" t="s">
        <v>4126</v>
      </c>
    </row>
    <row r="324" spans="1:5" ht="15.75">
      <c r="A324" t="s">
        <v>4266</v>
      </c>
      <c r="B324" t="s">
        <v>1241</v>
      </c>
      <c r="C324" t="s">
        <v>1242</v>
      </c>
      <c r="D324" s="70" t="s">
        <v>4272</v>
      </c>
      <c r="E324" s="38" t="s">
        <v>4126</v>
      </c>
    </row>
    <row r="325" spans="1:5" ht="15.75">
      <c r="A325" t="s">
        <v>4266</v>
      </c>
      <c r="B325" t="s">
        <v>1241</v>
      </c>
      <c r="C325" t="s">
        <v>1242</v>
      </c>
      <c r="D325" s="70" t="s">
        <v>4273</v>
      </c>
      <c r="E325" s="38" t="s">
        <v>4126</v>
      </c>
    </row>
    <row r="326" spans="1:5" ht="15.75">
      <c r="A326" t="s">
        <v>4266</v>
      </c>
      <c r="B326" t="s">
        <v>1241</v>
      </c>
      <c r="C326" t="s">
        <v>1242</v>
      </c>
      <c r="D326" s="70" t="s">
        <v>4274</v>
      </c>
      <c r="E326" s="38" t="s">
        <v>4126</v>
      </c>
    </row>
    <row r="327" spans="1:5" ht="15.75">
      <c r="A327" t="s">
        <v>4266</v>
      </c>
      <c r="B327" t="s">
        <v>1241</v>
      </c>
      <c r="C327" t="s">
        <v>1242</v>
      </c>
      <c r="D327" s="70" t="s">
        <v>4275</v>
      </c>
      <c r="E327" s="38" t="s">
        <v>4126</v>
      </c>
    </row>
    <row r="328" spans="1:5" ht="15.75">
      <c r="A328" t="s">
        <v>4266</v>
      </c>
      <c r="B328" t="s">
        <v>4276</v>
      </c>
      <c r="C328" t="s">
        <v>1065</v>
      </c>
      <c r="D328" s="70" t="s">
        <v>4277</v>
      </c>
      <c r="E328" s="38" t="s">
        <v>4126</v>
      </c>
    </row>
    <row r="329" spans="1:5" ht="15.75">
      <c r="A329" t="s">
        <v>4266</v>
      </c>
      <c r="B329" t="s">
        <v>4276</v>
      </c>
      <c r="C329" t="s">
        <v>1065</v>
      </c>
      <c r="D329" s="70" t="s">
        <v>4278</v>
      </c>
      <c r="E329" s="38" t="s">
        <v>4126</v>
      </c>
    </row>
    <row r="330" spans="1:5" ht="15.75">
      <c r="A330" t="s">
        <v>4266</v>
      </c>
      <c r="B330" t="s">
        <v>491</v>
      </c>
      <c r="C330" t="s">
        <v>492</v>
      </c>
      <c r="D330" s="70" t="s">
        <v>4279</v>
      </c>
      <c r="E330" s="38" t="s">
        <v>4126</v>
      </c>
    </row>
    <row r="331" spans="1:5" ht="15.75">
      <c r="A331" t="s">
        <v>4266</v>
      </c>
      <c r="B331" t="s">
        <v>491</v>
      </c>
      <c r="C331" t="s">
        <v>492</v>
      </c>
      <c r="D331" s="70" t="s">
        <v>4280</v>
      </c>
      <c r="E331" s="38" t="s">
        <v>4126</v>
      </c>
    </row>
    <row r="332" spans="1:5" ht="15.75">
      <c r="A332" t="s">
        <v>4266</v>
      </c>
      <c r="B332" t="s">
        <v>4276</v>
      </c>
      <c r="C332" t="s">
        <v>1065</v>
      </c>
      <c r="D332" s="70" t="s">
        <v>4281</v>
      </c>
      <c r="E332" s="38" t="s">
        <v>4126</v>
      </c>
    </row>
    <row r="333" spans="1:5" ht="15.75">
      <c r="A333" t="s">
        <v>4266</v>
      </c>
      <c r="B333" t="s">
        <v>4276</v>
      </c>
      <c r="C333" t="s">
        <v>1065</v>
      </c>
      <c r="D333" s="70" t="s">
        <v>4282</v>
      </c>
      <c r="E333" s="38" t="s">
        <v>4126</v>
      </c>
    </row>
    <row r="334" spans="1:5" ht="15.75">
      <c r="A334" t="s">
        <v>4266</v>
      </c>
      <c r="B334" t="s">
        <v>2058</v>
      </c>
      <c r="C334" t="s">
        <v>2059</v>
      </c>
      <c r="D334" s="70" t="s">
        <v>4051</v>
      </c>
      <c r="E334" s="38" t="s">
        <v>4126</v>
      </c>
    </row>
    <row r="335" spans="1:5" ht="15.75">
      <c r="A335" t="s">
        <v>4266</v>
      </c>
      <c r="B335" t="s">
        <v>4276</v>
      </c>
      <c r="C335" t="s">
        <v>1065</v>
      </c>
      <c r="D335" s="70" t="s">
        <v>4283</v>
      </c>
      <c r="E335" s="38" t="s">
        <v>4126</v>
      </c>
    </row>
    <row r="336" spans="1:5" ht="15.75">
      <c r="A336" t="s">
        <v>4266</v>
      </c>
      <c r="B336" t="s">
        <v>1051</v>
      </c>
      <c r="C336" t="s">
        <v>1052</v>
      </c>
      <c r="D336" s="70" t="s">
        <v>4251</v>
      </c>
      <c r="E336" s="38" t="s">
        <v>4126</v>
      </c>
    </row>
    <row r="337" spans="1:5" ht="15.75">
      <c r="A337" t="s">
        <v>4266</v>
      </c>
      <c r="B337" t="s">
        <v>1228</v>
      </c>
      <c r="C337" t="s">
        <v>1230</v>
      </c>
      <c r="D337" s="70" t="s">
        <v>4158</v>
      </c>
      <c r="E337" s="38" t="s">
        <v>4126</v>
      </c>
    </row>
    <row r="338" spans="1:5" ht="15.75">
      <c r="A338" t="s">
        <v>4266</v>
      </c>
      <c r="B338" t="s">
        <v>4276</v>
      </c>
      <c r="C338" t="s">
        <v>1065</v>
      </c>
      <c r="D338" s="70" t="s">
        <v>4284</v>
      </c>
      <c r="E338" s="38" t="s">
        <v>4126</v>
      </c>
    </row>
    <row r="339" spans="1:5" ht="15.75">
      <c r="A339" t="s">
        <v>4266</v>
      </c>
      <c r="B339" t="s">
        <v>2344</v>
      </c>
      <c r="C339" t="s">
        <v>2345</v>
      </c>
      <c r="D339" s="70" t="s">
        <v>4285</v>
      </c>
      <c r="E339" s="38" t="s">
        <v>4126</v>
      </c>
    </row>
    <row r="340" spans="1:5" ht="15.75">
      <c r="A340" t="s">
        <v>4266</v>
      </c>
      <c r="B340" t="s">
        <v>514</v>
      </c>
      <c r="C340" t="s">
        <v>4286</v>
      </c>
      <c r="D340" s="70" t="s">
        <v>4287</v>
      </c>
      <c r="E340" s="38" t="s">
        <v>4126</v>
      </c>
    </row>
    <row r="341" spans="1:5" ht="15.75">
      <c r="A341" t="s">
        <v>4266</v>
      </c>
      <c r="B341" t="s">
        <v>2041</v>
      </c>
      <c r="C341" t="s">
        <v>2043</v>
      </c>
      <c r="D341" s="70" t="s">
        <v>4162</v>
      </c>
      <c r="E341" s="38" t="s">
        <v>4126</v>
      </c>
    </row>
    <row r="342" spans="1:5" ht="15.75">
      <c r="A342" t="s">
        <v>4266</v>
      </c>
      <c r="B342" t="s">
        <v>1228</v>
      </c>
      <c r="C342" t="s">
        <v>1230</v>
      </c>
      <c r="D342" s="70" t="s">
        <v>4288</v>
      </c>
      <c r="E342" s="38" t="s">
        <v>4126</v>
      </c>
    </row>
    <row r="343" spans="1:5" ht="15.75">
      <c r="A343" t="s">
        <v>4266</v>
      </c>
      <c r="B343" t="s">
        <v>1051</v>
      </c>
      <c r="C343" t="s">
        <v>1052</v>
      </c>
      <c r="D343" s="70" t="s">
        <v>4250</v>
      </c>
      <c r="E343" s="38" t="s">
        <v>4126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5ac992-2a98-46cb-a2d5-ab5b7e1ace48">
      <Terms xmlns="http://schemas.microsoft.com/office/infopath/2007/PartnerControls"/>
    </lcf76f155ced4ddcb4097134ff3c332f>
    <TaxCatchAll xmlns="c1781cc7-735d-4e12-950d-2334350527ec" xsi:nil="true"/>
    <_Flow_SignoffStatus xmlns="7e5ac992-2a98-46cb-a2d5-ab5b7e1ace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02E7021CC5645B1592E0A87453737" ma:contentTypeVersion="14" ma:contentTypeDescription="Create a new document." ma:contentTypeScope="" ma:versionID="5f3be119176a27170f9906e6b6c74565">
  <xsd:schema xmlns:xsd="http://www.w3.org/2001/XMLSchema" xmlns:xs="http://www.w3.org/2001/XMLSchema" xmlns:p="http://schemas.microsoft.com/office/2006/metadata/properties" xmlns:ns2="7e5ac992-2a98-46cb-a2d5-ab5b7e1ace48" xmlns:ns3="c1781cc7-735d-4e12-950d-2334350527ec" targetNamespace="http://schemas.microsoft.com/office/2006/metadata/properties" ma:root="true" ma:fieldsID="eaa09e252f62da2d48427b8f4d37e94d" ns2:_="" ns3:_="">
    <xsd:import namespace="7e5ac992-2a98-46cb-a2d5-ab5b7e1ace48"/>
    <xsd:import namespace="c1781cc7-735d-4e12-950d-233435052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ac992-2a98-46cb-a2d5-ab5b7e1ac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384cfa8-52d6-4e10-9eda-ace816341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81cc7-735d-4e12-950d-2334350527e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74a56a1-ef95-4562-87a6-735f087df5e7}" ma:internalName="TaxCatchAll" ma:showField="CatchAllData" ma:web="c1781cc7-735d-4e12-950d-233435052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D015AA-A620-457A-9069-8CCA56835D38}"/>
</file>

<file path=customXml/itemProps2.xml><?xml version="1.0" encoding="utf-8"?>
<ds:datastoreItem xmlns:ds="http://schemas.openxmlformats.org/officeDocument/2006/customXml" ds:itemID="{A6B4FA1D-B8E6-4EAD-A646-1F891C81E0AB}"/>
</file>

<file path=customXml/itemProps3.xml><?xml version="1.0" encoding="utf-8"?>
<ds:datastoreItem xmlns:ds="http://schemas.openxmlformats.org/officeDocument/2006/customXml" ds:itemID="{B83DC5F2-139D-4F28-B18E-5E709810CD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PONIMAN Herve</dc:creator>
  <cp:keywords/>
  <dc:description/>
  <cp:lastModifiedBy/>
  <cp:revision/>
  <dcterms:created xsi:type="dcterms:W3CDTF">2015-06-05T18:19:34Z</dcterms:created>
  <dcterms:modified xsi:type="dcterms:W3CDTF">2026-09-06T21:40:55Z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0x01010007C02E7021CC5645B1592E0A87453737</vt:lpwstr>
  </property>
</Properties>
</file>